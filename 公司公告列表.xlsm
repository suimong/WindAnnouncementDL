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8C4F1C90-05EB-6A55-5F09-09C24B55AC0B}"/>
  <workbookPr codeName="ThisWorkbook" defaultThemeVersion="124226"/>
  <mc:AlternateContent xmlns:mc="http://schemas.openxmlformats.org/markup-compatibility/2006">
    <mc:Choice Requires="x15">
      <x15ac:absPath xmlns:x15ac="http://schemas.microsoft.com/office/spreadsheetml/2010/11/ac" url="D:\Documents\My Work\Prosnav\prospectus\"/>
    </mc:Choice>
  </mc:AlternateContent>
  <bookViews>
    <workbookView xWindow="480" yWindow="705" windowWidth="23040" windowHeight="9645" activeTab="2"/>
  </bookViews>
  <sheets>
    <sheet name="公司公告" sheetId="1" r:id="rId1"/>
    <sheet name="公司公告-原始备份" sheetId="3" r:id="rId2"/>
    <sheet name="招股说明书" sheetId="4" r:id="rId3"/>
  </sheets>
  <definedNames>
    <definedName name="_xlnm._FilterDatabase" localSheetId="2" hidden="1">招股说明书!$A$1:$G$3324</definedName>
  </definedNames>
  <calcPr calcId="152511"/>
</workbook>
</file>

<file path=xl/calcChain.xml><?xml version="1.0" encoding="utf-8"?>
<calcChain xmlns="http://schemas.openxmlformats.org/spreadsheetml/2006/main">
  <c r="C3324" i="4" l="1"/>
  <c r="C3323" i="4"/>
  <c r="C3322" i="4"/>
  <c r="C3321" i="4"/>
  <c r="C3320" i="4"/>
  <c r="C3319" i="4"/>
  <c r="C3318" i="4"/>
  <c r="C3317" i="4"/>
  <c r="C3316" i="4"/>
  <c r="C3315" i="4"/>
  <c r="C3314" i="4"/>
  <c r="C3313" i="4"/>
  <c r="C3312" i="4"/>
  <c r="C3311" i="4"/>
  <c r="C3310" i="4"/>
  <c r="C3309" i="4"/>
  <c r="C3308" i="4"/>
  <c r="C3307" i="4"/>
  <c r="C3306" i="4"/>
  <c r="C3305" i="4"/>
  <c r="C3304" i="4"/>
  <c r="C3303" i="4"/>
  <c r="C3302" i="4"/>
  <c r="C3301" i="4"/>
  <c r="C3300" i="4"/>
  <c r="C3299" i="4"/>
  <c r="C3298" i="4"/>
  <c r="C3297" i="4"/>
  <c r="C3296" i="4"/>
  <c r="C3295" i="4"/>
  <c r="C3294" i="4"/>
  <c r="C3293" i="4"/>
  <c r="C3292" i="4"/>
  <c r="C3291" i="4"/>
  <c r="C3290" i="4"/>
  <c r="C3289" i="4"/>
  <c r="C3288" i="4"/>
  <c r="C3287" i="4"/>
  <c r="C3286" i="4"/>
  <c r="C3285" i="4"/>
  <c r="C3284" i="4"/>
  <c r="C3283" i="4"/>
  <c r="C3282" i="4"/>
  <c r="C3281" i="4"/>
  <c r="C3280" i="4"/>
  <c r="C3279" i="4"/>
  <c r="C3278" i="4"/>
  <c r="C3277" i="4"/>
  <c r="C3276" i="4"/>
  <c r="C3275" i="4"/>
  <c r="C3274" i="4"/>
  <c r="C3273" i="4"/>
  <c r="C3272" i="4"/>
  <c r="C3271" i="4"/>
  <c r="C3270" i="4"/>
  <c r="C3269" i="4"/>
  <c r="C3268" i="4"/>
  <c r="C3267" i="4"/>
  <c r="C3266" i="4"/>
  <c r="C3265" i="4"/>
  <c r="C3264" i="4"/>
  <c r="C3263" i="4"/>
  <c r="C3262" i="4"/>
  <c r="C3261" i="4"/>
  <c r="C3260" i="4"/>
  <c r="C3259" i="4"/>
  <c r="C3258" i="4"/>
  <c r="C3257" i="4"/>
  <c r="C3256" i="4"/>
  <c r="C3255" i="4"/>
  <c r="C3254" i="4"/>
  <c r="C3253" i="4"/>
  <c r="C3252" i="4"/>
  <c r="C3251" i="4"/>
  <c r="C3250" i="4"/>
  <c r="C3249" i="4"/>
  <c r="C3248" i="4"/>
  <c r="C3247" i="4"/>
  <c r="C3246" i="4"/>
  <c r="C3245" i="4"/>
  <c r="C3244" i="4"/>
  <c r="C3243" i="4"/>
  <c r="C3242" i="4"/>
  <c r="C3241" i="4"/>
  <c r="C3240" i="4"/>
  <c r="C3239" i="4"/>
  <c r="C3238" i="4"/>
  <c r="C3237" i="4"/>
  <c r="C3236" i="4"/>
  <c r="C3235" i="4"/>
  <c r="C3234" i="4"/>
  <c r="C3233" i="4"/>
  <c r="C3232" i="4"/>
  <c r="C3231" i="4"/>
  <c r="C3230" i="4"/>
  <c r="C3229" i="4"/>
  <c r="C3228" i="4"/>
  <c r="C3227" i="4"/>
  <c r="C3226" i="4"/>
  <c r="C3225" i="4"/>
  <c r="C3224" i="4"/>
  <c r="C3223" i="4"/>
  <c r="C3222" i="4"/>
  <c r="C3221" i="4"/>
  <c r="C3220" i="4"/>
  <c r="C3219" i="4"/>
  <c r="C3218" i="4"/>
  <c r="C3217" i="4"/>
  <c r="C3216" i="4"/>
  <c r="C3215" i="4"/>
  <c r="C3214" i="4"/>
  <c r="C3213" i="4"/>
  <c r="C3212" i="4"/>
  <c r="C3211" i="4"/>
  <c r="C3210" i="4"/>
  <c r="C3209" i="4"/>
  <c r="C3208" i="4"/>
  <c r="C3207" i="4"/>
  <c r="C3206" i="4"/>
  <c r="C3205" i="4"/>
  <c r="C3204" i="4"/>
  <c r="C3203" i="4"/>
  <c r="C3202" i="4"/>
  <c r="C3201" i="4"/>
  <c r="C3200" i="4"/>
  <c r="C3199" i="4"/>
  <c r="C3198" i="4"/>
  <c r="C3197" i="4"/>
  <c r="C3196" i="4"/>
  <c r="C3195" i="4"/>
  <c r="C3194" i="4"/>
  <c r="C3193" i="4"/>
  <c r="C3192" i="4"/>
  <c r="C3191" i="4"/>
  <c r="C3190" i="4"/>
  <c r="C3189" i="4"/>
  <c r="C3188" i="4"/>
  <c r="C3187" i="4"/>
  <c r="C3186" i="4"/>
  <c r="C3185" i="4"/>
  <c r="C3184" i="4"/>
  <c r="C3183" i="4"/>
  <c r="C3182" i="4"/>
  <c r="C3181" i="4"/>
  <c r="C3180" i="4"/>
  <c r="C3179" i="4"/>
  <c r="C3178" i="4"/>
  <c r="C3177" i="4"/>
  <c r="C3176" i="4"/>
  <c r="C3175" i="4"/>
  <c r="C3174" i="4"/>
  <c r="C3173" i="4"/>
  <c r="C3172" i="4"/>
  <c r="C3171" i="4"/>
  <c r="C3170" i="4"/>
  <c r="C3169" i="4"/>
  <c r="C3168" i="4"/>
  <c r="C3167" i="4"/>
  <c r="C3166" i="4"/>
  <c r="C3165" i="4"/>
  <c r="C3164" i="4"/>
  <c r="C3163" i="4"/>
  <c r="C3162" i="4"/>
  <c r="C3161" i="4"/>
  <c r="C3160" i="4"/>
  <c r="C3159" i="4"/>
  <c r="C3158" i="4"/>
  <c r="C3157" i="4"/>
  <c r="C3156" i="4"/>
  <c r="C3155" i="4"/>
  <c r="C3154" i="4"/>
  <c r="C3153" i="4"/>
  <c r="C3152" i="4"/>
  <c r="C3151" i="4"/>
  <c r="C3150" i="4"/>
  <c r="C3149" i="4"/>
  <c r="C3148" i="4"/>
  <c r="C3147" i="4"/>
  <c r="C3146" i="4"/>
  <c r="C3145" i="4"/>
  <c r="C3144" i="4"/>
  <c r="C3143" i="4"/>
  <c r="C3142" i="4"/>
  <c r="C3141" i="4"/>
  <c r="C3140" i="4"/>
  <c r="C3139" i="4"/>
  <c r="C3138" i="4"/>
  <c r="C3137" i="4"/>
  <c r="C3136" i="4"/>
  <c r="C3135" i="4"/>
  <c r="C3134" i="4"/>
  <c r="C3133" i="4"/>
  <c r="C3132" i="4"/>
  <c r="C3131" i="4"/>
  <c r="C3130" i="4"/>
  <c r="C3129" i="4"/>
  <c r="C3128" i="4"/>
  <c r="C3127" i="4"/>
  <c r="C3126" i="4"/>
  <c r="C3125" i="4"/>
  <c r="C3124" i="4"/>
  <c r="C3123" i="4"/>
  <c r="C3122" i="4"/>
  <c r="C3121" i="4"/>
  <c r="C3120" i="4"/>
  <c r="C3119" i="4"/>
  <c r="C3118" i="4"/>
  <c r="C3117" i="4"/>
  <c r="C3116" i="4"/>
  <c r="C3115" i="4"/>
  <c r="C3114" i="4"/>
  <c r="C3113" i="4"/>
  <c r="C3112" i="4"/>
  <c r="C3111" i="4"/>
  <c r="C3110" i="4"/>
  <c r="C3109" i="4"/>
  <c r="C3108" i="4"/>
  <c r="C3107" i="4"/>
  <c r="C3106" i="4"/>
  <c r="C3105" i="4"/>
  <c r="C3104" i="4"/>
  <c r="C3103" i="4"/>
  <c r="C3102" i="4"/>
  <c r="C3101" i="4"/>
  <c r="C3100" i="4"/>
  <c r="C3099" i="4"/>
  <c r="C3098" i="4"/>
  <c r="C3097" i="4"/>
  <c r="C3096" i="4"/>
  <c r="C3095" i="4"/>
  <c r="C3094" i="4"/>
  <c r="C3093" i="4"/>
  <c r="C3092" i="4"/>
  <c r="C3091" i="4"/>
  <c r="C3090" i="4"/>
  <c r="C3089" i="4"/>
  <c r="C3088" i="4"/>
  <c r="C3087" i="4"/>
  <c r="C3086" i="4"/>
  <c r="C3085" i="4"/>
  <c r="C3084" i="4"/>
  <c r="C3083" i="4"/>
  <c r="C3082" i="4"/>
  <c r="C3081" i="4"/>
  <c r="C3080" i="4"/>
  <c r="C3079" i="4"/>
  <c r="C3078" i="4"/>
  <c r="C3077" i="4"/>
  <c r="C3076" i="4"/>
  <c r="C3075" i="4"/>
  <c r="C3074" i="4"/>
  <c r="C3073" i="4"/>
  <c r="C3072" i="4"/>
  <c r="C3071" i="4"/>
  <c r="C3070" i="4"/>
  <c r="C3069" i="4"/>
  <c r="C3068" i="4"/>
  <c r="C3067" i="4"/>
  <c r="C3066" i="4"/>
  <c r="C3065" i="4"/>
  <c r="C3064" i="4"/>
  <c r="C3063" i="4"/>
  <c r="C3062" i="4"/>
  <c r="C3061" i="4"/>
  <c r="C3060" i="4"/>
  <c r="C3059" i="4"/>
  <c r="C3058" i="4"/>
  <c r="C3057" i="4"/>
  <c r="C3056" i="4"/>
  <c r="C3055" i="4"/>
  <c r="C3054" i="4"/>
  <c r="C3053" i="4"/>
  <c r="C3052" i="4"/>
  <c r="C3051" i="4"/>
  <c r="C3050" i="4"/>
  <c r="C3049" i="4"/>
  <c r="C3048" i="4"/>
  <c r="C3047" i="4"/>
  <c r="C3046" i="4"/>
  <c r="C3045" i="4"/>
  <c r="C3044" i="4"/>
  <c r="C3043" i="4"/>
  <c r="C3042" i="4"/>
  <c r="C3041" i="4"/>
  <c r="C3040" i="4"/>
  <c r="C3039" i="4"/>
  <c r="C3038" i="4"/>
  <c r="C3037" i="4"/>
  <c r="C3036" i="4"/>
  <c r="C3035" i="4"/>
  <c r="C3034" i="4"/>
  <c r="C3033" i="4"/>
  <c r="C3032" i="4"/>
  <c r="C3031" i="4"/>
  <c r="C3030" i="4"/>
  <c r="C3029" i="4"/>
  <c r="C3028" i="4"/>
  <c r="C3027" i="4"/>
  <c r="C3026" i="4"/>
  <c r="C3025" i="4"/>
  <c r="C3024" i="4"/>
  <c r="C3023" i="4"/>
  <c r="C3022" i="4"/>
  <c r="C3021" i="4"/>
  <c r="C3020" i="4"/>
  <c r="C3019" i="4"/>
  <c r="C3018" i="4"/>
  <c r="C3017" i="4"/>
  <c r="C3016" i="4"/>
  <c r="C3015" i="4"/>
  <c r="C3014" i="4"/>
  <c r="C3013" i="4"/>
  <c r="C3012" i="4"/>
  <c r="C3011" i="4"/>
  <c r="C3010" i="4"/>
  <c r="C3009" i="4"/>
  <c r="C3008" i="4"/>
  <c r="C3007" i="4"/>
  <c r="C3006" i="4"/>
  <c r="C3005" i="4"/>
  <c r="C3004" i="4"/>
  <c r="C3003" i="4"/>
  <c r="C3002" i="4"/>
  <c r="C3001" i="4"/>
  <c r="C3000" i="4"/>
  <c r="C2999" i="4"/>
  <c r="C2998" i="4"/>
  <c r="C2997" i="4"/>
  <c r="C2996" i="4"/>
  <c r="C2995" i="4"/>
  <c r="C2994" i="4"/>
  <c r="C2993" i="4"/>
  <c r="C2992" i="4"/>
  <c r="C2991" i="4"/>
  <c r="C2990" i="4"/>
  <c r="C2989" i="4"/>
  <c r="C2988" i="4"/>
  <c r="C2987" i="4"/>
  <c r="C2986" i="4"/>
  <c r="C2985" i="4"/>
  <c r="C2984" i="4"/>
  <c r="C2983" i="4"/>
  <c r="C2982" i="4"/>
  <c r="C2981" i="4"/>
  <c r="C2980" i="4"/>
  <c r="C2979" i="4"/>
  <c r="C2978" i="4"/>
  <c r="C2977" i="4"/>
  <c r="C2976" i="4"/>
  <c r="C2975" i="4"/>
  <c r="C2974" i="4"/>
  <c r="C2973" i="4"/>
  <c r="C2972" i="4"/>
  <c r="C2971" i="4"/>
  <c r="C2970" i="4"/>
  <c r="C2969" i="4"/>
  <c r="C2968" i="4"/>
  <c r="C2967" i="4"/>
  <c r="C2966" i="4"/>
  <c r="C2965" i="4"/>
  <c r="C2964" i="4"/>
  <c r="C2963" i="4"/>
  <c r="C2962" i="4"/>
  <c r="C2961" i="4"/>
  <c r="C2960" i="4"/>
  <c r="C2959" i="4"/>
  <c r="C2958" i="4"/>
  <c r="C2957" i="4"/>
  <c r="C2956" i="4"/>
  <c r="C2955" i="4"/>
  <c r="C2954" i="4"/>
  <c r="C2953" i="4"/>
  <c r="C2952" i="4"/>
  <c r="C2951" i="4"/>
  <c r="C2950" i="4"/>
  <c r="C2949" i="4"/>
  <c r="C2948" i="4"/>
  <c r="C2947" i="4"/>
  <c r="C2946" i="4"/>
  <c r="C2945" i="4"/>
  <c r="C2944" i="4"/>
  <c r="C2943" i="4"/>
  <c r="C2942" i="4"/>
  <c r="C2941" i="4"/>
  <c r="C2940" i="4"/>
  <c r="C2939" i="4"/>
  <c r="C2938" i="4"/>
  <c r="C2937" i="4"/>
  <c r="C2936" i="4"/>
  <c r="C2935" i="4"/>
  <c r="C2934" i="4"/>
  <c r="C2933" i="4"/>
  <c r="C2932" i="4"/>
  <c r="C2931" i="4"/>
  <c r="C2930" i="4"/>
  <c r="C2929" i="4"/>
  <c r="C2928" i="4"/>
  <c r="C2927" i="4"/>
  <c r="C2926" i="4"/>
  <c r="C2925" i="4"/>
  <c r="C2924" i="4"/>
  <c r="C2923" i="4"/>
  <c r="C2922" i="4"/>
  <c r="C2921" i="4"/>
  <c r="C2920" i="4"/>
  <c r="C2919" i="4"/>
  <c r="C2918" i="4"/>
  <c r="C2917" i="4"/>
  <c r="C2916" i="4"/>
  <c r="C2915" i="4"/>
  <c r="C2914" i="4"/>
  <c r="C2913" i="4"/>
  <c r="C2912" i="4"/>
  <c r="C2911" i="4"/>
  <c r="C2910" i="4"/>
  <c r="C2909" i="4"/>
  <c r="C2908" i="4"/>
  <c r="C2907" i="4"/>
  <c r="C2906" i="4"/>
  <c r="C2905" i="4"/>
  <c r="C2904" i="4"/>
  <c r="C2903" i="4"/>
  <c r="C2902" i="4"/>
  <c r="C2901" i="4"/>
  <c r="C2900" i="4"/>
  <c r="C2899" i="4"/>
  <c r="C2898" i="4"/>
  <c r="C2897" i="4"/>
  <c r="C2896" i="4"/>
  <c r="C2895" i="4"/>
  <c r="C2894" i="4"/>
  <c r="C2893" i="4"/>
  <c r="C2892" i="4"/>
  <c r="C2891" i="4"/>
  <c r="C2890" i="4"/>
  <c r="C2889" i="4"/>
  <c r="C2888" i="4"/>
  <c r="C2887" i="4"/>
  <c r="C2886" i="4"/>
  <c r="C2885" i="4"/>
  <c r="C2884" i="4"/>
  <c r="C2883" i="4"/>
  <c r="C2882" i="4"/>
  <c r="C2881" i="4"/>
  <c r="C2880" i="4"/>
  <c r="C2879" i="4"/>
  <c r="C2878" i="4"/>
  <c r="C2877" i="4"/>
  <c r="C2876" i="4"/>
  <c r="C2875" i="4"/>
  <c r="C2874" i="4"/>
  <c r="C2873" i="4"/>
  <c r="C2872" i="4"/>
  <c r="C2871" i="4"/>
  <c r="C2870" i="4"/>
  <c r="C2869" i="4"/>
  <c r="C2868" i="4"/>
  <c r="C2867" i="4"/>
  <c r="C2866" i="4"/>
  <c r="C2865" i="4"/>
  <c r="C2864" i="4"/>
  <c r="C2863" i="4"/>
  <c r="C2862" i="4"/>
  <c r="C2861" i="4"/>
  <c r="C2860" i="4"/>
  <c r="C2859" i="4"/>
  <c r="C2858" i="4"/>
  <c r="C2857" i="4"/>
  <c r="C2856" i="4"/>
  <c r="C2855" i="4"/>
  <c r="C2854" i="4"/>
  <c r="C2853" i="4"/>
  <c r="C2852" i="4"/>
  <c r="C2851" i="4"/>
  <c r="C2850" i="4"/>
  <c r="C2849" i="4"/>
  <c r="C2848" i="4"/>
  <c r="C2847" i="4"/>
  <c r="C2846" i="4"/>
  <c r="C2845" i="4"/>
  <c r="C2844" i="4"/>
  <c r="C2843" i="4"/>
  <c r="C2842" i="4"/>
  <c r="C2841" i="4"/>
  <c r="C2840" i="4"/>
  <c r="C2839" i="4"/>
  <c r="C2838" i="4"/>
  <c r="C2837" i="4"/>
  <c r="C2836" i="4"/>
  <c r="C2835" i="4"/>
  <c r="C2834" i="4"/>
  <c r="C2833" i="4"/>
  <c r="C2832" i="4"/>
  <c r="C2831" i="4"/>
  <c r="C2830" i="4"/>
  <c r="C2829" i="4"/>
  <c r="C2828" i="4"/>
  <c r="C2827" i="4"/>
  <c r="C2826" i="4"/>
  <c r="C2825" i="4"/>
  <c r="C2824" i="4"/>
  <c r="C2823" i="4"/>
  <c r="C2822" i="4"/>
  <c r="C2821" i="4"/>
  <c r="C2820" i="4"/>
  <c r="C2819" i="4"/>
  <c r="C2818" i="4"/>
  <c r="C2817" i="4"/>
  <c r="C2816" i="4"/>
  <c r="C2815" i="4"/>
  <c r="C2814" i="4"/>
  <c r="C2813" i="4"/>
  <c r="C2812" i="4"/>
  <c r="C2811" i="4"/>
  <c r="C2810" i="4"/>
  <c r="C2809" i="4"/>
  <c r="C2808" i="4"/>
  <c r="C2807" i="4"/>
  <c r="C2806" i="4"/>
  <c r="C2805" i="4"/>
  <c r="C2804" i="4"/>
  <c r="C2803" i="4"/>
  <c r="C2802" i="4"/>
  <c r="C2801" i="4"/>
  <c r="C2800" i="4"/>
  <c r="C2799" i="4"/>
  <c r="C2798" i="4"/>
  <c r="C2797" i="4"/>
  <c r="C2796" i="4"/>
  <c r="C2795" i="4"/>
  <c r="C2794" i="4"/>
  <c r="C2793" i="4"/>
  <c r="C2792" i="4"/>
  <c r="C2791" i="4"/>
  <c r="C2790" i="4"/>
  <c r="C2789" i="4"/>
  <c r="C2788" i="4"/>
  <c r="C2787" i="4"/>
  <c r="C2786" i="4"/>
  <c r="C2785" i="4"/>
  <c r="C2784" i="4"/>
  <c r="C2783" i="4"/>
  <c r="C2782" i="4"/>
  <c r="C2781" i="4"/>
  <c r="C2780" i="4"/>
  <c r="C2779" i="4"/>
  <c r="C2778" i="4"/>
  <c r="C2777" i="4"/>
  <c r="C2776" i="4"/>
  <c r="C2775" i="4"/>
  <c r="C2774" i="4"/>
  <c r="C2773" i="4"/>
  <c r="C2772" i="4"/>
  <c r="C2771" i="4"/>
  <c r="C2770" i="4"/>
  <c r="C2769" i="4"/>
  <c r="C2768" i="4"/>
  <c r="C2767" i="4"/>
  <c r="C2766" i="4"/>
  <c r="C2765" i="4"/>
  <c r="C2764" i="4"/>
  <c r="C2763" i="4"/>
  <c r="C2762" i="4"/>
  <c r="C2761" i="4"/>
  <c r="C2760" i="4"/>
  <c r="C2759" i="4"/>
  <c r="C2758" i="4"/>
  <c r="C2757" i="4"/>
  <c r="C2756" i="4"/>
  <c r="C2755" i="4"/>
  <c r="C2754" i="4"/>
  <c r="C2753" i="4"/>
  <c r="C2752" i="4"/>
  <c r="C2751" i="4"/>
  <c r="C2750" i="4"/>
  <c r="C2749" i="4"/>
  <c r="C2748" i="4"/>
  <c r="C2747" i="4"/>
  <c r="C2746" i="4"/>
  <c r="C2745" i="4"/>
  <c r="C2744" i="4"/>
  <c r="C2743" i="4"/>
  <c r="C2742" i="4"/>
  <c r="C2741" i="4"/>
  <c r="C2740" i="4"/>
  <c r="C2739" i="4"/>
  <c r="C2738" i="4"/>
  <c r="C2737" i="4"/>
  <c r="C2736" i="4"/>
  <c r="C2735" i="4"/>
  <c r="C2734" i="4"/>
  <c r="C2733" i="4"/>
  <c r="C2732" i="4"/>
  <c r="C2731" i="4"/>
  <c r="C2730" i="4"/>
  <c r="C2729" i="4"/>
  <c r="C2728" i="4"/>
  <c r="C2727" i="4"/>
  <c r="C2726" i="4"/>
  <c r="C2725" i="4"/>
  <c r="C2724" i="4"/>
  <c r="C2723" i="4"/>
  <c r="C2722" i="4"/>
  <c r="C2721" i="4"/>
  <c r="C2720" i="4"/>
  <c r="C2719" i="4"/>
  <c r="C2718" i="4"/>
  <c r="C2717" i="4"/>
  <c r="C2716" i="4"/>
  <c r="C2715" i="4"/>
  <c r="C2714" i="4"/>
  <c r="C2713" i="4"/>
  <c r="C2712" i="4"/>
  <c r="C2711" i="4"/>
  <c r="C2710" i="4"/>
  <c r="C2709" i="4"/>
  <c r="C2708" i="4"/>
  <c r="C2707" i="4"/>
  <c r="C2706" i="4"/>
  <c r="C2705" i="4"/>
  <c r="C2704" i="4"/>
  <c r="C2703" i="4"/>
  <c r="C2702" i="4"/>
  <c r="C2701" i="4"/>
  <c r="C2700" i="4"/>
  <c r="C2699" i="4"/>
  <c r="C2698" i="4"/>
  <c r="C2697" i="4"/>
  <c r="C2696" i="4"/>
  <c r="C2695" i="4"/>
  <c r="C2694" i="4"/>
  <c r="C2693" i="4"/>
  <c r="C2692" i="4"/>
  <c r="C2691" i="4"/>
  <c r="C2690" i="4"/>
  <c r="C2689" i="4"/>
  <c r="C2688" i="4"/>
  <c r="C2687" i="4"/>
  <c r="C2686" i="4"/>
  <c r="C2685" i="4"/>
  <c r="C2684" i="4"/>
  <c r="C2683" i="4"/>
  <c r="C2682" i="4"/>
  <c r="C2681" i="4"/>
  <c r="C2680" i="4"/>
  <c r="C2679" i="4"/>
  <c r="C2678" i="4"/>
  <c r="C2677" i="4"/>
  <c r="C2676" i="4"/>
  <c r="C2675" i="4"/>
  <c r="C2674" i="4"/>
  <c r="C2673" i="4"/>
  <c r="C2672" i="4"/>
  <c r="C2671" i="4"/>
  <c r="C2670" i="4"/>
  <c r="C2669" i="4"/>
  <c r="C2668" i="4"/>
  <c r="C2667" i="4"/>
  <c r="C2666" i="4"/>
  <c r="C2665" i="4"/>
  <c r="C2664" i="4"/>
  <c r="C2663" i="4"/>
  <c r="C2662" i="4"/>
  <c r="C2661" i="4"/>
  <c r="C2660" i="4"/>
  <c r="C2659" i="4"/>
  <c r="C2658" i="4"/>
  <c r="C2657" i="4"/>
  <c r="C2656" i="4"/>
  <c r="C2655" i="4"/>
  <c r="C2654" i="4"/>
  <c r="C2653" i="4"/>
  <c r="C2652" i="4"/>
  <c r="C2651" i="4"/>
  <c r="C2650" i="4"/>
  <c r="C2649" i="4"/>
  <c r="C2648" i="4"/>
  <c r="C2647" i="4"/>
  <c r="C2646" i="4"/>
  <c r="C2645" i="4"/>
  <c r="C2644" i="4"/>
  <c r="C2643" i="4"/>
  <c r="C2642" i="4"/>
  <c r="C2641" i="4"/>
  <c r="C2640" i="4"/>
  <c r="C2639" i="4"/>
  <c r="C2638" i="4"/>
  <c r="C2637" i="4"/>
  <c r="C2636" i="4"/>
  <c r="C2635" i="4"/>
  <c r="C2634" i="4"/>
  <c r="C2633" i="4"/>
  <c r="C2632" i="4"/>
  <c r="C2631" i="4"/>
  <c r="C2630" i="4"/>
  <c r="C2629" i="4"/>
  <c r="C2628" i="4"/>
  <c r="C2627" i="4"/>
  <c r="C2626" i="4"/>
  <c r="C2625" i="4"/>
  <c r="C2624" i="4"/>
  <c r="C2623" i="4"/>
  <c r="C2622" i="4"/>
  <c r="C2621" i="4"/>
  <c r="C2620" i="4"/>
  <c r="C2619" i="4"/>
  <c r="C2618" i="4"/>
  <c r="C2617" i="4"/>
  <c r="C2616" i="4"/>
  <c r="C2615" i="4"/>
  <c r="C2614" i="4"/>
  <c r="C2613" i="4"/>
  <c r="C2612" i="4"/>
  <c r="C2611" i="4"/>
  <c r="C2610" i="4"/>
  <c r="C2609" i="4"/>
  <c r="C2608" i="4"/>
  <c r="C2607" i="4"/>
  <c r="C2606" i="4"/>
  <c r="C2605" i="4"/>
  <c r="C2604" i="4"/>
  <c r="C2603" i="4"/>
  <c r="C2602" i="4"/>
  <c r="C2601" i="4"/>
  <c r="C2600" i="4"/>
  <c r="C2599" i="4"/>
  <c r="C2598" i="4"/>
  <c r="C2597" i="4"/>
  <c r="C2596" i="4"/>
  <c r="C2595" i="4"/>
  <c r="C2594" i="4"/>
  <c r="C2593" i="4"/>
  <c r="C2592" i="4"/>
  <c r="C2591" i="4"/>
  <c r="C2590" i="4"/>
  <c r="C2589" i="4"/>
  <c r="C2588" i="4"/>
  <c r="C2587" i="4"/>
  <c r="C2586" i="4"/>
  <c r="C2585" i="4"/>
  <c r="C2584" i="4"/>
  <c r="C2583" i="4"/>
  <c r="C2582" i="4"/>
  <c r="C2581" i="4"/>
  <c r="C2580" i="4"/>
  <c r="C2579" i="4"/>
  <c r="C2578" i="4"/>
  <c r="C2577" i="4"/>
  <c r="C2576" i="4"/>
  <c r="C2575" i="4"/>
  <c r="C2574" i="4"/>
  <c r="C2573" i="4"/>
  <c r="C2572" i="4"/>
  <c r="C2571" i="4"/>
  <c r="C2570" i="4"/>
  <c r="C2569" i="4"/>
  <c r="C2568" i="4"/>
  <c r="C2567" i="4"/>
  <c r="C2566" i="4"/>
  <c r="C2565" i="4"/>
  <c r="C2564" i="4"/>
  <c r="C2563" i="4"/>
  <c r="C2562" i="4"/>
  <c r="C2561" i="4"/>
  <c r="C2560" i="4"/>
  <c r="C2559" i="4"/>
  <c r="C2558" i="4"/>
  <c r="C2557" i="4"/>
  <c r="C2556" i="4"/>
  <c r="C2555" i="4"/>
  <c r="C2554" i="4"/>
  <c r="C2553" i="4"/>
  <c r="C2552" i="4"/>
  <c r="C2551" i="4"/>
  <c r="C2550" i="4"/>
  <c r="C2549" i="4"/>
  <c r="C2548" i="4"/>
  <c r="C2547" i="4"/>
  <c r="C2546" i="4"/>
  <c r="C2545" i="4"/>
  <c r="C2544" i="4"/>
  <c r="C2543" i="4"/>
  <c r="C2542" i="4"/>
  <c r="C2541" i="4"/>
  <c r="C2540" i="4"/>
  <c r="C2539" i="4"/>
  <c r="C2538" i="4"/>
  <c r="C2537" i="4"/>
  <c r="C2536" i="4"/>
  <c r="C2535" i="4"/>
  <c r="C2534" i="4"/>
  <c r="C2533" i="4"/>
  <c r="C2532" i="4"/>
  <c r="C2531" i="4"/>
  <c r="C2530" i="4"/>
  <c r="C2529" i="4"/>
  <c r="C2528" i="4"/>
  <c r="C2527" i="4"/>
  <c r="C2526" i="4"/>
  <c r="C2525" i="4"/>
  <c r="C2524" i="4"/>
  <c r="C2523" i="4"/>
  <c r="C2522" i="4"/>
  <c r="C2521" i="4"/>
  <c r="C2520" i="4"/>
  <c r="C2519" i="4"/>
  <c r="C2518" i="4"/>
  <c r="C2517" i="4"/>
  <c r="C2516" i="4"/>
  <c r="C2515" i="4"/>
  <c r="C2514" i="4"/>
  <c r="C2513" i="4"/>
  <c r="C2512" i="4"/>
  <c r="C2511" i="4"/>
  <c r="C2510" i="4"/>
  <c r="C2509" i="4"/>
  <c r="C2508" i="4"/>
  <c r="C2507" i="4"/>
  <c r="C2506" i="4"/>
  <c r="C2505" i="4"/>
  <c r="C2504" i="4"/>
  <c r="C2503" i="4"/>
  <c r="C2502" i="4"/>
  <c r="C2501" i="4"/>
  <c r="C2500" i="4"/>
  <c r="C2499" i="4"/>
  <c r="C2498" i="4"/>
  <c r="C2497" i="4"/>
  <c r="C2496" i="4"/>
  <c r="C2495" i="4"/>
  <c r="C2494" i="4"/>
  <c r="C2493" i="4"/>
  <c r="C2492" i="4"/>
  <c r="C2491" i="4"/>
  <c r="C2490" i="4"/>
  <c r="C2489" i="4"/>
  <c r="C2488" i="4"/>
  <c r="C2487" i="4"/>
  <c r="C2486" i="4"/>
  <c r="C2485" i="4"/>
  <c r="C2484" i="4"/>
  <c r="C2483" i="4"/>
  <c r="C2482" i="4"/>
  <c r="C2481" i="4"/>
  <c r="C2480" i="4"/>
  <c r="C2479" i="4"/>
  <c r="C2478" i="4"/>
  <c r="C2477" i="4"/>
  <c r="C2476" i="4"/>
  <c r="C2475" i="4"/>
  <c r="C2474" i="4"/>
  <c r="C2473" i="4"/>
  <c r="C2472" i="4"/>
  <c r="C2471" i="4"/>
  <c r="C2470" i="4"/>
  <c r="C2469" i="4"/>
  <c r="C2468" i="4"/>
  <c r="C2467" i="4"/>
  <c r="C2466" i="4"/>
  <c r="C2465" i="4"/>
  <c r="C2464" i="4"/>
  <c r="C2463" i="4"/>
  <c r="C2462" i="4"/>
  <c r="C2461" i="4"/>
  <c r="C2460" i="4"/>
  <c r="C2459" i="4"/>
  <c r="C2458" i="4"/>
  <c r="C2457" i="4"/>
  <c r="C2456" i="4"/>
  <c r="C2455" i="4"/>
  <c r="C2454" i="4"/>
  <c r="C2453" i="4"/>
  <c r="C2452" i="4"/>
  <c r="C2451" i="4"/>
  <c r="C2450" i="4"/>
  <c r="C2449" i="4"/>
  <c r="C2448" i="4"/>
  <c r="C2447" i="4"/>
  <c r="C2446" i="4"/>
  <c r="C2445" i="4"/>
  <c r="C2444" i="4"/>
  <c r="C2443" i="4"/>
  <c r="C2442" i="4"/>
  <c r="C2441" i="4"/>
  <c r="C2440" i="4"/>
  <c r="C2439" i="4"/>
  <c r="C2438" i="4"/>
  <c r="C2437" i="4"/>
  <c r="C2436" i="4"/>
  <c r="C2435" i="4"/>
  <c r="C2434" i="4"/>
  <c r="C2433" i="4"/>
  <c r="C2432" i="4"/>
  <c r="C2431" i="4"/>
  <c r="C2430" i="4"/>
  <c r="C2429" i="4"/>
  <c r="C2428" i="4"/>
  <c r="C2427" i="4"/>
  <c r="C2426" i="4"/>
  <c r="C2425" i="4"/>
  <c r="C2424" i="4"/>
  <c r="C2423" i="4"/>
  <c r="C2422" i="4"/>
  <c r="C2421" i="4"/>
  <c r="C2420" i="4"/>
  <c r="C2419" i="4"/>
  <c r="C2418" i="4"/>
  <c r="C2417" i="4"/>
  <c r="C2416" i="4"/>
  <c r="C2415" i="4"/>
  <c r="C2414" i="4"/>
  <c r="C2413" i="4"/>
  <c r="C2412" i="4"/>
  <c r="C2411" i="4"/>
  <c r="C2410" i="4"/>
  <c r="C2409" i="4"/>
  <c r="C2408" i="4"/>
  <c r="C2407" i="4"/>
  <c r="C2406" i="4"/>
  <c r="C2405" i="4"/>
  <c r="C2404" i="4"/>
  <c r="C2403" i="4"/>
  <c r="C2402" i="4"/>
  <c r="C2401" i="4"/>
  <c r="C2400" i="4"/>
  <c r="C2399" i="4"/>
  <c r="C2398" i="4"/>
  <c r="C2397" i="4"/>
  <c r="C2396" i="4"/>
  <c r="C2395" i="4"/>
  <c r="C2394" i="4"/>
  <c r="C2393" i="4"/>
  <c r="C2392" i="4"/>
  <c r="C2391" i="4"/>
  <c r="C2390" i="4"/>
  <c r="C2389" i="4"/>
  <c r="C2388" i="4"/>
  <c r="C2387" i="4"/>
  <c r="C2386" i="4"/>
  <c r="C2385" i="4"/>
  <c r="C2384" i="4"/>
  <c r="C2383" i="4"/>
  <c r="C2382" i="4"/>
  <c r="C2381" i="4"/>
  <c r="C2380" i="4"/>
  <c r="C2379" i="4"/>
  <c r="C2378" i="4"/>
  <c r="C2377" i="4"/>
  <c r="C2376" i="4"/>
  <c r="C2375" i="4"/>
  <c r="C2374" i="4"/>
  <c r="C2373" i="4"/>
  <c r="C2372" i="4"/>
  <c r="C2371" i="4"/>
  <c r="C2370" i="4"/>
  <c r="C2369" i="4"/>
  <c r="C2368" i="4"/>
  <c r="C2367" i="4"/>
  <c r="C2366" i="4"/>
  <c r="C2365" i="4"/>
  <c r="C2364" i="4"/>
  <c r="C2363" i="4"/>
  <c r="C2362" i="4"/>
  <c r="C2361" i="4"/>
  <c r="C2360" i="4"/>
  <c r="C2359" i="4"/>
  <c r="C2358" i="4"/>
  <c r="C2357" i="4"/>
  <c r="C2356" i="4"/>
  <c r="C2355" i="4"/>
  <c r="C2354" i="4"/>
  <c r="C2353" i="4"/>
  <c r="C2352" i="4"/>
  <c r="C2351" i="4"/>
  <c r="C2350" i="4"/>
  <c r="C2349" i="4"/>
  <c r="C2348" i="4"/>
  <c r="C2347" i="4"/>
  <c r="C2346" i="4"/>
  <c r="C2345" i="4"/>
  <c r="C2344" i="4"/>
  <c r="C2343" i="4"/>
  <c r="C2342" i="4"/>
  <c r="C2341" i="4"/>
  <c r="C2340" i="4"/>
  <c r="C2339" i="4"/>
  <c r="C2338" i="4"/>
  <c r="C2337" i="4"/>
  <c r="C2336" i="4"/>
  <c r="C2335" i="4"/>
  <c r="C2334" i="4"/>
  <c r="C2333" i="4"/>
  <c r="C2332" i="4"/>
  <c r="C2331" i="4"/>
  <c r="C2330" i="4"/>
  <c r="C2329" i="4"/>
  <c r="C2328" i="4"/>
  <c r="C2327" i="4"/>
  <c r="C2326" i="4"/>
  <c r="C2325" i="4"/>
  <c r="C2324" i="4"/>
  <c r="C2323" i="4"/>
  <c r="C2322" i="4"/>
  <c r="C2321" i="4"/>
  <c r="C2320" i="4"/>
  <c r="C2319" i="4"/>
  <c r="C2318" i="4"/>
  <c r="C2317" i="4"/>
  <c r="C2316" i="4"/>
  <c r="C2315" i="4"/>
  <c r="C2314" i="4"/>
  <c r="C2313" i="4"/>
  <c r="C2312" i="4"/>
  <c r="C2311" i="4"/>
  <c r="C2310" i="4"/>
  <c r="C2309" i="4"/>
  <c r="C2308" i="4"/>
  <c r="C2307" i="4"/>
  <c r="C2306" i="4"/>
  <c r="C2305" i="4"/>
  <c r="C2304" i="4"/>
  <c r="C2303" i="4"/>
  <c r="C2302" i="4"/>
  <c r="C2301" i="4"/>
  <c r="C2300" i="4"/>
  <c r="C2299" i="4"/>
  <c r="C2298" i="4"/>
  <c r="C2297" i="4"/>
  <c r="C2296" i="4"/>
  <c r="C2295" i="4"/>
  <c r="C2294" i="4"/>
  <c r="C2293" i="4"/>
  <c r="C2292" i="4"/>
  <c r="C2291" i="4"/>
  <c r="C2290" i="4"/>
  <c r="C2289" i="4"/>
  <c r="C2288" i="4"/>
  <c r="C2287" i="4"/>
  <c r="C2286" i="4"/>
  <c r="C2285" i="4"/>
  <c r="C2284" i="4"/>
  <c r="C2283" i="4"/>
  <c r="C2282" i="4"/>
  <c r="C2281" i="4"/>
  <c r="C2280" i="4"/>
  <c r="C2279" i="4"/>
  <c r="C2278" i="4"/>
  <c r="C2277" i="4"/>
  <c r="C2276" i="4"/>
  <c r="C2275" i="4"/>
  <c r="C2274" i="4"/>
  <c r="C2273" i="4"/>
  <c r="C2272" i="4"/>
  <c r="C2271" i="4"/>
  <c r="C2270" i="4"/>
  <c r="C2269" i="4"/>
  <c r="C2268" i="4"/>
  <c r="C2267" i="4"/>
  <c r="C2266" i="4"/>
  <c r="C2265" i="4"/>
  <c r="C2264" i="4"/>
  <c r="C2263" i="4"/>
  <c r="C2262" i="4"/>
  <c r="C2261" i="4"/>
  <c r="C2260" i="4"/>
  <c r="C2259" i="4"/>
  <c r="C2258" i="4"/>
  <c r="C2257" i="4"/>
  <c r="C2256" i="4"/>
  <c r="C2255" i="4"/>
  <c r="C2254" i="4"/>
  <c r="C2253" i="4"/>
  <c r="C2252" i="4"/>
  <c r="C2251" i="4"/>
  <c r="C2250" i="4"/>
  <c r="C2249" i="4"/>
  <c r="C2248" i="4"/>
  <c r="C2247" i="4"/>
  <c r="C2246" i="4"/>
  <c r="C2245" i="4"/>
  <c r="C2244" i="4"/>
  <c r="C2243" i="4"/>
  <c r="C2242" i="4"/>
  <c r="C2241" i="4"/>
  <c r="C2240" i="4"/>
  <c r="C2239" i="4"/>
  <c r="C2238" i="4"/>
  <c r="C2237" i="4"/>
  <c r="C2236" i="4"/>
  <c r="C2235" i="4"/>
  <c r="C2234" i="4"/>
  <c r="C2233" i="4"/>
  <c r="C2232" i="4"/>
  <c r="C2231" i="4"/>
  <c r="C2230" i="4"/>
  <c r="C2229" i="4"/>
  <c r="C2228" i="4"/>
  <c r="C2227" i="4"/>
  <c r="C2226" i="4"/>
  <c r="C2225" i="4"/>
  <c r="C2224" i="4"/>
  <c r="C2223" i="4"/>
  <c r="C2222" i="4"/>
  <c r="C2221" i="4"/>
  <c r="C2220" i="4"/>
  <c r="C2219" i="4"/>
  <c r="C2218" i="4"/>
  <c r="C2217" i="4"/>
  <c r="C2216" i="4"/>
  <c r="C2215" i="4"/>
  <c r="C2214" i="4"/>
  <c r="C2213" i="4"/>
  <c r="C2212" i="4"/>
  <c r="C2211" i="4"/>
  <c r="C2210" i="4"/>
  <c r="C2209" i="4"/>
  <c r="C2208" i="4"/>
  <c r="C2207" i="4"/>
  <c r="C2206" i="4"/>
  <c r="C2205" i="4"/>
  <c r="C2204" i="4"/>
  <c r="C2203" i="4"/>
  <c r="C2202" i="4"/>
  <c r="C2201" i="4"/>
  <c r="C2200" i="4"/>
  <c r="C2199" i="4"/>
  <c r="C2198" i="4"/>
  <c r="C2197" i="4"/>
  <c r="C2196" i="4"/>
  <c r="C2195" i="4"/>
  <c r="C2194" i="4"/>
  <c r="C2193" i="4"/>
  <c r="C2192" i="4"/>
  <c r="C2191" i="4"/>
  <c r="C2190" i="4"/>
  <c r="C2189" i="4"/>
  <c r="C2188" i="4"/>
  <c r="C2187" i="4"/>
  <c r="C2186" i="4"/>
  <c r="C2185" i="4"/>
  <c r="C2184" i="4"/>
  <c r="C2183" i="4"/>
  <c r="C2182" i="4"/>
  <c r="C2181" i="4"/>
  <c r="C2180" i="4"/>
  <c r="C2179" i="4"/>
  <c r="C2178" i="4"/>
  <c r="C2177" i="4"/>
  <c r="C2176" i="4"/>
  <c r="C2175" i="4"/>
  <c r="C2174" i="4"/>
  <c r="C2173" i="4"/>
  <c r="C2172" i="4"/>
  <c r="C2171" i="4"/>
  <c r="C2170" i="4"/>
  <c r="C2169" i="4"/>
  <c r="C2168" i="4"/>
  <c r="C2167" i="4"/>
  <c r="C2166" i="4"/>
  <c r="C2165" i="4"/>
  <c r="C2164" i="4"/>
  <c r="C2163" i="4"/>
  <c r="C2162" i="4"/>
  <c r="C2161" i="4"/>
  <c r="C2160" i="4"/>
  <c r="C2159" i="4"/>
  <c r="C2158" i="4"/>
  <c r="C2157" i="4"/>
  <c r="C2156" i="4"/>
  <c r="C2155" i="4"/>
  <c r="C2154" i="4"/>
  <c r="C2153" i="4"/>
  <c r="C2152" i="4"/>
  <c r="C2151" i="4"/>
  <c r="C2150" i="4"/>
  <c r="C2149" i="4"/>
  <c r="C2148" i="4"/>
  <c r="C2147" i="4"/>
  <c r="C2146" i="4"/>
  <c r="C2145" i="4"/>
  <c r="C2144" i="4"/>
  <c r="C2143" i="4"/>
  <c r="C2142" i="4"/>
  <c r="C2141" i="4"/>
  <c r="C2140" i="4"/>
  <c r="C2139" i="4"/>
  <c r="C2138" i="4"/>
  <c r="C2137" i="4"/>
  <c r="C2136" i="4"/>
  <c r="C2135" i="4"/>
  <c r="C2134" i="4"/>
  <c r="C2133" i="4"/>
  <c r="C2132" i="4"/>
  <c r="C2131" i="4"/>
  <c r="C2130" i="4"/>
  <c r="C2129" i="4"/>
  <c r="C2128" i="4"/>
  <c r="C2127" i="4"/>
  <c r="C2126" i="4"/>
  <c r="C2125" i="4"/>
  <c r="C2124" i="4"/>
  <c r="C2123" i="4"/>
  <c r="C2122" i="4"/>
  <c r="C2121" i="4"/>
  <c r="C2120" i="4"/>
  <c r="C2119" i="4"/>
  <c r="C2118" i="4"/>
  <c r="C2117" i="4"/>
  <c r="C2116" i="4"/>
  <c r="C2115" i="4"/>
  <c r="C2114" i="4"/>
  <c r="C2113" i="4"/>
  <c r="C2112" i="4"/>
  <c r="C2111" i="4"/>
  <c r="C2110" i="4"/>
  <c r="C2109" i="4"/>
  <c r="C2108" i="4"/>
  <c r="C2107" i="4"/>
  <c r="C2106" i="4"/>
  <c r="C2105" i="4"/>
  <c r="C2104" i="4"/>
  <c r="C2103" i="4"/>
  <c r="C2102" i="4"/>
  <c r="C2101" i="4"/>
  <c r="C2100" i="4"/>
  <c r="C2099" i="4"/>
  <c r="C2098" i="4"/>
  <c r="C2097" i="4"/>
  <c r="C2096" i="4"/>
  <c r="C2095" i="4"/>
  <c r="C2094" i="4"/>
  <c r="C2093" i="4"/>
  <c r="C2092" i="4"/>
  <c r="C2091" i="4"/>
  <c r="C2090" i="4"/>
  <c r="C2089" i="4"/>
  <c r="C2088" i="4"/>
  <c r="C2087" i="4"/>
  <c r="C2086" i="4"/>
  <c r="C2085" i="4"/>
  <c r="C2084" i="4"/>
  <c r="C2083" i="4"/>
  <c r="C2082" i="4"/>
  <c r="C2081" i="4"/>
  <c r="C2080" i="4"/>
  <c r="C2079" i="4"/>
  <c r="C2078" i="4"/>
  <c r="C2077" i="4"/>
  <c r="C2076" i="4"/>
  <c r="C2075" i="4"/>
  <c r="C2074" i="4"/>
  <c r="C2073" i="4"/>
  <c r="C2072" i="4"/>
  <c r="C2071" i="4"/>
  <c r="C2070" i="4"/>
  <c r="C2069" i="4"/>
  <c r="C2068" i="4"/>
  <c r="C2067" i="4"/>
  <c r="C2066" i="4"/>
  <c r="C2065" i="4"/>
  <c r="C2064" i="4"/>
  <c r="C2063" i="4"/>
  <c r="C2062" i="4"/>
  <c r="C2061" i="4"/>
  <c r="C2060" i="4"/>
  <c r="C2059" i="4"/>
  <c r="C2058" i="4"/>
  <c r="C2057" i="4"/>
  <c r="C2056" i="4"/>
  <c r="C2055" i="4"/>
  <c r="C2054" i="4"/>
  <c r="C2053" i="4"/>
  <c r="C2052" i="4"/>
  <c r="C2051" i="4"/>
  <c r="C2050" i="4"/>
  <c r="C2049" i="4"/>
  <c r="C2048" i="4"/>
  <c r="C2047" i="4"/>
  <c r="C2046" i="4"/>
  <c r="C2045" i="4"/>
  <c r="C2044" i="4"/>
  <c r="C2043" i="4"/>
  <c r="C2042" i="4"/>
  <c r="C2041" i="4"/>
  <c r="C2040" i="4"/>
  <c r="C2039" i="4"/>
  <c r="C2038" i="4"/>
  <c r="C2037" i="4"/>
  <c r="C2036" i="4"/>
  <c r="C2035" i="4"/>
  <c r="C2034" i="4"/>
  <c r="C2033" i="4"/>
  <c r="C2032" i="4"/>
  <c r="C2031" i="4"/>
  <c r="C2030" i="4"/>
  <c r="C2029" i="4"/>
  <c r="C2028" i="4"/>
  <c r="C2027" i="4"/>
  <c r="C2026" i="4"/>
  <c r="C2025" i="4"/>
  <c r="C2024" i="4"/>
  <c r="C2023" i="4"/>
  <c r="C2022" i="4"/>
  <c r="C2021" i="4"/>
  <c r="C2020" i="4"/>
  <c r="C2019" i="4"/>
  <c r="C2018" i="4"/>
  <c r="C2017" i="4"/>
  <c r="C2016" i="4"/>
  <c r="C2015" i="4"/>
  <c r="C2014" i="4"/>
  <c r="C2013" i="4"/>
  <c r="C2012" i="4"/>
  <c r="C2011" i="4"/>
  <c r="C2010" i="4"/>
  <c r="C2009" i="4"/>
  <c r="C2008" i="4"/>
  <c r="C2007" i="4"/>
  <c r="C2006" i="4"/>
  <c r="C2005" i="4"/>
  <c r="C2004" i="4"/>
  <c r="C2003" i="4"/>
  <c r="C2002" i="4"/>
  <c r="C2001" i="4"/>
  <c r="C2000" i="4"/>
  <c r="C1999" i="4"/>
  <c r="C1998" i="4"/>
  <c r="C1997" i="4"/>
  <c r="C1996" i="4"/>
  <c r="C1995" i="4"/>
  <c r="C1994" i="4"/>
  <c r="C1993" i="4"/>
  <c r="C1992" i="4"/>
  <c r="C1991" i="4"/>
  <c r="C1990" i="4"/>
  <c r="C1989" i="4"/>
  <c r="C1988" i="4"/>
  <c r="C1987" i="4"/>
  <c r="C1986" i="4"/>
  <c r="C1985" i="4"/>
  <c r="C1984" i="4"/>
  <c r="C1983" i="4"/>
  <c r="C1982" i="4"/>
  <c r="C1981" i="4"/>
  <c r="C1980" i="4"/>
  <c r="C1979" i="4"/>
  <c r="C1978" i="4"/>
  <c r="C1977" i="4"/>
  <c r="C1976" i="4"/>
  <c r="C1975" i="4"/>
  <c r="C1974" i="4"/>
  <c r="C1973" i="4"/>
  <c r="C1972" i="4"/>
  <c r="C1971" i="4"/>
  <c r="C1970" i="4"/>
  <c r="C1969" i="4"/>
  <c r="C1968" i="4"/>
  <c r="C1967" i="4"/>
  <c r="C1966" i="4"/>
  <c r="C1965" i="4"/>
  <c r="C1964" i="4"/>
  <c r="C1963" i="4"/>
  <c r="C1962" i="4"/>
  <c r="C1961" i="4"/>
  <c r="C1960" i="4"/>
  <c r="C1959" i="4"/>
  <c r="C1958" i="4"/>
  <c r="C1957" i="4"/>
  <c r="C1956" i="4"/>
  <c r="C1955" i="4"/>
  <c r="C1954" i="4"/>
  <c r="C1953" i="4"/>
  <c r="C1952" i="4"/>
  <c r="C1951" i="4"/>
  <c r="C1950" i="4"/>
  <c r="C1949" i="4"/>
  <c r="C1948" i="4"/>
  <c r="C1947" i="4"/>
  <c r="C1946" i="4"/>
  <c r="C1945" i="4"/>
  <c r="C1944" i="4"/>
  <c r="C1943" i="4"/>
  <c r="C1942" i="4"/>
  <c r="C1941" i="4"/>
  <c r="C1940" i="4"/>
  <c r="C1939" i="4"/>
  <c r="C1938" i="4"/>
  <c r="C1937" i="4"/>
  <c r="C1936" i="4"/>
  <c r="C1935" i="4"/>
  <c r="C1934" i="4"/>
  <c r="C1933" i="4"/>
  <c r="C1932" i="4"/>
  <c r="C1931" i="4"/>
  <c r="C1930" i="4"/>
  <c r="C1929" i="4"/>
  <c r="C1928" i="4"/>
  <c r="C1927" i="4"/>
  <c r="C1926" i="4"/>
  <c r="C1925" i="4"/>
  <c r="C1924" i="4"/>
  <c r="C1923" i="4"/>
  <c r="C1922" i="4"/>
  <c r="C1921" i="4"/>
  <c r="C1920" i="4"/>
  <c r="C1919" i="4"/>
  <c r="C1918" i="4"/>
  <c r="C1917" i="4"/>
  <c r="C1916" i="4"/>
  <c r="C1915" i="4"/>
  <c r="C1914" i="4"/>
  <c r="C1913" i="4"/>
  <c r="C1912" i="4"/>
  <c r="C1911" i="4"/>
  <c r="C1910" i="4"/>
  <c r="C1909" i="4"/>
  <c r="C1908" i="4"/>
  <c r="C1907" i="4"/>
  <c r="C1906" i="4"/>
  <c r="C1905" i="4"/>
  <c r="C1904" i="4"/>
  <c r="C1903" i="4"/>
  <c r="C1902" i="4"/>
  <c r="C1901" i="4"/>
  <c r="C1900" i="4"/>
  <c r="C1899" i="4"/>
  <c r="C1898" i="4"/>
  <c r="C1897" i="4"/>
  <c r="C1896" i="4"/>
  <c r="C1895" i="4"/>
  <c r="C1894" i="4"/>
  <c r="C1893" i="4"/>
  <c r="C1892" i="4"/>
  <c r="C1891" i="4"/>
  <c r="C1890" i="4"/>
  <c r="C1889" i="4"/>
  <c r="C1888" i="4"/>
  <c r="C1887" i="4"/>
  <c r="C1886" i="4"/>
  <c r="C1885" i="4"/>
  <c r="C1884" i="4"/>
  <c r="C1883" i="4"/>
  <c r="C1882" i="4"/>
  <c r="C1881" i="4"/>
  <c r="C1880" i="4"/>
  <c r="C1879" i="4"/>
  <c r="C1878" i="4"/>
  <c r="C1877" i="4"/>
  <c r="C1876" i="4"/>
  <c r="C1875" i="4"/>
  <c r="C1874" i="4"/>
  <c r="C1873" i="4"/>
  <c r="C1872" i="4"/>
  <c r="C1871" i="4"/>
  <c r="C1870" i="4"/>
  <c r="C1869" i="4"/>
  <c r="C1868" i="4"/>
  <c r="C1867" i="4"/>
  <c r="C1866" i="4"/>
  <c r="C1865" i="4"/>
  <c r="C1864" i="4"/>
  <c r="C1863" i="4"/>
  <c r="C1862" i="4"/>
  <c r="C1861" i="4"/>
  <c r="C1860" i="4"/>
  <c r="C1859" i="4"/>
  <c r="C1858" i="4"/>
  <c r="C1857" i="4"/>
  <c r="C1856" i="4"/>
  <c r="C1855" i="4"/>
  <c r="C1854" i="4"/>
  <c r="C1853" i="4"/>
  <c r="C1852" i="4"/>
  <c r="C1851" i="4"/>
  <c r="C1850" i="4"/>
  <c r="C1849" i="4"/>
  <c r="C1848" i="4"/>
  <c r="C1847" i="4"/>
  <c r="C1846" i="4"/>
  <c r="C1845" i="4"/>
  <c r="C1844" i="4"/>
  <c r="C1843" i="4"/>
  <c r="C1842" i="4"/>
  <c r="C1841" i="4"/>
  <c r="C1840" i="4"/>
  <c r="C1839" i="4"/>
  <c r="C1838" i="4"/>
  <c r="C1837" i="4"/>
  <c r="C1836" i="4"/>
  <c r="C1835" i="4"/>
  <c r="C1834" i="4"/>
  <c r="C1833" i="4"/>
  <c r="C1832" i="4"/>
  <c r="C1831" i="4"/>
  <c r="C1830" i="4"/>
  <c r="C1829" i="4"/>
  <c r="C1828" i="4"/>
  <c r="C1827" i="4"/>
  <c r="C1826" i="4"/>
  <c r="C1825" i="4"/>
  <c r="C1824" i="4"/>
  <c r="C1823" i="4"/>
  <c r="C1822" i="4"/>
  <c r="C1821" i="4"/>
  <c r="C1820" i="4"/>
  <c r="C1819" i="4"/>
  <c r="C1818" i="4"/>
  <c r="C1817" i="4"/>
  <c r="C1816" i="4"/>
  <c r="C1815" i="4"/>
  <c r="C1814" i="4"/>
  <c r="C1813" i="4"/>
  <c r="C1812" i="4"/>
  <c r="C1811" i="4"/>
  <c r="C1810" i="4"/>
  <c r="C1809" i="4"/>
  <c r="C1808" i="4"/>
  <c r="C1807" i="4"/>
  <c r="C1806" i="4"/>
  <c r="C1805" i="4"/>
  <c r="C1804" i="4"/>
  <c r="C1803" i="4"/>
  <c r="C1802" i="4"/>
  <c r="C1801" i="4"/>
  <c r="C1800" i="4"/>
  <c r="C1799" i="4"/>
  <c r="C1798" i="4"/>
  <c r="C1797" i="4"/>
  <c r="C1796" i="4"/>
  <c r="C1795" i="4"/>
  <c r="C1794" i="4"/>
  <c r="C1793" i="4"/>
  <c r="C1792" i="4"/>
  <c r="C1791" i="4"/>
  <c r="C1790" i="4"/>
  <c r="C1789" i="4"/>
  <c r="C1788" i="4"/>
  <c r="C1787" i="4"/>
  <c r="C1786" i="4"/>
  <c r="C1785" i="4"/>
  <c r="C1784" i="4"/>
  <c r="C1783" i="4"/>
  <c r="C1782" i="4"/>
  <c r="C1781" i="4"/>
  <c r="C1780" i="4"/>
  <c r="C1779" i="4"/>
  <c r="C1778" i="4"/>
  <c r="C1777" i="4"/>
  <c r="C1776" i="4"/>
  <c r="C1775" i="4"/>
  <c r="C1774" i="4"/>
  <c r="C1773" i="4"/>
  <c r="C1772" i="4"/>
  <c r="C1771" i="4"/>
  <c r="C1770" i="4"/>
  <c r="C1769" i="4"/>
  <c r="C1768" i="4"/>
  <c r="C1767" i="4"/>
  <c r="C1766" i="4"/>
  <c r="C1765" i="4"/>
  <c r="C1764" i="4"/>
  <c r="C1763" i="4"/>
  <c r="C1762" i="4"/>
  <c r="C1761" i="4"/>
  <c r="C1760" i="4"/>
  <c r="C1759" i="4"/>
  <c r="C1758" i="4"/>
  <c r="C1757" i="4"/>
  <c r="C1756" i="4"/>
  <c r="C1755" i="4"/>
  <c r="C1754" i="4"/>
  <c r="C1753" i="4"/>
  <c r="C1752" i="4"/>
  <c r="C1751" i="4"/>
  <c r="C1750" i="4"/>
  <c r="C1749" i="4"/>
  <c r="C1748" i="4"/>
  <c r="C1747" i="4"/>
  <c r="C1746" i="4"/>
  <c r="C1745" i="4"/>
  <c r="C1744" i="4"/>
  <c r="C1743" i="4"/>
  <c r="C1742" i="4"/>
  <c r="C1741" i="4"/>
  <c r="C1740" i="4"/>
  <c r="C1739" i="4"/>
  <c r="C1738" i="4"/>
  <c r="C1737" i="4"/>
  <c r="C1736" i="4"/>
  <c r="C1735" i="4"/>
  <c r="C1734" i="4"/>
  <c r="C1733" i="4"/>
  <c r="C1732" i="4"/>
  <c r="C1731" i="4"/>
  <c r="C1730" i="4"/>
  <c r="C1729" i="4"/>
  <c r="C1728" i="4"/>
  <c r="C1727" i="4"/>
  <c r="C1726" i="4"/>
  <c r="C1725" i="4"/>
  <c r="C1724" i="4"/>
  <c r="C1723" i="4"/>
  <c r="C1722" i="4"/>
  <c r="C1721" i="4"/>
  <c r="C1720" i="4"/>
  <c r="C1719" i="4"/>
  <c r="C1718" i="4"/>
  <c r="C1717" i="4"/>
  <c r="C1716" i="4"/>
  <c r="C1715" i="4"/>
  <c r="C1714" i="4"/>
  <c r="C1713" i="4"/>
  <c r="C1712" i="4"/>
  <c r="C1711" i="4"/>
  <c r="C1710" i="4"/>
  <c r="C1709" i="4"/>
  <c r="C1708" i="4"/>
  <c r="C1707" i="4"/>
  <c r="C1706" i="4"/>
  <c r="C1705" i="4"/>
  <c r="C1704" i="4"/>
  <c r="C1703" i="4"/>
  <c r="C1702" i="4"/>
  <c r="C1701" i="4"/>
  <c r="C1700" i="4"/>
  <c r="C1699" i="4"/>
  <c r="C1698" i="4"/>
  <c r="C1697" i="4"/>
  <c r="C1696" i="4"/>
  <c r="C1695" i="4"/>
  <c r="C1694" i="4"/>
  <c r="C1693" i="4"/>
  <c r="C1692" i="4"/>
  <c r="C1691" i="4"/>
  <c r="C1690" i="4"/>
  <c r="C1689" i="4"/>
  <c r="C1688" i="4"/>
  <c r="C1687" i="4"/>
  <c r="C1686" i="4"/>
  <c r="C1685" i="4"/>
  <c r="C1684" i="4"/>
  <c r="C1683" i="4"/>
  <c r="C1682" i="4"/>
  <c r="C1681" i="4"/>
  <c r="C1680" i="4"/>
  <c r="C1679" i="4"/>
  <c r="C1678" i="4"/>
  <c r="C1677" i="4"/>
  <c r="C1676" i="4"/>
  <c r="C1675" i="4"/>
  <c r="C1674" i="4"/>
  <c r="C1673" i="4"/>
  <c r="C1672" i="4"/>
  <c r="C1671" i="4"/>
  <c r="C1670" i="4"/>
  <c r="C1669" i="4"/>
  <c r="C1668" i="4"/>
  <c r="C1667" i="4"/>
  <c r="C1666" i="4"/>
  <c r="C1665" i="4"/>
  <c r="C1664" i="4"/>
  <c r="C1663" i="4"/>
  <c r="C1662" i="4"/>
  <c r="C1661" i="4"/>
  <c r="C1660" i="4"/>
  <c r="C1659" i="4"/>
  <c r="C1658" i="4"/>
  <c r="C1657" i="4"/>
  <c r="C1656" i="4"/>
  <c r="C1655" i="4"/>
  <c r="C1654" i="4"/>
  <c r="C1653" i="4"/>
  <c r="C1652" i="4"/>
  <c r="C1651" i="4"/>
  <c r="C1650" i="4"/>
  <c r="C1649" i="4"/>
  <c r="C1648" i="4"/>
  <c r="C1647" i="4"/>
  <c r="C1646" i="4"/>
  <c r="C1645" i="4"/>
  <c r="C1644" i="4"/>
  <c r="C1643" i="4"/>
  <c r="C1642" i="4"/>
  <c r="C1641" i="4"/>
  <c r="C1640" i="4"/>
  <c r="C1639" i="4"/>
  <c r="C1638" i="4"/>
  <c r="C1637" i="4"/>
  <c r="C1636" i="4"/>
  <c r="C1635" i="4"/>
  <c r="C1634" i="4"/>
  <c r="C1633" i="4"/>
  <c r="C1632" i="4"/>
  <c r="C1631" i="4"/>
  <c r="C1630" i="4"/>
  <c r="C1629" i="4"/>
  <c r="C1628" i="4"/>
  <c r="C1627" i="4"/>
  <c r="C1626" i="4"/>
  <c r="C1625" i="4"/>
  <c r="C1624" i="4"/>
  <c r="C1623" i="4"/>
  <c r="C1622" i="4"/>
  <c r="C1621" i="4"/>
  <c r="C1620" i="4"/>
  <c r="C1619" i="4"/>
  <c r="C1618" i="4"/>
  <c r="C1617" i="4"/>
  <c r="C1616" i="4"/>
  <c r="C1615" i="4"/>
  <c r="C1614" i="4"/>
  <c r="C1613" i="4"/>
  <c r="C1612" i="4"/>
  <c r="C1611" i="4"/>
  <c r="C1610" i="4"/>
  <c r="C1609" i="4"/>
  <c r="C1608" i="4"/>
  <c r="C1607" i="4"/>
  <c r="C1606" i="4"/>
  <c r="C1605" i="4"/>
  <c r="C1604" i="4"/>
  <c r="C1603" i="4"/>
  <c r="C1602" i="4"/>
  <c r="C1601" i="4"/>
  <c r="C1600" i="4"/>
  <c r="C1599" i="4"/>
  <c r="C1598" i="4"/>
  <c r="C1597" i="4"/>
  <c r="C1596" i="4"/>
  <c r="C1595" i="4"/>
  <c r="C1594" i="4"/>
  <c r="C1593" i="4"/>
  <c r="C1592" i="4"/>
  <c r="C1591" i="4"/>
  <c r="C1590" i="4"/>
  <c r="C1589" i="4"/>
  <c r="C1588" i="4"/>
  <c r="C1587" i="4"/>
  <c r="C1586" i="4"/>
  <c r="C1585" i="4"/>
  <c r="C1584" i="4"/>
  <c r="C1583" i="4"/>
  <c r="C1582" i="4"/>
  <c r="C1581" i="4"/>
  <c r="C1580" i="4"/>
  <c r="C1579" i="4"/>
  <c r="C1578" i="4"/>
  <c r="C1577" i="4"/>
  <c r="C1576" i="4"/>
  <c r="C1575" i="4"/>
  <c r="C1574" i="4"/>
  <c r="C1573" i="4"/>
  <c r="C1572" i="4"/>
  <c r="C1571" i="4"/>
  <c r="C1570" i="4"/>
  <c r="C1569" i="4"/>
  <c r="C1568" i="4"/>
  <c r="C1567" i="4"/>
  <c r="C1566" i="4"/>
  <c r="C1565" i="4"/>
  <c r="C1564" i="4"/>
  <c r="C1563" i="4"/>
  <c r="C1562" i="4"/>
  <c r="C1561" i="4"/>
  <c r="C1560" i="4"/>
  <c r="C1559" i="4"/>
  <c r="C1558" i="4"/>
  <c r="C1557" i="4"/>
  <c r="C1556" i="4"/>
  <c r="C1555" i="4"/>
  <c r="C1554" i="4"/>
  <c r="C1553" i="4"/>
  <c r="C1552" i="4"/>
  <c r="C1551" i="4"/>
  <c r="C1550" i="4"/>
  <c r="C1549" i="4"/>
  <c r="C1548" i="4"/>
  <c r="C1547" i="4"/>
  <c r="C1546" i="4"/>
  <c r="C1545" i="4"/>
  <c r="C1544" i="4"/>
  <c r="C1543" i="4"/>
  <c r="C1542" i="4"/>
  <c r="C1541" i="4"/>
  <c r="C1540" i="4"/>
  <c r="C1539" i="4"/>
  <c r="C1538" i="4"/>
  <c r="C1537" i="4"/>
  <c r="C1536" i="4"/>
  <c r="C1535" i="4"/>
  <c r="C1534" i="4"/>
  <c r="C1533" i="4"/>
  <c r="C1532" i="4"/>
  <c r="C1531" i="4"/>
  <c r="C1530" i="4"/>
  <c r="C1529" i="4"/>
  <c r="C1528" i="4"/>
  <c r="C1527" i="4"/>
  <c r="C1526" i="4"/>
  <c r="C1525" i="4"/>
  <c r="C1524" i="4"/>
  <c r="C1523" i="4"/>
  <c r="C1522" i="4"/>
  <c r="C1521" i="4"/>
  <c r="C1520" i="4"/>
  <c r="C1519" i="4"/>
  <c r="C1518" i="4"/>
  <c r="C1517" i="4"/>
  <c r="C1516" i="4"/>
  <c r="C1515" i="4"/>
  <c r="C1514" i="4"/>
  <c r="C1513" i="4"/>
  <c r="C1512" i="4"/>
  <c r="C1511" i="4"/>
  <c r="C1510" i="4"/>
  <c r="C1509" i="4"/>
  <c r="C1508" i="4"/>
  <c r="C1507" i="4"/>
  <c r="C1506" i="4"/>
  <c r="C1505" i="4"/>
  <c r="C1504" i="4"/>
  <c r="C1503" i="4"/>
  <c r="C1502" i="4"/>
  <c r="C1501" i="4"/>
  <c r="C1500" i="4"/>
  <c r="C1499" i="4"/>
  <c r="C1498" i="4"/>
  <c r="C1497" i="4"/>
  <c r="C1496" i="4"/>
  <c r="C1495" i="4"/>
  <c r="C1494" i="4"/>
  <c r="C1493" i="4"/>
  <c r="C1492" i="4"/>
  <c r="C1491" i="4"/>
  <c r="C1490" i="4"/>
  <c r="C1489" i="4"/>
  <c r="C1488" i="4"/>
  <c r="C1487" i="4"/>
  <c r="C1486" i="4"/>
  <c r="C1485" i="4"/>
  <c r="C1484" i="4"/>
  <c r="C1483" i="4"/>
  <c r="C1482" i="4"/>
  <c r="C1481" i="4"/>
  <c r="C1480" i="4"/>
  <c r="C1479" i="4"/>
  <c r="C1478" i="4"/>
  <c r="C1477" i="4"/>
  <c r="C1476" i="4"/>
  <c r="C1475" i="4"/>
  <c r="C1474" i="4"/>
  <c r="C1473" i="4"/>
  <c r="C1472" i="4"/>
  <c r="C1471" i="4"/>
  <c r="C1470" i="4"/>
  <c r="C1469" i="4"/>
  <c r="C1468" i="4"/>
  <c r="C1467" i="4"/>
  <c r="C1466" i="4"/>
  <c r="C1465" i="4"/>
  <c r="C1464" i="4"/>
  <c r="C1463" i="4"/>
  <c r="C1462" i="4"/>
  <c r="C1461" i="4"/>
  <c r="C1460" i="4"/>
  <c r="C1459" i="4"/>
  <c r="C1458" i="4"/>
  <c r="C1457" i="4"/>
  <c r="C1456" i="4"/>
  <c r="C1455" i="4"/>
  <c r="C1454" i="4"/>
  <c r="C1453" i="4"/>
  <c r="C1452" i="4"/>
  <c r="C1451" i="4"/>
  <c r="C1450" i="4"/>
  <c r="C1449" i="4"/>
  <c r="C1448" i="4"/>
  <c r="C1447" i="4"/>
  <c r="C1446" i="4"/>
  <c r="C1445" i="4"/>
  <c r="C1444" i="4"/>
  <c r="C1443" i="4"/>
  <c r="C1442" i="4"/>
  <c r="C1441" i="4"/>
  <c r="C1440" i="4"/>
  <c r="C1439" i="4"/>
  <c r="C1438" i="4"/>
  <c r="C1437" i="4"/>
  <c r="C1436" i="4"/>
  <c r="C1435" i="4"/>
  <c r="C1434" i="4"/>
  <c r="C1433" i="4"/>
  <c r="C1432" i="4"/>
  <c r="C1431" i="4"/>
  <c r="C1430" i="4"/>
  <c r="C1429" i="4"/>
  <c r="C1428" i="4"/>
  <c r="C1427" i="4"/>
  <c r="C1426" i="4"/>
  <c r="C1425" i="4"/>
  <c r="C1424" i="4"/>
  <c r="C1423" i="4"/>
  <c r="C1422" i="4"/>
  <c r="C1421" i="4"/>
  <c r="C1420" i="4"/>
  <c r="C1419" i="4"/>
  <c r="C1418" i="4"/>
  <c r="C1417" i="4"/>
  <c r="C1416" i="4"/>
  <c r="C1415" i="4"/>
  <c r="C1414" i="4"/>
  <c r="C1413" i="4"/>
  <c r="C1412" i="4"/>
  <c r="C1411" i="4"/>
  <c r="C1410" i="4"/>
  <c r="C1409" i="4"/>
  <c r="C1408" i="4"/>
  <c r="C1407" i="4"/>
  <c r="C1406" i="4"/>
  <c r="C1405" i="4"/>
  <c r="C1404" i="4"/>
  <c r="C1403" i="4"/>
  <c r="C1402" i="4"/>
  <c r="C1401" i="4"/>
  <c r="C1400" i="4"/>
  <c r="C1399" i="4"/>
  <c r="C1398" i="4"/>
  <c r="C1397" i="4"/>
  <c r="C1396" i="4"/>
  <c r="C1395" i="4"/>
  <c r="C1394" i="4"/>
  <c r="C1393" i="4"/>
  <c r="C1392" i="4"/>
  <c r="C1391" i="4"/>
  <c r="C1390" i="4"/>
  <c r="C1389" i="4"/>
  <c r="C1388" i="4"/>
  <c r="C1387" i="4"/>
  <c r="C1386" i="4"/>
  <c r="C1385" i="4"/>
  <c r="C1384" i="4"/>
  <c r="C1383" i="4"/>
  <c r="C1382" i="4"/>
  <c r="C1381" i="4"/>
  <c r="C1380" i="4"/>
  <c r="C1379" i="4"/>
  <c r="C1378" i="4"/>
  <c r="C1377" i="4"/>
  <c r="C1376" i="4"/>
  <c r="C1375" i="4"/>
  <c r="C1374" i="4"/>
  <c r="C1373" i="4"/>
  <c r="C1372" i="4"/>
  <c r="C1371" i="4"/>
  <c r="C1370" i="4"/>
  <c r="C1369" i="4"/>
  <c r="C1368" i="4"/>
  <c r="C1367" i="4"/>
  <c r="C1366" i="4"/>
  <c r="C1365" i="4"/>
  <c r="C1364" i="4"/>
  <c r="C1363" i="4"/>
  <c r="C1362" i="4"/>
  <c r="C1361" i="4"/>
  <c r="C1360" i="4"/>
  <c r="C1359" i="4"/>
  <c r="C1358" i="4"/>
  <c r="C1357" i="4"/>
  <c r="C1356" i="4"/>
  <c r="C1355" i="4"/>
  <c r="C1354" i="4"/>
  <c r="C1353" i="4"/>
  <c r="C1352" i="4"/>
  <c r="C1351" i="4"/>
  <c r="C1350" i="4"/>
  <c r="C1349" i="4"/>
  <c r="C1348" i="4"/>
  <c r="C1347" i="4"/>
  <c r="C1346" i="4"/>
  <c r="C1345" i="4"/>
  <c r="C1344" i="4"/>
  <c r="C1343" i="4"/>
  <c r="C1342" i="4"/>
  <c r="C1341" i="4"/>
  <c r="C1340" i="4"/>
  <c r="C1339" i="4"/>
  <c r="C1338" i="4"/>
  <c r="C1337" i="4"/>
  <c r="C1336" i="4"/>
  <c r="C1335" i="4"/>
  <c r="C1334" i="4"/>
  <c r="C1333" i="4"/>
  <c r="C1332" i="4"/>
  <c r="C1331" i="4"/>
  <c r="C1330" i="4"/>
  <c r="C1329" i="4"/>
  <c r="C1328" i="4"/>
  <c r="C1327" i="4"/>
  <c r="C1326" i="4"/>
  <c r="C1325" i="4"/>
  <c r="C1324" i="4"/>
  <c r="C1323" i="4"/>
  <c r="C1322" i="4"/>
  <c r="C1321" i="4"/>
  <c r="C1320" i="4"/>
  <c r="C1319" i="4"/>
  <c r="C1318" i="4"/>
  <c r="C1317" i="4"/>
  <c r="C1316" i="4"/>
  <c r="C1315" i="4"/>
  <c r="C1314" i="4"/>
  <c r="C1313" i="4"/>
  <c r="C1312" i="4"/>
  <c r="C1311" i="4"/>
  <c r="C1310" i="4"/>
  <c r="C1309" i="4"/>
  <c r="C1308" i="4"/>
  <c r="C1307" i="4"/>
  <c r="C1306" i="4"/>
  <c r="C1305" i="4"/>
  <c r="C1304" i="4"/>
  <c r="C1303" i="4"/>
  <c r="C1302" i="4"/>
  <c r="C1301" i="4"/>
  <c r="C1300" i="4"/>
  <c r="C1299" i="4"/>
  <c r="C1298" i="4"/>
  <c r="C1297" i="4"/>
  <c r="C1296" i="4"/>
  <c r="C1295" i="4"/>
  <c r="C1294" i="4"/>
  <c r="C1293" i="4"/>
  <c r="C1292" i="4"/>
  <c r="C1291" i="4"/>
  <c r="C1290" i="4"/>
  <c r="C1289" i="4"/>
  <c r="C1288" i="4"/>
  <c r="C1287" i="4"/>
  <c r="C1286" i="4"/>
  <c r="C1285" i="4"/>
  <c r="C1284" i="4"/>
  <c r="C1283" i="4"/>
  <c r="C1282" i="4"/>
  <c r="C1281" i="4"/>
  <c r="C1280" i="4"/>
  <c r="C1279" i="4"/>
  <c r="C1278" i="4"/>
  <c r="C1277" i="4"/>
  <c r="C1276" i="4"/>
  <c r="C1275" i="4"/>
  <c r="C1274" i="4"/>
  <c r="C1273" i="4"/>
  <c r="C1272" i="4"/>
  <c r="C1271" i="4"/>
  <c r="C1270" i="4"/>
  <c r="C1269" i="4"/>
  <c r="C1268" i="4"/>
  <c r="C1267" i="4"/>
  <c r="C1266" i="4"/>
  <c r="C1265" i="4"/>
  <c r="C1264" i="4"/>
  <c r="C1263" i="4"/>
  <c r="C1262" i="4"/>
  <c r="C1261" i="4"/>
  <c r="C1260" i="4"/>
  <c r="C1259" i="4"/>
  <c r="C1258" i="4"/>
  <c r="C1257" i="4"/>
  <c r="C1256" i="4"/>
  <c r="C1255" i="4"/>
  <c r="C1254" i="4"/>
  <c r="C1253" i="4"/>
  <c r="C1252" i="4"/>
  <c r="C1251" i="4"/>
  <c r="C1250" i="4"/>
  <c r="C1249" i="4"/>
  <c r="C1248" i="4"/>
  <c r="C1247" i="4"/>
  <c r="C1246" i="4"/>
  <c r="C1245" i="4"/>
  <c r="C1244" i="4"/>
  <c r="C1243" i="4"/>
  <c r="C1242" i="4"/>
  <c r="C1241" i="4"/>
  <c r="C1240" i="4"/>
  <c r="C1239" i="4"/>
  <c r="C1238" i="4"/>
  <c r="C1237" i="4"/>
  <c r="C1236" i="4"/>
  <c r="C1235" i="4"/>
  <c r="C1234" i="4"/>
  <c r="C1233" i="4"/>
  <c r="C1232" i="4"/>
  <c r="C1231" i="4"/>
  <c r="C1230" i="4"/>
  <c r="C1229" i="4"/>
  <c r="C1228" i="4"/>
  <c r="C1227" i="4"/>
  <c r="C1226" i="4"/>
  <c r="C1225" i="4"/>
  <c r="C1224" i="4"/>
  <c r="C1223" i="4"/>
  <c r="C1222" i="4"/>
  <c r="C1221" i="4"/>
  <c r="C1220" i="4"/>
  <c r="C1219" i="4"/>
  <c r="C1218" i="4"/>
  <c r="C1217" i="4"/>
  <c r="C1216" i="4"/>
  <c r="C1215" i="4"/>
  <c r="C1214" i="4"/>
  <c r="C1213" i="4"/>
  <c r="C1212" i="4"/>
  <c r="C1211" i="4"/>
  <c r="C1210" i="4"/>
  <c r="C1209" i="4"/>
  <c r="C1208" i="4"/>
  <c r="C1207" i="4"/>
  <c r="C1206" i="4"/>
  <c r="C1205" i="4"/>
  <c r="C1204" i="4"/>
  <c r="C1203" i="4"/>
  <c r="C1202" i="4"/>
  <c r="C1201" i="4"/>
  <c r="C1200" i="4"/>
  <c r="C1199" i="4"/>
  <c r="C1198" i="4"/>
  <c r="C1197" i="4"/>
  <c r="C1196" i="4"/>
  <c r="C1195" i="4"/>
  <c r="C1194" i="4"/>
  <c r="C1193" i="4"/>
  <c r="C1192" i="4"/>
  <c r="C1191" i="4"/>
  <c r="C1190" i="4"/>
  <c r="C1189" i="4"/>
  <c r="C1188" i="4"/>
  <c r="C1187" i="4"/>
  <c r="C1186" i="4"/>
  <c r="C1185" i="4"/>
  <c r="C1184" i="4"/>
  <c r="C1183" i="4"/>
  <c r="C1182" i="4"/>
  <c r="C1181" i="4"/>
  <c r="C1180" i="4"/>
  <c r="C1179" i="4"/>
  <c r="C1178" i="4"/>
  <c r="C1177" i="4"/>
  <c r="C1176" i="4"/>
  <c r="C1175" i="4"/>
  <c r="C1174" i="4"/>
  <c r="C1173" i="4"/>
  <c r="C1172" i="4"/>
  <c r="C1171" i="4"/>
  <c r="C1170" i="4"/>
  <c r="C1169" i="4"/>
  <c r="C1168" i="4"/>
  <c r="C1167" i="4"/>
  <c r="C1166" i="4"/>
  <c r="C1165" i="4"/>
  <c r="C1164" i="4"/>
  <c r="C1163" i="4"/>
  <c r="C1162" i="4"/>
  <c r="C1161" i="4"/>
  <c r="C1160" i="4"/>
  <c r="C1159" i="4"/>
  <c r="C1158" i="4"/>
  <c r="C1157" i="4"/>
  <c r="C1156" i="4"/>
  <c r="C1155" i="4"/>
  <c r="C1154" i="4"/>
  <c r="C1153" i="4"/>
  <c r="C1152" i="4"/>
  <c r="C1151" i="4"/>
  <c r="C1150" i="4"/>
  <c r="C1149" i="4"/>
  <c r="C1148" i="4"/>
  <c r="C1147" i="4"/>
  <c r="C1146" i="4"/>
  <c r="C1145" i="4"/>
  <c r="C1144" i="4"/>
  <c r="C1143" i="4"/>
  <c r="C1142" i="4"/>
  <c r="C1141" i="4"/>
  <c r="C1140" i="4"/>
  <c r="C1139" i="4"/>
  <c r="C1138" i="4"/>
  <c r="C1137" i="4"/>
  <c r="C1136" i="4"/>
  <c r="C1135" i="4"/>
  <c r="C1134" i="4"/>
  <c r="C1133" i="4"/>
  <c r="C1132" i="4"/>
  <c r="C1131" i="4"/>
  <c r="C1130" i="4"/>
  <c r="C1129" i="4"/>
  <c r="C1128" i="4"/>
  <c r="C1127" i="4"/>
  <c r="C1126" i="4"/>
  <c r="C1125" i="4"/>
  <c r="C1124" i="4"/>
  <c r="C1123" i="4"/>
  <c r="C1122" i="4"/>
  <c r="C1121" i="4"/>
  <c r="C1120" i="4"/>
  <c r="C1119" i="4"/>
  <c r="C1118" i="4"/>
  <c r="C1117" i="4"/>
  <c r="C1116" i="4"/>
  <c r="C1115" i="4"/>
  <c r="C1114" i="4"/>
  <c r="C1113" i="4"/>
  <c r="C1112" i="4"/>
  <c r="C1111" i="4"/>
  <c r="C1110" i="4"/>
  <c r="C1109" i="4"/>
  <c r="C1108" i="4"/>
  <c r="C1107" i="4"/>
  <c r="C1106" i="4"/>
  <c r="C1105" i="4"/>
  <c r="C1104" i="4"/>
  <c r="C1103" i="4"/>
  <c r="C1102" i="4"/>
  <c r="C1101" i="4"/>
  <c r="C1100" i="4"/>
  <c r="C1099" i="4"/>
  <c r="C1098" i="4"/>
  <c r="C1097" i="4"/>
  <c r="C1096" i="4"/>
  <c r="C1095" i="4"/>
  <c r="C1094" i="4"/>
  <c r="C1093" i="4"/>
  <c r="C1092" i="4"/>
  <c r="C1091" i="4"/>
  <c r="C1090" i="4"/>
  <c r="C1089" i="4"/>
  <c r="C1088" i="4"/>
  <c r="C1087" i="4"/>
  <c r="C1086" i="4"/>
  <c r="C1085" i="4"/>
  <c r="C1084" i="4"/>
  <c r="C1083" i="4"/>
  <c r="C1082" i="4"/>
  <c r="C1081" i="4"/>
  <c r="C1080" i="4"/>
  <c r="C1079" i="4"/>
  <c r="C1078" i="4"/>
  <c r="C1077" i="4"/>
  <c r="C1076" i="4"/>
  <c r="C1075" i="4"/>
  <c r="C1074" i="4"/>
  <c r="C1073" i="4"/>
  <c r="C1072" i="4"/>
  <c r="C1071" i="4"/>
  <c r="C1070" i="4"/>
  <c r="C1069" i="4"/>
  <c r="C1068" i="4"/>
  <c r="C1067" i="4"/>
  <c r="C1066" i="4"/>
  <c r="C1065" i="4"/>
  <c r="C1064" i="4"/>
  <c r="C1063" i="4"/>
  <c r="C1062" i="4"/>
  <c r="C1061" i="4"/>
  <c r="C1060" i="4"/>
  <c r="C1059" i="4"/>
  <c r="C1058" i="4"/>
  <c r="C1057" i="4"/>
  <c r="C1056" i="4"/>
  <c r="C1055" i="4"/>
  <c r="C1054" i="4"/>
  <c r="C1053" i="4"/>
  <c r="C1052" i="4"/>
  <c r="C1051" i="4"/>
  <c r="C1050" i="4"/>
  <c r="C1049" i="4"/>
  <c r="C1048" i="4"/>
  <c r="C1047" i="4"/>
  <c r="C1046" i="4"/>
  <c r="C1045" i="4"/>
  <c r="C1044" i="4"/>
  <c r="C1043" i="4"/>
  <c r="C1042" i="4"/>
  <c r="C1041" i="4"/>
  <c r="C1040" i="4"/>
  <c r="C1039" i="4"/>
  <c r="C1038" i="4"/>
  <c r="C1037" i="4"/>
  <c r="C1036" i="4"/>
  <c r="C1035" i="4"/>
  <c r="C1034" i="4"/>
  <c r="C1033" i="4"/>
  <c r="C1032" i="4"/>
  <c r="C1031" i="4"/>
  <c r="C1030" i="4"/>
  <c r="C1029" i="4"/>
  <c r="C1028" i="4"/>
  <c r="C1027" i="4"/>
  <c r="C1026" i="4"/>
  <c r="C1025" i="4"/>
  <c r="C1024" i="4"/>
  <c r="C1023" i="4"/>
  <c r="C1022" i="4"/>
  <c r="C1021" i="4"/>
  <c r="C1020" i="4"/>
  <c r="C1019" i="4"/>
  <c r="C1018" i="4"/>
  <c r="C1017" i="4"/>
  <c r="C1016" i="4"/>
  <c r="C1015" i="4"/>
  <c r="C1014" i="4"/>
  <c r="C1013" i="4"/>
  <c r="C1012" i="4"/>
  <c r="C1011" i="4"/>
  <c r="C1010" i="4"/>
  <c r="C1009" i="4"/>
  <c r="C1008" i="4"/>
  <c r="C1007" i="4"/>
  <c r="C1006" i="4"/>
  <c r="C1005" i="4"/>
  <c r="C1004" i="4"/>
  <c r="C1003" i="4"/>
  <c r="C1002" i="4"/>
  <c r="C1001" i="4"/>
  <c r="C1000" i="4"/>
  <c r="C999" i="4"/>
  <c r="C998" i="4"/>
  <c r="C997" i="4"/>
  <c r="C996" i="4"/>
  <c r="C995" i="4"/>
  <c r="C994" i="4"/>
  <c r="C993" i="4"/>
  <c r="C992" i="4"/>
  <c r="C991" i="4"/>
  <c r="C990" i="4"/>
  <c r="C989" i="4"/>
  <c r="C988" i="4"/>
  <c r="C987" i="4"/>
  <c r="C986" i="4"/>
  <c r="C985" i="4"/>
  <c r="C984" i="4"/>
  <c r="C983" i="4"/>
  <c r="C982" i="4"/>
  <c r="C981" i="4"/>
  <c r="C980" i="4"/>
  <c r="C979" i="4"/>
  <c r="C978" i="4"/>
  <c r="C977" i="4"/>
  <c r="C976" i="4"/>
  <c r="C975" i="4"/>
  <c r="C974" i="4"/>
  <c r="C973" i="4"/>
  <c r="C972" i="4"/>
  <c r="C971" i="4"/>
  <c r="C970" i="4"/>
  <c r="C969" i="4"/>
  <c r="C968" i="4"/>
  <c r="C967" i="4"/>
  <c r="C966" i="4"/>
  <c r="C965" i="4"/>
  <c r="C964" i="4"/>
  <c r="C963" i="4"/>
  <c r="C962" i="4"/>
  <c r="C961" i="4"/>
  <c r="C960" i="4"/>
  <c r="C959" i="4"/>
  <c r="C958" i="4"/>
  <c r="C957" i="4"/>
  <c r="C956" i="4"/>
  <c r="C955" i="4"/>
  <c r="C954" i="4"/>
  <c r="C953" i="4"/>
  <c r="C952" i="4"/>
  <c r="C951" i="4"/>
  <c r="C950" i="4"/>
  <c r="C949" i="4"/>
  <c r="C948" i="4"/>
  <c r="C947" i="4"/>
  <c r="C946" i="4"/>
  <c r="C945" i="4"/>
  <c r="C944" i="4"/>
  <c r="C943" i="4"/>
  <c r="C942" i="4"/>
  <c r="C941" i="4"/>
  <c r="C940" i="4"/>
  <c r="C939" i="4"/>
  <c r="C938" i="4"/>
  <c r="C937" i="4"/>
  <c r="C936" i="4"/>
  <c r="C935" i="4"/>
  <c r="C934" i="4"/>
  <c r="C933" i="4"/>
  <c r="C932" i="4"/>
  <c r="C931" i="4"/>
  <c r="C930" i="4"/>
  <c r="C929" i="4"/>
  <c r="C928" i="4"/>
  <c r="C927" i="4"/>
  <c r="C926" i="4"/>
  <c r="C925" i="4"/>
  <c r="C924" i="4"/>
  <c r="C923" i="4"/>
  <c r="C922" i="4"/>
  <c r="C921" i="4"/>
  <c r="C920" i="4"/>
  <c r="C919" i="4"/>
  <c r="C918" i="4"/>
  <c r="C917" i="4"/>
  <c r="C916" i="4"/>
  <c r="C915" i="4"/>
  <c r="C914" i="4"/>
  <c r="C913" i="4"/>
  <c r="C912" i="4"/>
  <c r="C911" i="4"/>
  <c r="C910" i="4"/>
  <c r="C909" i="4"/>
  <c r="C908" i="4"/>
  <c r="C907" i="4"/>
  <c r="C906" i="4"/>
  <c r="C905" i="4"/>
  <c r="C904" i="4"/>
  <c r="C903" i="4"/>
  <c r="C902" i="4"/>
  <c r="C901" i="4"/>
  <c r="C900" i="4"/>
  <c r="C899" i="4"/>
  <c r="C898" i="4"/>
  <c r="C897" i="4"/>
  <c r="C896" i="4"/>
  <c r="C895" i="4"/>
  <c r="C894" i="4"/>
  <c r="C893" i="4"/>
  <c r="C892" i="4"/>
  <c r="C891" i="4"/>
  <c r="C890" i="4"/>
  <c r="C889" i="4"/>
  <c r="C888" i="4"/>
  <c r="C887" i="4"/>
  <c r="C886" i="4"/>
  <c r="C885" i="4"/>
  <c r="C884" i="4"/>
  <c r="C883" i="4"/>
  <c r="C882" i="4"/>
  <c r="C881" i="4"/>
  <c r="C880" i="4"/>
  <c r="C879" i="4"/>
  <c r="C878" i="4"/>
  <c r="C877" i="4"/>
  <c r="C876" i="4"/>
  <c r="C875" i="4"/>
  <c r="C874" i="4"/>
  <c r="C873" i="4"/>
  <c r="C872" i="4"/>
  <c r="C871" i="4"/>
  <c r="C870" i="4"/>
  <c r="C869" i="4"/>
  <c r="C868" i="4"/>
  <c r="C867" i="4"/>
  <c r="C866" i="4"/>
  <c r="C865" i="4"/>
  <c r="C864" i="4"/>
  <c r="C863" i="4"/>
  <c r="C862" i="4"/>
  <c r="C861" i="4"/>
  <c r="C860" i="4"/>
  <c r="C859" i="4"/>
  <c r="C858" i="4"/>
  <c r="C857" i="4"/>
  <c r="C856" i="4"/>
  <c r="C855" i="4"/>
  <c r="C854" i="4"/>
  <c r="C853" i="4"/>
  <c r="C852" i="4"/>
  <c r="C851" i="4"/>
  <c r="C850" i="4"/>
  <c r="C849" i="4"/>
  <c r="C848" i="4"/>
  <c r="C847" i="4"/>
  <c r="C846" i="4"/>
  <c r="C845" i="4"/>
  <c r="C844" i="4"/>
  <c r="C843" i="4"/>
  <c r="C842" i="4"/>
  <c r="C841" i="4"/>
  <c r="C840" i="4"/>
  <c r="C839" i="4"/>
  <c r="C838" i="4"/>
  <c r="C837" i="4"/>
  <c r="C836" i="4"/>
  <c r="C835" i="4"/>
  <c r="C834" i="4"/>
  <c r="C833" i="4"/>
  <c r="C832" i="4"/>
  <c r="C831" i="4"/>
  <c r="C830" i="4"/>
  <c r="C829" i="4"/>
  <c r="C828" i="4"/>
  <c r="C827" i="4"/>
  <c r="C826" i="4"/>
  <c r="C825" i="4"/>
  <c r="C824" i="4"/>
  <c r="C823" i="4"/>
  <c r="C822" i="4"/>
  <c r="C821" i="4"/>
  <c r="C820" i="4"/>
  <c r="C819" i="4"/>
  <c r="C818" i="4"/>
  <c r="C817" i="4"/>
  <c r="C816" i="4"/>
  <c r="C815" i="4"/>
  <c r="C814" i="4"/>
  <c r="C813" i="4"/>
  <c r="C812" i="4"/>
  <c r="C811" i="4"/>
  <c r="C810" i="4"/>
  <c r="C809" i="4"/>
  <c r="C808" i="4"/>
  <c r="C807" i="4"/>
  <c r="C806" i="4"/>
  <c r="C805" i="4"/>
  <c r="C804" i="4"/>
  <c r="C803" i="4"/>
  <c r="C802" i="4"/>
  <c r="C801" i="4"/>
  <c r="C800" i="4"/>
  <c r="C799" i="4"/>
  <c r="C798" i="4"/>
  <c r="C797" i="4"/>
  <c r="C796" i="4"/>
  <c r="C795" i="4"/>
  <c r="C794" i="4"/>
  <c r="C793" i="4"/>
  <c r="C792" i="4"/>
  <c r="C791" i="4"/>
  <c r="C790" i="4"/>
  <c r="C789" i="4"/>
  <c r="C788" i="4"/>
  <c r="C787" i="4"/>
  <c r="C786" i="4"/>
  <c r="C785" i="4"/>
  <c r="C784" i="4"/>
  <c r="C783" i="4"/>
  <c r="C782" i="4"/>
  <c r="C781" i="4"/>
  <c r="C780" i="4"/>
  <c r="C779" i="4"/>
  <c r="C778" i="4"/>
  <c r="C777" i="4"/>
  <c r="C776" i="4"/>
  <c r="C775" i="4"/>
  <c r="C774" i="4"/>
  <c r="C773" i="4"/>
  <c r="C772" i="4"/>
  <c r="C771" i="4"/>
  <c r="C770" i="4"/>
  <c r="C769" i="4"/>
  <c r="C768" i="4"/>
  <c r="C767" i="4"/>
  <c r="C766" i="4"/>
  <c r="C765" i="4"/>
  <c r="C764" i="4"/>
  <c r="C763" i="4"/>
  <c r="C762" i="4"/>
  <c r="C761" i="4"/>
  <c r="C760" i="4"/>
  <c r="C759" i="4"/>
  <c r="C758" i="4"/>
  <c r="C757" i="4"/>
  <c r="C756" i="4"/>
  <c r="C755" i="4"/>
  <c r="C754" i="4"/>
  <c r="C753" i="4"/>
  <c r="C752" i="4"/>
  <c r="C751" i="4"/>
  <c r="C750" i="4"/>
  <c r="C749" i="4"/>
  <c r="C748" i="4"/>
  <c r="C747" i="4"/>
  <c r="C746" i="4"/>
  <c r="C745" i="4"/>
  <c r="C744" i="4"/>
  <c r="C743" i="4"/>
  <c r="C742" i="4"/>
  <c r="C741" i="4"/>
  <c r="C740" i="4"/>
  <c r="C739" i="4"/>
  <c r="C738" i="4"/>
  <c r="C737" i="4"/>
  <c r="C736" i="4"/>
  <c r="C735" i="4"/>
  <c r="C734" i="4"/>
  <c r="C733" i="4"/>
  <c r="C732" i="4"/>
  <c r="C731" i="4"/>
  <c r="C730" i="4"/>
  <c r="C729" i="4"/>
  <c r="C728" i="4"/>
  <c r="C727" i="4"/>
  <c r="C726" i="4"/>
  <c r="C725" i="4"/>
  <c r="C724" i="4"/>
  <c r="C723" i="4"/>
  <c r="C722" i="4"/>
  <c r="C721" i="4"/>
  <c r="C720" i="4"/>
  <c r="C719" i="4"/>
  <c r="C718" i="4"/>
  <c r="C717" i="4"/>
  <c r="C716" i="4"/>
  <c r="C715" i="4"/>
  <c r="C714" i="4"/>
  <c r="C713" i="4"/>
  <c r="C712" i="4"/>
  <c r="C711" i="4"/>
  <c r="C710" i="4"/>
  <c r="C709" i="4"/>
  <c r="C708" i="4"/>
  <c r="C707" i="4"/>
  <c r="C706" i="4"/>
  <c r="C705" i="4"/>
  <c r="C704" i="4"/>
  <c r="C703" i="4"/>
  <c r="C702" i="4"/>
  <c r="C701" i="4"/>
  <c r="C700" i="4"/>
  <c r="C699" i="4"/>
  <c r="C698" i="4"/>
  <c r="C697" i="4"/>
  <c r="C696" i="4"/>
  <c r="C695" i="4"/>
  <c r="C694" i="4"/>
  <c r="C693" i="4"/>
  <c r="C692" i="4"/>
  <c r="C691" i="4"/>
  <c r="C690" i="4"/>
  <c r="C689" i="4"/>
  <c r="C688" i="4"/>
  <c r="C687" i="4"/>
  <c r="C686" i="4"/>
  <c r="C685" i="4"/>
  <c r="C684" i="4"/>
  <c r="C683" i="4"/>
  <c r="C682" i="4"/>
  <c r="C681" i="4"/>
  <c r="C680" i="4"/>
  <c r="C679" i="4"/>
  <c r="C678" i="4"/>
  <c r="C677" i="4"/>
  <c r="C676" i="4"/>
  <c r="C675" i="4"/>
  <c r="C674" i="4"/>
  <c r="C673" i="4"/>
  <c r="C672" i="4"/>
  <c r="C671" i="4"/>
  <c r="C670" i="4"/>
  <c r="C669" i="4"/>
  <c r="C668" i="4"/>
  <c r="C667" i="4"/>
  <c r="C666" i="4"/>
  <c r="C665" i="4"/>
  <c r="C664" i="4"/>
  <c r="C663" i="4"/>
  <c r="C662" i="4"/>
  <c r="C661" i="4"/>
  <c r="C660" i="4"/>
  <c r="C659" i="4"/>
  <c r="C658" i="4"/>
  <c r="C657" i="4"/>
  <c r="C656" i="4"/>
  <c r="C655" i="4"/>
  <c r="C654" i="4"/>
  <c r="C653" i="4"/>
  <c r="C652" i="4"/>
  <c r="C651" i="4"/>
  <c r="C650" i="4"/>
  <c r="C649" i="4"/>
  <c r="C648" i="4"/>
  <c r="C647" i="4"/>
  <c r="C646" i="4"/>
  <c r="C645" i="4"/>
  <c r="C644" i="4"/>
  <c r="C643" i="4"/>
  <c r="C642" i="4"/>
  <c r="C641" i="4"/>
  <c r="C640" i="4"/>
  <c r="C639" i="4"/>
  <c r="C638" i="4"/>
  <c r="C637" i="4"/>
  <c r="C636" i="4"/>
  <c r="C635" i="4"/>
  <c r="C634" i="4"/>
  <c r="C633" i="4"/>
  <c r="C632" i="4"/>
  <c r="C631" i="4"/>
  <c r="C630" i="4"/>
  <c r="C629" i="4"/>
  <c r="C628" i="4"/>
  <c r="C627" i="4"/>
  <c r="C626" i="4"/>
  <c r="C625" i="4"/>
  <c r="C624" i="4"/>
  <c r="C623" i="4"/>
  <c r="C622" i="4"/>
  <c r="C621" i="4"/>
  <c r="C620" i="4"/>
  <c r="C619" i="4"/>
  <c r="C618" i="4"/>
  <c r="C617" i="4"/>
  <c r="C616" i="4"/>
  <c r="C615" i="4"/>
  <c r="C614" i="4"/>
  <c r="C613" i="4"/>
  <c r="C612" i="4"/>
  <c r="C611" i="4"/>
  <c r="C610" i="4"/>
  <c r="C609" i="4"/>
  <c r="C608" i="4"/>
  <c r="C607" i="4"/>
  <c r="C606" i="4"/>
  <c r="C605" i="4"/>
  <c r="C604" i="4"/>
  <c r="C603" i="4"/>
  <c r="C602" i="4"/>
  <c r="C601" i="4"/>
  <c r="C600" i="4"/>
  <c r="C599" i="4"/>
  <c r="C598" i="4"/>
  <c r="C597" i="4"/>
  <c r="C596" i="4"/>
  <c r="C595" i="4"/>
  <c r="C594" i="4"/>
  <c r="C593" i="4"/>
  <c r="C592" i="4"/>
  <c r="C591" i="4"/>
  <c r="C590" i="4"/>
  <c r="C589" i="4"/>
  <c r="C588" i="4"/>
  <c r="C587" i="4"/>
  <c r="C586" i="4"/>
  <c r="C585" i="4"/>
  <c r="C584" i="4"/>
  <c r="C583" i="4"/>
  <c r="C582" i="4"/>
  <c r="C581" i="4"/>
  <c r="C580" i="4"/>
  <c r="C579" i="4"/>
  <c r="C578" i="4"/>
  <c r="C577" i="4"/>
  <c r="C576" i="4"/>
  <c r="C575" i="4"/>
  <c r="C574" i="4"/>
  <c r="C573" i="4"/>
  <c r="C572" i="4"/>
  <c r="C571" i="4"/>
  <c r="C570" i="4"/>
  <c r="C569" i="4"/>
  <c r="C568" i="4"/>
  <c r="C567" i="4"/>
  <c r="C566" i="4"/>
  <c r="C565" i="4"/>
  <c r="C564" i="4"/>
  <c r="C563" i="4"/>
  <c r="C562" i="4"/>
  <c r="C561" i="4"/>
  <c r="C560" i="4"/>
  <c r="C559" i="4"/>
  <c r="C558" i="4"/>
  <c r="C557" i="4"/>
  <c r="C556" i="4"/>
  <c r="C555" i="4"/>
  <c r="C554" i="4"/>
  <c r="C553" i="4"/>
  <c r="C552" i="4"/>
  <c r="C551" i="4"/>
  <c r="C550" i="4"/>
  <c r="C549" i="4"/>
  <c r="C548" i="4"/>
  <c r="C547" i="4"/>
  <c r="C546" i="4"/>
  <c r="C545" i="4"/>
  <c r="C544" i="4"/>
  <c r="C543" i="4"/>
  <c r="C542" i="4"/>
  <c r="C541" i="4"/>
  <c r="C540" i="4"/>
  <c r="C539" i="4"/>
  <c r="C538" i="4"/>
  <c r="C537" i="4"/>
  <c r="C536" i="4"/>
  <c r="C535" i="4"/>
  <c r="C534" i="4"/>
  <c r="C533" i="4"/>
  <c r="C532" i="4"/>
  <c r="C531" i="4"/>
  <c r="C530" i="4"/>
  <c r="C529" i="4"/>
  <c r="C528" i="4"/>
  <c r="C527" i="4"/>
  <c r="C526" i="4"/>
  <c r="C525" i="4"/>
  <c r="C524" i="4"/>
  <c r="C523" i="4"/>
  <c r="C522" i="4"/>
  <c r="C521" i="4"/>
  <c r="C520" i="4"/>
  <c r="C519" i="4"/>
  <c r="C518" i="4"/>
  <c r="C517" i="4"/>
  <c r="C516" i="4"/>
  <c r="C515" i="4"/>
  <c r="C514" i="4"/>
  <c r="C513" i="4"/>
  <c r="C512" i="4"/>
  <c r="C511" i="4"/>
  <c r="C510" i="4"/>
  <c r="C509" i="4"/>
  <c r="C508" i="4"/>
  <c r="C507" i="4"/>
  <c r="C506" i="4"/>
  <c r="C505" i="4"/>
  <c r="C504" i="4"/>
  <c r="C503" i="4"/>
  <c r="C502" i="4"/>
  <c r="C501" i="4"/>
  <c r="C500" i="4"/>
  <c r="C499" i="4"/>
  <c r="C498" i="4"/>
  <c r="C497" i="4"/>
  <c r="C496" i="4"/>
  <c r="C495" i="4"/>
  <c r="C494" i="4"/>
  <c r="C493" i="4"/>
  <c r="C492" i="4"/>
  <c r="C491" i="4"/>
  <c r="C490" i="4"/>
  <c r="C489" i="4"/>
  <c r="C488" i="4"/>
  <c r="C487" i="4"/>
  <c r="C486" i="4"/>
  <c r="C485" i="4"/>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2" i="4"/>
  <c r="C1877" i="3" l="1"/>
  <c r="C1876" i="3"/>
  <c r="C1875" i="3"/>
  <c r="C1874" i="3"/>
  <c r="C1873" i="3"/>
  <c r="C1872" i="3"/>
  <c r="C1871" i="3"/>
  <c r="C1870" i="3"/>
  <c r="C1869" i="3"/>
  <c r="C1868" i="3"/>
  <c r="C1867" i="3"/>
  <c r="C1866" i="3"/>
  <c r="C1865" i="3"/>
  <c r="C1864" i="3"/>
  <c r="C1863" i="3"/>
  <c r="C1862" i="3"/>
  <c r="C1861" i="3"/>
  <c r="C1860" i="3"/>
  <c r="C1859" i="3"/>
  <c r="C1858" i="3"/>
  <c r="C1857" i="3"/>
  <c r="C1856" i="3"/>
  <c r="C1855" i="3"/>
  <c r="C1854" i="3"/>
  <c r="C1853" i="3"/>
  <c r="C1852" i="3"/>
  <c r="C1851" i="3"/>
  <c r="C1850" i="3"/>
  <c r="C1849" i="3"/>
  <c r="C1848" i="3"/>
  <c r="C1847" i="3"/>
  <c r="C1846" i="3"/>
  <c r="C1845" i="3"/>
  <c r="C1844" i="3"/>
  <c r="C1843" i="3"/>
  <c r="C1842" i="3"/>
  <c r="C1841" i="3"/>
  <c r="C1840" i="3"/>
  <c r="C1839" i="3"/>
  <c r="C1838" i="3"/>
  <c r="C1837" i="3"/>
  <c r="C1836" i="3"/>
  <c r="C1835" i="3"/>
  <c r="C1834" i="3"/>
  <c r="C1833" i="3"/>
  <c r="C1832" i="3"/>
  <c r="C1831" i="3"/>
  <c r="C1830" i="3"/>
  <c r="C1829" i="3"/>
  <c r="C1828" i="3"/>
  <c r="C1827" i="3"/>
  <c r="C1826" i="3"/>
  <c r="C1825" i="3"/>
  <c r="C1824" i="3"/>
  <c r="C1823" i="3"/>
  <c r="C1822" i="3"/>
  <c r="C1821" i="3"/>
  <c r="C1820" i="3"/>
  <c r="C1819" i="3"/>
  <c r="C1818" i="3"/>
  <c r="C1817" i="3"/>
  <c r="C1816" i="3"/>
  <c r="C1815" i="3"/>
  <c r="C1814" i="3"/>
  <c r="C1813" i="3"/>
  <c r="C1812" i="3"/>
  <c r="C1811" i="3"/>
  <c r="C1810" i="3"/>
  <c r="C1809" i="3"/>
  <c r="C1808" i="3"/>
  <c r="C1807" i="3"/>
  <c r="C1806" i="3"/>
  <c r="C1805" i="3"/>
  <c r="C1804" i="3"/>
  <c r="C1803" i="3"/>
  <c r="C1802" i="3"/>
  <c r="C1801" i="3"/>
  <c r="C1800" i="3"/>
  <c r="C1799" i="3"/>
  <c r="C1798" i="3"/>
  <c r="C1797" i="3"/>
  <c r="C1796" i="3"/>
  <c r="C1795" i="3"/>
  <c r="C1794" i="3"/>
  <c r="C1793" i="3"/>
  <c r="C1792" i="3"/>
  <c r="C1791" i="3"/>
  <c r="C1790" i="3"/>
  <c r="C1789" i="3"/>
  <c r="C1788" i="3"/>
  <c r="C1787" i="3"/>
  <c r="C1786" i="3"/>
  <c r="C1785" i="3"/>
  <c r="C1784" i="3"/>
  <c r="C1783" i="3"/>
  <c r="C1782" i="3"/>
  <c r="C1781" i="3"/>
  <c r="C1780" i="3"/>
  <c r="C1779" i="3"/>
  <c r="C1778" i="3"/>
  <c r="C1777" i="3"/>
  <c r="C1776" i="3"/>
  <c r="C1775" i="3"/>
  <c r="C1774" i="3"/>
  <c r="C1773" i="3"/>
  <c r="C1772" i="3"/>
  <c r="C1771" i="3"/>
  <c r="C1770" i="3"/>
  <c r="C1769" i="3"/>
  <c r="C1768" i="3"/>
  <c r="C1767" i="3"/>
  <c r="C1766" i="3"/>
  <c r="C1765" i="3"/>
  <c r="C1764" i="3"/>
  <c r="C1763" i="3"/>
  <c r="C1762" i="3"/>
  <c r="C1761" i="3"/>
  <c r="C1760" i="3"/>
  <c r="C1759" i="3"/>
  <c r="C1758" i="3"/>
  <c r="C1757" i="3"/>
  <c r="C1756" i="3"/>
  <c r="C1755" i="3"/>
  <c r="C1754" i="3"/>
  <c r="C1753" i="3"/>
  <c r="C1752" i="3"/>
  <c r="C1751" i="3"/>
  <c r="C1750" i="3"/>
  <c r="C1749" i="3"/>
  <c r="C1748" i="3"/>
  <c r="C1747" i="3"/>
  <c r="C1746" i="3"/>
  <c r="C1745" i="3"/>
  <c r="C1744" i="3"/>
  <c r="C1743" i="3"/>
  <c r="C1742" i="3"/>
  <c r="C1741" i="3"/>
  <c r="C1740" i="3"/>
  <c r="C1739" i="3"/>
  <c r="C1738" i="3"/>
  <c r="C1737" i="3"/>
  <c r="C1736" i="3"/>
  <c r="C1735" i="3"/>
  <c r="C1734" i="3"/>
  <c r="C1733" i="3"/>
  <c r="C1732" i="3"/>
  <c r="C1731" i="3"/>
  <c r="C1730" i="3"/>
  <c r="C1729" i="3"/>
  <c r="C1728" i="3"/>
  <c r="C1727" i="3"/>
  <c r="C1726" i="3"/>
  <c r="C1725" i="3"/>
  <c r="C1724" i="3"/>
  <c r="C1723" i="3"/>
  <c r="C1722" i="3"/>
  <c r="C1721" i="3"/>
  <c r="C1720" i="3"/>
  <c r="C1719" i="3"/>
  <c r="C1718" i="3"/>
  <c r="C1717" i="3"/>
  <c r="C1716" i="3"/>
  <c r="C1715" i="3"/>
  <c r="C1714" i="3"/>
  <c r="C1713" i="3"/>
  <c r="C1712" i="3"/>
  <c r="C1711" i="3"/>
  <c r="C1710" i="3"/>
  <c r="C1709" i="3"/>
  <c r="C1708" i="3"/>
  <c r="C1707" i="3"/>
  <c r="C1706" i="3"/>
  <c r="C1705" i="3"/>
  <c r="C1704" i="3"/>
  <c r="C1703" i="3"/>
  <c r="C1702" i="3"/>
  <c r="C1701" i="3"/>
  <c r="C1700" i="3"/>
  <c r="C1699" i="3"/>
  <c r="C1698" i="3"/>
  <c r="C1697" i="3"/>
  <c r="C1696" i="3"/>
  <c r="C1695" i="3"/>
  <c r="C1694" i="3"/>
  <c r="C1693" i="3"/>
  <c r="C1692" i="3"/>
  <c r="C1691" i="3"/>
  <c r="C1690" i="3"/>
  <c r="C1689" i="3"/>
  <c r="C1688" i="3"/>
  <c r="C1687" i="3"/>
  <c r="C1686" i="3"/>
  <c r="C1685" i="3"/>
  <c r="C1684" i="3"/>
  <c r="C1683" i="3"/>
  <c r="C1682" i="3"/>
  <c r="C1681" i="3"/>
  <c r="C1680" i="3"/>
  <c r="C1679" i="3"/>
  <c r="C1678" i="3"/>
  <c r="C1677" i="3"/>
  <c r="C1676" i="3"/>
  <c r="C1675" i="3"/>
  <c r="C1674" i="3"/>
  <c r="C1673" i="3"/>
  <c r="C1672" i="3"/>
  <c r="C1671" i="3"/>
  <c r="C1670" i="3"/>
  <c r="C1669" i="3"/>
  <c r="C1668" i="3"/>
  <c r="C1667" i="3"/>
  <c r="C1666" i="3"/>
  <c r="C1665" i="3"/>
  <c r="C1664" i="3"/>
  <c r="C1663" i="3"/>
  <c r="C1662" i="3"/>
  <c r="C1661" i="3"/>
  <c r="C1660" i="3"/>
  <c r="C1659" i="3"/>
  <c r="C1658" i="3"/>
  <c r="C1657" i="3"/>
  <c r="C1656" i="3"/>
  <c r="C1655" i="3"/>
  <c r="C1654" i="3"/>
  <c r="C1653" i="3"/>
  <c r="C1652" i="3"/>
  <c r="C1651" i="3"/>
  <c r="C1650" i="3"/>
  <c r="C1649" i="3"/>
  <c r="C1648" i="3"/>
  <c r="C1647" i="3"/>
  <c r="C1646" i="3"/>
  <c r="C1645" i="3"/>
  <c r="C1644" i="3"/>
  <c r="C1643" i="3"/>
  <c r="C1642" i="3"/>
  <c r="C1641" i="3"/>
  <c r="C1640" i="3"/>
  <c r="C1639" i="3"/>
  <c r="C1638" i="3"/>
  <c r="C1637" i="3"/>
  <c r="C1636" i="3"/>
  <c r="C1635" i="3"/>
  <c r="C1634" i="3"/>
  <c r="C1633" i="3"/>
  <c r="C1632" i="3"/>
  <c r="C1631" i="3"/>
  <c r="C1630" i="3"/>
  <c r="C1629" i="3"/>
  <c r="C1628" i="3"/>
  <c r="C1627" i="3"/>
  <c r="C1626" i="3"/>
  <c r="C1625" i="3"/>
  <c r="C1624" i="3"/>
  <c r="C1623" i="3"/>
  <c r="C1622" i="3"/>
  <c r="C1621" i="3"/>
  <c r="C1620" i="3"/>
  <c r="C1619" i="3"/>
  <c r="C1618" i="3"/>
  <c r="C1617" i="3"/>
  <c r="C1616" i="3"/>
  <c r="C1615" i="3"/>
  <c r="C1614" i="3"/>
  <c r="C1613" i="3"/>
  <c r="C1612" i="3"/>
  <c r="C1611" i="3"/>
  <c r="C1610" i="3"/>
  <c r="C1609" i="3"/>
  <c r="C1608" i="3"/>
  <c r="C1607" i="3"/>
  <c r="C1606" i="3"/>
  <c r="C1605" i="3"/>
  <c r="C1604" i="3"/>
  <c r="C1603" i="3"/>
  <c r="C1602" i="3"/>
  <c r="C1601" i="3"/>
  <c r="C1600" i="3"/>
  <c r="C1599" i="3"/>
  <c r="C1598" i="3"/>
  <c r="C1597" i="3"/>
  <c r="C1596" i="3"/>
  <c r="C1595" i="3"/>
  <c r="C1594" i="3"/>
  <c r="C1593" i="3"/>
  <c r="C1592" i="3"/>
  <c r="C1591" i="3"/>
  <c r="C1590" i="3"/>
  <c r="C1589" i="3"/>
  <c r="C1588" i="3"/>
  <c r="C1587" i="3"/>
  <c r="C1586" i="3"/>
  <c r="C1585" i="3"/>
  <c r="C1584" i="3"/>
  <c r="C1583" i="3"/>
  <c r="C1582" i="3"/>
  <c r="C1581" i="3"/>
  <c r="C1580" i="3"/>
  <c r="C1579" i="3"/>
  <c r="C1578" i="3"/>
  <c r="C1577" i="3"/>
  <c r="C1576" i="3"/>
  <c r="C1575" i="3"/>
  <c r="C1574" i="3"/>
  <c r="C1573" i="3"/>
  <c r="C1572" i="3"/>
  <c r="C1571" i="3"/>
  <c r="C1570" i="3"/>
  <c r="C1569" i="3"/>
  <c r="C1568" i="3"/>
  <c r="C1567" i="3"/>
  <c r="C1566" i="3"/>
  <c r="C1565" i="3"/>
  <c r="C1564" i="3"/>
  <c r="C1563" i="3"/>
  <c r="C1562" i="3"/>
  <c r="C1561" i="3"/>
  <c r="C1560" i="3"/>
  <c r="C1559" i="3"/>
  <c r="C1558" i="3"/>
  <c r="C1557" i="3"/>
  <c r="C1556" i="3"/>
  <c r="C1555" i="3"/>
  <c r="C1554" i="3"/>
  <c r="C1553" i="3"/>
  <c r="C1552" i="3"/>
  <c r="C1551" i="3"/>
  <c r="C1550" i="3"/>
  <c r="C1549" i="3"/>
  <c r="C1548" i="3"/>
  <c r="C1547" i="3"/>
  <c r="C1546" i="3"/>
  <c r="C1545" i="3"/>
  <c r="C1544" i="3"/>
  <c r="C1543" i="3"/>
  <c r="C1542" i="3"/>
  <c r="C1541" i="3"/>
  <c r="C1540" i="3"/>
  <c r="C1539" i="3"/>
  <c r="C1538" i="3"/>
  <c r="C1537" i="3"/>
  <c r="C1536" i="3"/>
  <c r="C1535" i="3"/>
  <c r="C1534" i="3"/>
  <c r="C1533" i="3"/>
  <c r="C1532" i="3"/>
  <c r="C1531" i="3"/>
  <c r="C1530" i="3"/>
  <c r="C1529" i="3"/>
  <c r="C1528" i="3"/>
  <c r="C1527" i="3"/>
  <c r="C1526" i="3"/>
  <c r="C1525" i="3"/>
  <c r="C1524" i="3"/>
  <c r="C1523" i="3"/>
  <c r="C1522" i="3"/>
  <c r="C1521" i="3"/>
  <c r="C1520" i="3"/>
  <c r="C1519" i="3"/>
  <c r="C1518" i="3"/>
  <c r="C1517" i="3"/>
  <c r="C1516" i="3"/>
  <c r="C1515" i="3"/>
  <c r="C1514" i="3"/>
  <c r="C1513" i="3"/>
  <c r="C1512" i="3"/>
  <c r="C1511" i="3"/>
  <c r="C1510" i="3"/>
  <c r="C1509" i="3"/>
  <c r="C1508" i="3"/>
  <c r="C1507" i="3"/>
  <c r="C1506" i="3"/>
  <c r="C1505" i="3"/>
  <c r="C1504" i="3"/>
  <c r="C1503" i="3"/>
  <c r="C1502" i="3"/>
  <c r="C1501" i="3"/>
  <c r="C1500" i="3"/>
  <c r="C1499" i="3"/>
  <c r="C1498" i="3"/>
  <c r="C1497" i="3"/>
  <c r="C1496" i="3"/>
  <c r="C1495" i="3"/>
  <c r="C1494" i="3"/>
  <c r="C1493" i="3"/>
  <c r="C1492" i="3"/>
  <c r="C1491" i="3"/>
  <c r="C1490" i="3"/>
  <c r="C1489" i="3"/>
  <c r="C1488" i="3"/>
  <c r="C1487" i="3"/>
  <c r="C1486" i="3"/>
  <c r="C1485" i="3"/>
  <c r="C1484" i="3"/>
  <c r="C1483" i="3"/>
  <c r="C1482" i="3"/>
  <c r="C1481" i="3"/>
  <c r="C1480" i="3"/>
  <c r="C1479" i="3"/>
  <c r="C1478" i="3"/>
  <c r="C1477" i="3"/>
  <c r="C1476" i="3"/>
  <c r="C1475" i="3"/>
  <c r="C1474" i="3"/>
  <c r="C1473" i="3"/>
  <c r="C1472" i="3"/>
  <c r="C1471" i="3"/>
  <c r="C1470" i="3"/>
  <c r="C1469" i="3"/>
  <c r="C1468" i="3"/>
  <c r="C1467" i="3"/>
  <c r="C1466" i="3"/>
  <c r="C1465" i="3"/>
  <c r="C1464" i="3"/>
  <c r="C1463" i="3"/>
  <c r="C1462" i="3"/>
  <c r="C1461" i="3"/>
  <c r="C1460" i="3"/>
  <c r="C1459" i="3"/>
  <c r="C1458" i="3"/>
  <c r="C1457" i="3"/>
  <c r="C1456" i="3"/>
  <c r="C1455" i="3"/>
  <c r="C1454" i="3"/>
  <c r="C1453" i="3"/>
  <c r="C1452" i="3"/>
  <c r="C1451" i="3"/>
  <c r="C1450" i="3"/>
  <c r="C1449" i="3"/>
  <c r="C1448" i="3"/>
  <c r="C1447" i="3"/>
  <c r="C1446" i="3"/>
  <c r="C1445" i="3"/>
  <c r="C1444" i="3"/>
  <c r="C1443" i="3"/>
  <c r="C1442" i="3"/>
  <c r="C1441" i="3"/>
  <c r="C1440" i="3"/>
  <c r="C1439" i="3"/>
  <c r="C1438" i="3"/>
  <c r="C1437" i="3"/>
  <c r="C1436" i="3"/>
  <c r="C1435" i="3"/>
  <c r="C1434" i="3"/>
  <c r="C1433" i="3"/>
  <c r="C1432" i="3"/>
  <c r="C1431" i="3"/>
  <c r="C1430" i="3"/>
  <c r="C1429" i="3"/>
  <c r="C1428" i="3"/>
  <c r="C1427" i="3"/>
  <c r="C1426" i="3"/>
  <c r="C1425" i="3"/>
  <c r="C1424" i="3"/>
  <c r="C1423" i="3"/>
  <c r="C1422" i="3"/>
  <c r="C1421" i="3"/>
  <c r="C1420" i="3"/>
  <c r="C1419" i="3"/>
  <c r="C1418" i="3"/>
  <c r="C1417" i="3"/>
  <c r="C1416" i="3"/>
  <c r="C1415" i="3"/>
  <c r="C1414" i="3"/>
  <c r="C1413" i="3"/>
  <c r="C1412" i="3"/>
  <c r="C1411" i="3"/>
  <c r="C1410" i="3"/>
  <c r="C1409" i="3"/>
  <c r="C1408" i="3"/>
  <c r="C1407" i="3"/>
  <c r="C1406" i="3"/>
  <c r="C1405" i="3"/>
  <c r="C1404" i="3"/>
  <c r="C1403" i="3"/>
  <c r="C1402" i="3"/>
  <c r="C1401" i="3"/>
  <c r="C1400" i="3"/>
  <c r="C1399" i="3"/>
  <c r="C1398" i="3"/>
  <c r="C1397" i="3"/>
  <c r="C1396" i="3"/>
  <c r="C1395" i="3"/>
  <c r="C1394" i="3"/>
  <c r="C1393" i="3"/>
  <c r="C1392" i="3"/>
  <c r="C1391" i="3"/>
  <c r="C1390" i="3"/>
  <c r="C1389" i="3"/>
  <c r="C1388" i="3"/>
  <c r="C1387" i="3"/>
  <c r="C1386" i="3"/>
  <c r="C1385" i="3"/>
  <c r="C1384" i="3"/>
  <c r="C1383" i="3"/>
  <c r="C1382" i="3"/>
  <c r="C1381" i="3"/>
  <c r="C1380" i="3"/>
  <c r="C1379" i="3"/>
  <c r="C1378" i="3"/>
  <c r="C1377" i="3"/>
  <c r="C1376" i="3"/>
  <c r="C1375" i="3"/>
  <c r="C1374" i="3"/>
  <c r="C1373" i="3"/>
  <c r="C1372" i="3"/>
  <c r="C1371" i="3"/>
  <c r="C1370" i="3"/>
  <c r="C1369" i="3"/>
  <c r="C1368" i="3"/>
  <c r="C1367" i="3"/>
  <c r="C1366" i="3"/>
  <c r="C1365" i="3"/>
  <c r="C1364" i="3"/>
  <c r="C1363" i="3"/>
  <c r="C1362" i="3"/>
  <c r="C1361" i="3"/>
  <c r="C1360" i="3"/>
  <c r="C1359" i="3"/>
  <c r="C1358" i="3"/>
  <c r="C1357" i="3"/>
  <c r="C1356" i="3"/>
  <c r="C1355" i="3"/>
  <c r="C1354" i="3"/>
  <c r="C1353" i="3"/>
  <c r="C1352" i="3"/>
  <c r="C1351" i="3"/>
  <c r="C1350" i="3"/>
  <c r="C1349" i="3"/>
  <c r="C1348" i="3"/>
  <c r="C1347" i="3"/>
  <c r="C1346" i="3"/>
  <c r="C1345" i="3"/>
  <c r="C1344" i="3"/>
  <c r="C1343" i="3"/>
  <c r="C1342" i="3"/>
  <c r="C1341" i="3"/>
  <c r="C1340" i="3"/>
  <c r="C1339" i="3"/>
  <c r="C1338" i="3"/>
  <c r="C1337" i="3"/>
  <c r="C1336" i="3"/>
  <c r="C1335" i="3"/>
  <c r="C1334" i="3"/>
  <c r="C1333" i="3"/>
  <c r="C1332" i="3"/>
  <c r="C1331" i="3"/>
  <c r="C1330" i="3"/>
  <c r="C1329" i="3"/>
  <c r="C1328" i="3"/>
  <c r="C1327" i="3"/>
  <c r="C1326" i="3"/>
  <c r="C1325" i="3"/>
  <c r="C1324" i="3"/>
  <c r="C1323" i="3"/>
  <c r="C1322" i="3"/>
  <c r="C1321" i="3"/>
  <c r="C1320" i="3"/>
  <c r="C1319" i="3"/>
  <c r="C1318" i="3"/>
  <c r="C1317" i="3"/>
  <c r="C1316" i="3"/>
  <c r="C1315" i="3"/>
  <c r="C1314" i="3"/>
  <c r="C1313" i="3"/>
  <c r="C1312" i="3"/>
  <c r="C1311" i="3"/>
  <c r="C1310" i="3"/>
  <c r="C1309" i="3"/>
  <c r="C1308" i="3"/>
  <c r="C1307" i="3"/>
  <c r="C1306" i="3"/>
  <c r="C1305" i="3"/>
  <c r="C1304" i="3"/>
  <c r="C1303" i="3"/>
  <c r="C1302" i="3"/>
  <c r="C1301" i="3"/>
  <c r="C1300" i="3"/>
  <c r="C1299" i="3"/>
  <c r="C1298" i="3"/>
  <c r="C1297" i="3"/>
  <c r="C1296" i="3"/>
  <c r="C1295" i="3"/>
  <c r="C1294" i="3"/>
  <c r="C1293" i="3"/>
  <c r="C1292" i="3"/>
  <c r="C1291" i="3"/>
  <c r="C1290" i="3"/>
  <c r="C1289" i="3"/>
  <c r="C1288" i="3"/>
  <c r="C1287" i="3"/>
  <c r="C1286" i="3"/>
  <c r="C1285" i="3"/>
  <c r="C1284" i="3"/>
  <c r="C1283" i="3"/>
  <c r="C1282" i="3"/>
  <c r="C1281" i="3"/>
  <c r="C1280" i="3"/>
  <c r="C1279" i="3"/>
  <c r="C1278" i="3"/>
  <c r="C1277" i="3"/>
  <c r="C1276" i="3"/>
  <c r="C1275" i="3"/>
  <c r="C1274" i="3"/>
  <c r="C1273" i="3"/>
  <c r="C1272" i="3"/>
  <c r="C1271" i="3"/>
  <c r="C1270" i="3"/>
  <c r="C1269" i="3"/>
  <c r="C1268" i="3"/>
  <c r="C1267" i="3"/>
  <c r="C1266" i="3"/>
  <c r="C1265" i="3"/>
  <c r="C1264" i="3"/>
  <c r="C1263" i="3"/>
  <c r="C1262" i="3"/>
  <c r="C1261" i="3"/>
  <c r="C1260" i="3"/>
  <c r="C1259" i="3"/>
  <c r="C1258" i="3"/>
  <c r="C1257" i="3"/>
  <c r="C1256" i="3"/>
  <c r="C1255" i="3"/>
  <c r="C1254" i="3"/>
  <c r="C1253" i="3"/>
  <c r="C1252" i="3"/>
  <c r="C1251" i="3"/>
  <c r="C1250" i="3"/>
  <c r="C1249" i="3"/>
  <c r="C1248" i="3"/>
  <c r="C1247" i="3"/>
  <c r="C1246" i="3"/>
  <c r="C1245" i="3"/>
  <c r="C1244" i="3"/>
  <c r="C1243" i="3"/>
  <c r="C1242" i="3"/>
  <c r="C1241" i="3"/>
  <c r="C1240" i="3"/>
  <c r="C1239" i="3"/>
  <c r="C1238" i="3"/>
  <c r="C1237" i="3"/>
  <c r="C1236" i="3"/>
  <c r="C1235" i="3"/>
  <c r="C1234" i="3"/>
  <c r="C1233" i="3"/>
  <c r="C1232" i="3"/>
  <c r="C1231" i="3"/>
  <c r="C1230" i="3"/>
  <c r="C1229" i="3"/>
  <c r="C1228" i="3"/>
  <c r="C1227" i="3"/>
  <c r="C1226" i="3"/>
  <c r="C1225" i="3"/>
  <c r="C1224" i="3"/>
  <c r="C1223" i="3"/>
  <c r="C1222" i="3"/>
  <c r="C1221" i="3"/>
  <c r="C1220" i="3"/>
  <c r="C1219" i="3"/>
  <c r="C1218" i="3"/>
  <c r="C1217" i="3"/>
  <c r="C1216" i="3"/>
  <c r="C1215" i="3"/>
  <c r="C1214" i="3"/>
  <c r="C1213" i="3"/>
  <c r="C1212" i="3"/>
  <c r="C1211" i="3"/>
  <c r="C1210" i="3"/>
  <c r="C1209" i="3"/>
  <c r="C1208" i="3"/>
  <c r="C1207" i="3"/>
  <c r="C1206" i="3"/>
  <c r="C1205" i="3"/>
  <c r="C1204" i="3"/>
  <c r="C1203" i="3"/>
  <c r="C1202" i="3"/>
  <c r="C1201" i="3"/>
  <c r="C1200" i="3"/>
  <c r="C1199" i="3"/>
  <c r="C1198" i="3"/>
  <c r="C1197" i="3"/>
  <c r="C1196" i="3"/>
  <c r="C1195" i="3"/>
  <c r="C1194" i="3"/>
  <c r="C1193" i="3"/>
  <c r="C1192" i="3"/>
  <c r="C1191" i="3"/>
  <c r="C1190" i="3"/>
  <c r="C1189" i="3"/>
  <c r="C1188" i="3"/>
  <c r="C1187" i="3"/>
  <c r="C1186" i="3"/>
  <c r="C1185" i="3"/>
  <c r="C1184" i="3"/>
  <c r="C1183" i="3"/>
  <c r="C1182" i="3"/>
  <c r="C1181" i="3"/>
  <c r="C1180" i="3"/>
  <c r="C1179" i="3"/>
  <c r="C1178" i="3"/>
  <c r="C1177" i="3"/>
  <c r="C1176" i="3"/>
  <c r="C1175" i="3"/>
  <c r="C1174" i="3"/>
  <c r="C1173" i="3"/>
  <c r="C1172" i="3"/>
  <c r="C1171" i="3"/>
  <c r="C1170" i="3"/>
  <c r="C1169" i="3"/>
  <c r="C1168" i="3"/>
  <c r="C1167" i="3"/>
  <c r="C1166" i="3"/>
  <c r="C1165" i="3"/>
  <c r="C1164" i="3"/>
  <c r="C1163" i="3"/>
  <c r="C1162" i="3"/>
  <c r="C1161" i="3"/>
  <c r="C1160" i="3"/>
  <c r="C1159" i="3"/>
  <c r="C1158" i="3"/>
  <c r="C1157" i="3"/>
  <c r="C1156" i="3"/>
  <c r="C1155" i="3"/>
  <c r="C1154" i="3"/>
  <c r="C1153" i="3"/>
  <c r="C1152" i="3"/>
  <c r="C1151" i="3"/>
  <c r="C1150" i="3"/>
  <c r="C1149" i="3"/>
  <c r="C1148" i="3"/>
  <c r="C1147" i="3"/>
  <c r="C1146" i="3"/>
  <c r="C1145" i="3"/>
  <c r="C1144" i="3"/>
  <c r="C1143" i="3"/>
  <c r="C1142" i="3"/>
  <c r="C1141" i="3"/>
  <c r="C1140" i="3"/>
  <c r="C1139" i="3"/>
  <c r="C1138" i="3"/>
  <c r="C1137" i="3"/>
  <c r="C1136" i="3"/>
  <c r="C1135" i="3"/>
  <c r="C1134" i="3"/>
  <c r="C1133" i="3"/>
  <c r="C1132" i="3"/>
  <c r="C1131" i="3"/>
  <c r="C1130" i="3"/>
  <c r="C1129" i="3"/>
  <c r="C1128" i="3"/>
  <c r="C1127" i="3"/>
  <c r="C1126" i="3"/>
  <c r="C1125" i="3"/>
  <c r="C1124" i="3"/>
  <c r="C1123" i="3"/>
  <c r="C1122" i="3"/>
  <c r="C1121" i="3"/>
  <c r="C1120" i="3"/>
  <c r="C1119" i="3"/>
  <c r="C1118" i="3"/>
  <c r="C1117" i="3"/>
  <c r="C1116" i="3"/>
  <c r="C1115" i="3"/>
  <c r="C1114" i="3"/>
  <c r="C1113" i="3"/>
  <c r="C1112" i="3"/>
  <c r="C1111" i="3"/>
  <c r="C1110" i="3"/>
  <c r="C1109" i="3"/>
  <c r="C1108" i="3"/>
  <c r="C1107" i="3"/>
  <c r="C1106" i="3"/>
  <c r="C1105" i="3"/>
  <c r="C1104" i="3"/>
  <c r="C1103" i="3"/>
  <c r="C1102" i="3"/>
  <c r="C1101" i="3"/>
  <c r="C1100" i="3"/>
  <c r="C1099" i="3"/>
  <c r="C1098" i="3"/>
  <c r="C1097" i="3"/>
  <c r="C1096" i="3"/>
  <c r="C1095" i="3"/>
  <c r="C1094" i="3"/>
  <c r="C1093" i="3"/>
  <c r="C1092" i="3"/>
  <c r="C1091" i="3"/>
  <c r="C1090" i="3"/>
  <c r="C1089" i="3"/>
  <c r="C1088" i="3"/>
  <c r="C1087" i="3"/>
  <c r="C1086" i="3"/>
  <c r="C1085" i="3"/>
  <c r="C1084" i="3"/>
  <c r="C1083" i="3"/>
  <c r="C1082" i="3"/>
  <c r="C1081" i="3"/>
  <c r="C1080" i="3"/>
  <c r="C1079" i="3"/>
  <c r="C1078" i="3"/>
  <c r="C1077" i="3"/>
  <c r="C1076" i="3"/>
  <c r="C1075" i="3"/>
  <c r="C1074" i="3"/>
  <c r="C1073" i="3"/>
  <c r="C1072" i="3"/>
  <c r="C1071" i="3"/>
  <c r="C1070" i="3"/>
  <c r="C1069" i="3"/>
  <c r="C1068" i="3"/>
  <c r="C1067" i="3"/>
  <c r="C1066" i="3"/>
  <c r="C1065" i="3"/>
  <c r="C1064" i="3"/>
  <c r="C1063" i="3"/>
  <c r="C1062" i="3"/>
  <c r="C1061" i="3"/>
  <c r="C1060" i="3"/>
  <c r="C1059" i="3"/>
  <c r="C1058" i="3"/>
  <c r="C1057" i="3"/>
  <c r="C1056" i="3"/>
  <c r="C1055" i="3"/>
  <c r="C1054" i="3"/>
  <c r="C1053" i="3"/>
  <c r="C1052" i="3"/>
  <c r="C1051" i="3"/>
  <c r="C1050" i="3"/>
  <c r="C1049" i="3"/>
  <c r="C1048" i="3"/>
  <c r="C1047" i="3"/>
  <c r="C1046" i="3"/>
  <c r="C1045" i="3"/>
  <c r="C1044" i="3"/>
  <c r="C1043" i="3"/>
  <c r="C1042" i="3"/>
  <c r="C1041" i="3"/>
  <c r="C1040" i="3"/>
  <c r="C1039" i="3"/>
  <c r="C1038" i="3"/>
  <c r="C1037" i="3"/>
  <c r="C1036" i="3"/>
  <c r="C1035" i="3"/>
  <c r="C1034" i="3"/>
  <c r="C1033" i="3"/>
  <c r="C1032" i="3"/>
  <c r="C1031" i="3"/>
  <c r="C1030" i="3"/>
  <c r="C1029" i="3"/>
  <c r="C1028" i="3"/>
  <c r="C1027" i="3"/>
  <c r="C1026" i="3"/>
  <c r="C1025" i="3"/>
  <c r="C1024" i="3"/>
  <c r="C1023" i="3"/>
  <c r="C1022" i="3"/>
  <c r="C1021" i="3"/>
  <c r="C1020" i="3"/>
  <c r="C1019" i="3"/>
  <c r="C1018" i="3"/>
  <c r="C1017" i="3"/>
  <c r="C1016" i="3"/>
  <c r="C1015" i="3"/>
  <c r="C1014" i="3"/>
  <c r="C1013" i="3"/>
  <c r="C1012" i="3"/>
  <c r="C1011" i="3"/>
  <c r="C1010" i="3"/>
  <c r="C1009" i="3"/>
  <c r="C1008" i="3"/>
  <c r="C1007" i="3"/>
  <c r="C1006" i="3"/>
  <c r="C1005" i="3"/>
  <c r="C1004" i="3"/>
  <c r="C1003" i="3"/>
  <c r="C1002" i="3"/>
  <c r="C1001" i="3"/>
  <c r="C1000" i="3"/>
  <c r="C999" i="3"/>
  <c r="C998" i="3"/>
  <c r="C997" i="3"/>
  <c r="C996" i="3"/>
  <c r="C995" i="3"/>
  <c r="C994" i="3"/>
  <c r="C993" i="3"/>
  <c r="C992" i="3"/>
  <c r="C991" i="3"/>
  <c r="C990" i="3"/>
  <c r="C989" i="3"/>
  <c r="C988" i="3"/>
  <c r="C987" i="3"/>
  <c r="C986" i="3"/>
  <c r="C985" i="3"/>
  <c r="C984" i="3"/>
  <c r="C983" i="3"/>
  <c r="C982" i="3"/>
  <c r="C981" i="3"/>
  <c r="C980" i="3"/>
  <c r="C979" i="3"/>
  <c r="C978" i="3"/>
  <c r="C977" i="3"/>
  <c r="C976" i="3"/>
  <c r="C975" i="3"/>
  <c r="C974" i="3"/>
  <c r="C973" i="3"/>
  <c r="C972" i="3"/>
  <c r="C971" i="3"/>
  <c r="C970" i="3"/>
  <c r="C969" i="3"/>
  <c r="C968" i="3"/>
  <c r="C967" i="3"/>
  <c r="C966" i="3"/>
  <c r="C965" i="3"/>
  <c r="C964" i="3"/>
  <c r="C963" i="3"/>
  <c r="C962" i="3"/>
  <c r="C961" i="3"/>
  <c r="C960" i="3"/>
  <c r="C959" i="3"/>
  <c r="C958" i="3"/>
  <c r="C957" i="3"/>
  <c r="C956" i="3"/>
  <c r="C955" i="3"/>
  <c r="C954" i="3"/>
  <c r="C953" i="3"/>
  <c r="C952" i="3"/>
  <c r="C951" i="3"/>
  <c r="C950" i="3"/>
  <c r="C949" i="3"/>
  <c r="C948" i="3"/>
  <c r="C947" i="3"/>
  <c r="C946" i="3"/>
  <c r="C945" i="3"/>
  <c r="C944" i="3"/>
  <c r="C943" i="3"/>
  <c r="C942" i="3"/>
  <c r="C941" i="3"/>
  <c r="C940" i="3"/>
  <c r="C939" i="3"/>
  <c r="C938" i="3"/>
  <c r="C937" i="3"/>
  <c r="C936" i="3"/>
  <c r="C935" i="3"/>
  <c r="C934" i="3"/>
  <c r="C933" i="3"/>
  <c r="C932" i="3"/>
  <c r="C931" i="3"/>
  <c r="C930" i="3"/>
  <c r="C929" i="3"/>
  <c r="C928" i="3"/>
  <c r="C927" i="3"/>
  <c r="C926" i="3"/>
  <c r="C925" i="3"/>
  <c r="C924" i="3"/>
  <c r="C923" i="3"/>
  <c r="C922" i="3"/>
  <c r="C921" i="3"/>
  <c r="C920" i="3"/>
  <c r="C919" i="3"/>
  <c r="C918" i="3"/>
  <c r="C917" i="3"/>
  <c r="C916" i="3"/>
  <c r="C915" i="3"/>
  <c r="C914" i="3"/>
  <c r="C913" i="3"/>
  <c r="C912" i="3"/>
  <c r="C911" i="3"/>
  <c r="C910" i="3"/>
  <c r="C909" i="3"/>
  <c r="C908" i="3"/>
  <c r="C907" i="3"/>
  <c r="C906" i="3"/>
  <c r="C905" i="3"/>
  <c r="C904" i="3"/>
  <c r="C903" i="3"/>
  <c r="C902" i="3"/>
  <c r="C901" i="3"/>
  <c r="C900" i="3"/>
  <c r="C899" i="3"/>
  <c r="C898" i="3"/>
  <c r="C897" i="3"/>
  <c r="C896" i="3"/>
  <c r="C895" i="3"/>
  <c r="C894" i="3"/>
  <c r="C893" i="3"/>
  <c r="C892" i="3"/>
  <c r="C891" i="3"/>
  <c r="C890" i="3"/>
  <c r="C889" i="3"/>
  <c r="C888" i="3"/>
  <c r="C887" i="3"/>
  <c r="C886" i="3"/>
  <c r="C885" i="3"/>
  <c r="C884" i="3"/>
  <c r="C883" i="3"/>
  <c r="C882" i="3"/>
  <c r="C881" i="3"/>
  <c r="C880" i="3"/>
  <c r="C879" i="3"/>
  <c r="C878" i="3"/>
  <c r="C877" i="3"/>
  <c r="C876" i="3"/>
  <c r="C875" i="3"/>
  <c r="C874" i="3"/>
  <c r="C873" i="3"/>
  <c r="C872" i="3"/>
  <c r="C871" i="3"/>
  <c r="C870" i="3"/>
  <c r="C869" i="3"/>
  <c r="C868" i="3"/>
  <c r="C867" i="3"/>
  <c r="C866" i="3"/>
  <c r="C865" i="3"/>
  <c r="C864" i="3"/>
  <c r="C863" i="3"/>
  <c r="C862" i="3"/>
  <c r="C861" i="3"/>
  <c r="C860" i="3"/>
  <c r="C859" i="3"/>
  <c r="C858" i="3"/>
  <c r="C857" i="3"/>
  <c r="C856" i="3"/>
  <c r="C855" i="3"/>
  <c r="C854" i="3"/>
  <c r="C853" i="3"/>
  <c r="C852" i="3"/>
  <c r="C851" i="3"/>
  <c r="C850" i="3"/>
  <c r="C849" i="3"/>
  <c r="C848" i="3"/>
  <c r="C847" i="3"/>
  <c r="C846" i="3"/>
  <c r="C845" i="3"/>
  <c r="C844" i="3"/>
  <c r="C843" i="3"/>
  <c r="C842" i="3"/>
  <c r="C841" i="3"/>
  <c r="C840" i="3"/>
  <c r="C839" i="3"/>
  <c r="C838" i="3"/>
  <c r="C837" i="3"/>
  <c r="C836" i="3"/>
  <c r="C835" i="3"/>
  <c r="C834" i="3"/>
  <c r="C833" i="3"/>
  <c r="C832" i="3"/>
  <c r="C831" i="3"/>
  <c r="C830" i="3"/>
  <c r="C829" i="3"/>
  <c r="C828" i="3"/>
  <c r="C827" i="3"/>
  <c r="C826" i="3"/>
  <c r="C825" i="3"/>
  <c r="C824" i="3"/>
  <c r="C823" i="3"/>
  <c r="C822" i="3"/>
  <c r="C821" i="3"/>
  <c r="C820" i="3"/>
  <c r="C819" i="3"/>
  <c r="C818" i="3"/>
  <c r="C817" i="3"/>
  <c r="C816" i="3"/>
  <c r="C815" i="3"/>
  <c r="C814" i="3"/>
  <c r="C813" i="3"/>
  <c r="C812" i="3"/>
  <c r="C811" i="3"/>
  <c r="C810" i="3"/>
  <c r="C809" i="3"/>
  <c r="C808" i="3"/>
  <c r="C807" i="3"/>
  <c r="C806" i="3"/>
  <c r="C805" i="3"/>
  <c r="C804" i="3"/>
  <c r="C803" i="3"/>
  <c r="C802" i="3"/>
  <c r="C801" i="3"/>
  <c r="C800" i="3"/>
  <c r="C799" i="3"/>
  <c r="C798" i="3"/>
  <c r="C797" i="3"/>
  <c r="C796" i="3"/>
  <c r="C795" i="3"/>
  <c r="C794" i="3"/>
  <c r="C793" i="3"/>
  <c r="C792" i="3"/>
  <c r="C791" i="3"/>
  <c r="C790" i="3"/>
  <c r="C789" i="3"/>
  <c r="C788" i="3"/>
  <c r="C787" i="3"/>
  <c r="C786" i="3"/>
  <c r="C785" i="3"/>
  <c r="C784" i="3"/>
  <c r="C783" i="3"/>
  <c r="C782" i="3"/>
  <c r="C781" i="3"/>
  <c r="C780" i="3"/>
  <c r="C779" i="3"/>
  <c r="C778" i="3"/>
  <c r="C777" i="3"/>
  <c r="C776" i="3"/>
  <c r="C775" i="3"/>
  <c r="C774" i="3"/>
  <c r="C773" i="3"/>
  <c r="C772" i="3"/>
  <c r="C771" i="3"/>
  <c r="C770" i="3"/>
  <c r="C769" i="3"/>
  <c r="C768" i="3"/>
  <c r="C767" i="3"/>
  <c r="C766" i="3"/>
  <c r="C765" i="3"/>
  <c r="C764" i="3"/>
  <c r="C763" i="3"/>
  <c r="C762" i="3"/>
  <c r="C761" i="3"/>
  <c r="C760" i="3"/>
  <c r="C759" i="3"/>
  <c r="C758" i="3"/>
  <c r="C757" i="3"/>
  <c r="C756" i="3"/>
  <c r="C755" i="3"/>
  <c r="C754" i="3"/>
  <c r="C753" i="3"/>
  <c r="C752" i="3"/>
  <c r="C751" i="3"/>
  <c r="C750" i="3"/>
  <c r="C749" i="3"/>
  <c r="C748" i="3"/>
  <c r="C747" i="3"/>
  <c r="C746" i="3"/>
  <c r="C745" i="3"/>
  <c r="C744" i="3"/>
  <c r="C743" i="3"/>
  <c r="C742" i="3"/>
  <c r="C741" i="3"/>
  <c r="C740" i="3"/>
  <c r="C739" i="3"/>
  <c r="C738" i="3"/>
  <c r="C737" i="3"/>
  <c r="C736" i="3"/>
  <c r="C735" i="3"/>
  <c r="C734" i="3"/>
  <c r="C733" i="3"/>
  <c r="C732" i="3"/>
  <c r="C731" i="3"/>
  <c r="C730" i="3"/>
  <c r="C729" i="3"/>
  <c r="C728" i="3"/>
  <c r="C727" i="3"/>
  <c r="C726" i="3"/>
  <c r="C725" i="3"/>
  <c r="C724" i="3"/>
  <c r="C723" i="3"/>
  <c r="C722" i="3"/>
  <c r="C721" i="3"/>
  <c r="C720" i="3"/>
  <c r="C719" i="3"/>
  <c r="C718" i="3"/>
  <c r="C717" i="3"/>
  <c r="C716" i="3"/>
  <c r="C715" i="3"/>
  <c r="C714" i="3"/>
  <c r="C713" i="3"/>
  <c r="C712" i="3"/>
  <c r="C711" i="3"/>
  <c r="C710" i="3"/>
  <c r="C709" i="3"/>
  <c r="C708" i="3"/>
  <c r="C707" i="3"/>
  <c r="C706" i="3"/>
  <c r="C705" i="3"/>
  <c r="C704" i="3"/>
  <c r="C703" i="3"/>
  <c r="C702" i="3"/>
  <c r="C701" i="3"/>
  <c r="C700" i="3"/>
  <c r="C699" i="3"/>
  <c r="C698" i="3"/>
  <c r="C697" i="3"/>
  <c r="C696" i="3"/>
  <c r="C695" i="3"/>
  <c r="C694" i="3"/>
  <c r="C693" i="3"/>
  <c r="C692" i="3"/>
  <c r="C691" i="3"/>
  <c r="C690" i="3"/>
  <c r="C689" i="3"/>
  <c r="C688" i="3"/>
  <c r="C687" i="3"/>
  <c r="C686" i="3"/>
  <c r="C685" i="3"/>
  <c r="C684" i="3"/>
  <c r="C683" i="3"/>
  <c r="C682" i="3"/>
  <c r="C681" i="3"/>
  <c r="C680" i="3"/>
  <c r="C679" i="3"/>
  <c r="C678" i="3"/>
  <c r="C677" i="3"/>
  <c r="C676" i="3"/>
  <c r="C675" i="3"/>
  <c r="C674" i="3"/>
  <c r="C673" i="3"/>
  <c r="C672" i="3"/>
  <c r="C671" i="3"/>
  <c r="C670" i="3"/>
  <c r="C669" i="3"/>
  <c r="C668" i="3"/>
  <c r="C667" i="3"/>
  <c r="C666" i="3"/>
  <c r="C665" i="3"/>
  <c r="C664" i="3"/>
  <c r="C663" i="3"/>
  <c r="C662" i="3"/>
  <c r="C661" i="3"/>
  <c r="C660" i="3"/>
  <c r="C659" i="3"/>
  <c r="C658" i="3"/>
  <c r="C657" i="3"/>
  <c r="C656" i="3"/>
  <c r="C655" i="3"/>
  <c r="C654" i="3"/>
  <c r="C653" i="3"/>
  <c r="C652" i="3"/>
  <c r="C651" i="3"/>
  <c r="C650" i="3"/>
  <c r="C649" i="3"/>
  <c r="C648" i="3"/>
  <c r="C647" i="3"/>
  <c r="C646" i="3"/>
  <c r="C645" i="3"/>
  <c r="C644" i="3"/>
  <c r="C643" i="3"/>
  <c r="C642" i="3"/>
  <c r="C641" i="3"/>
  <c r="C640" i="3"/>
  <c r="C639" i="3"/>
  <c r="C638" i="3"/>
  <c r="C637" i="3"/>
  <c r="C636" i="3"/>
  <c r="C635" i="3"/>
  <c r="C634" i="3"/>
  <c r="C633" i="3"/>
  <c r="C632" i="3"/>
  <c r="C631" i="3"/>
  <c r="C630" i="3"/>
  <c r="C629" i="3"/>
  <c r="C628" i="3"/>
  <c r="C627" i="3"/>
  <c r="C626" i="3"/>
  <c r="C625" i="3"/>
  <c r="C624" i="3"/>
  <c r="C623" i="3"/>
  <c r="C622" i="3"/>
  <c r="C621" i="3"/>
  <c r="C620" i="3"/>
  <c r="C619" i="3"/>
  <c r="C618" i="3"/>
  <c r="C617" i="3"/>
  <c r="C616" i="3"/>
  <c r="C615" i="3"/>
  <c r="C614" i="3"/>
  <c r="C613" i="3"/>
  <c r="C612" i="3"/>
  <c r="C611" i="3"/>
  <c r="C610" i="3"/>
  <c r="C609" i="3"/>
  <c r="C608" i="3"/>
  <c r="C607" i="3"/>
  <c r="C606" i="3"/>
  <c r="C605" i="3"/>
  <c r="C604" i="3"/>
  <c r="C603" i="3"/>
  <c r="C602" i="3"/>
  <c r="C601" i="3"/>
  <c r="C600" i="3"/>
  <c r="C599" i="3"/>
  <c r="C598" i="3"/>
  <c r="C597" i="3"/>
  <c r="C596" i="3"/>
  <c r="C595" i="3"/>
  <c r="C594" i="3"/>
  <c r="C593" i="3"/>
  <c r="C592" i="3"/>
  <c r="C591" i="3"/>
  <c r="C590" i="3"/>
  <c r="C589" i="3"/>
  <c r="C588" i="3"/>
  <c r="C587" i="3"/>
  <c r="C586" i="3"/>
  <c r="C585" i="3"/>
  <c r="C584" i="3"/>
  <c r="C583" i="3"/>
  <c r="C582" i="3"/>
  <c r="C581" i="3"/>
  <c r="C580" i="3"/>
  <c r="C579" i="3"/>
  <c r="C578" i="3"/>
  <c r="C577" i="3"/>
  <c r="C576" i="3"/>
  <c r="C575" i="3"/>
  <c r="C574" i="3"/>
  <c r="C573" i="3"/>
  <c r="C572" i="3"/>
  <c r="C571" i="3"/>
  <c r="C570" i="3"/>
  <c r="C569" i="3"/>
  <c r="C568" i="3"/>
  <c r="C567" i="3"/>
  <c r="C566" i="3"/>
  <c r="C565" i="3"/>
  <c r="C564" i="3"/>
  <c r="C563" i="3"/>
  <c r="C562" i="3"/>
  <c r="C561" i="3"/>
  <c r="C560" i="3"/>
  <c r="C559" i="3"/>
  <c r="C558" i="3"/>
  <c r="C557" i="3"/>
  <c r="C556" i="3"/>
  <c r="C555" i="3"/>
  <c r="C554" i="3"/>
  <c r="C553" i="3"/>
  <c r="C552" i="3"/>
  <c r="C551" i="3"/>
  <c r="C550" i="3"/>
  <c r="C549" i="3"/>
  <c r="C548" i="3"/>
  <c r="C547" i="3"/>
  <c r="C546" i="3"/>
  <c r="C545" i="3"/>
  <c r="C544" i="3"/>
  <c r="C543" i="3"/>
  <c r="C542" i="3"/>
  <c r="C541" i="3"/>
  <c r="C540" i="3"/>
  <c r="C539" i="3"/>
  <c r="C538" i="3"/>
  <c r="C537" i="3"/>
  <c r="C536" i="3"/>
  <c r="C535" i="3"/>
  <c r="C534" i="3"/>
  <c r="C533" i="3"/>
  <c r="C532" i="3"/>
  <c r="C531" i="3"/>
  <c r="C530" i="3"/>
  <c r="C529" i="3"/>
  <c r="C528" i="3"/>
  <c r="C527" i="3"/>
  <c r="C526" i="3"/>
  <c r="C525" i="3"/>
  <c r="C524" i="3"/>
  <c r="C523" i="3"/>
  <c r="C522" i="3"/>
  <c r="C521" i="3"/>
  <c r="C520" i="3"/>
  <c r="C519" i="3"/>
  <c r="C518" i="3"/>
  <c r="C517" i="3"/>
  <c r="C516" i="3"/>
  <c r="C515" i="3"/>
  <c r="C514" i="3"/>
  <c r="C513" i="3"/>
  <c r="C512" i="3"/>
  <c r="C511" i="3"/>
  <c r="C510" i="3"/>
  <c r="C509" i="3"/>
  <c r="C508" i="3"/>
  <c r="C507" i="3"/>
  <c r="C506" i="3"/>
  <c r="C505" i="3"/>
  <c r="C504" i="3"/>
  <c r="C503" i="3"/>
  <c r="C502" i="3"/>
  <c r="C501" i="3"/>
  <c r="C500" i="3"/>
  <c r="C499" i="3"/>
  <c r="C498" i="3"/>
  <c r="C497" i="3"/>
  <c r="C496" i="3"/>
  <c r="C495" i="3"/>
  <c r="C494" i="3"/>
  <c r="C493" i="3"/>
  <c r="C492" i="3"/>
  <c r="C491" i="3"/>
  <c r="C490" i="3"/>
  <c r="C489" i="3"/>
  <c r="C488" i="3"/>
  <c r="C487" i="3"/>
  <c r="C486" i="3"/>
  <c r="C485" i="3"/>
  <c r="C484" i="3"/>
  <c r="C483" i="3"/>
  <c r="C482" i="3"/>
  <c r="C481" i="3"/>
  <c r="C480" i="3"/>
  <c r="C479" i="3"/>
  <c r="C478" i="3"/>
  <c r="C477" i="3"/>
  <c r="C476" i="3"/>
  <c r="C475" i="3"/>
  <c r="C474" i="3"/>
  <c r="C473" i="3"/>
  <c r="C472" i="3"/>
  <c r="C471" i="3"/>
  <c r="C470" i="3"/>
  <c r="C469" i="3"/>
  <c r="C468" i="3"/>
  <c r="C467" i="3"/>
  <c r="C466" i="3"/>
  <c r="C465" i="3"/>
  <c r="C464" i="3"/>
  <c r="C463" i="3"/>
  <c r="C462" i="3"/>
  <c r="C461" i="3"/>
  <c r="C460" i="3"/>
  <c r="C459" i="3"/>
  <c r="C458" i="3"/>
  <c r="C457" i="3"/>
  <c r="C456" i="3"/>
  <c r="C455" i="3"/>
  <c r="C454" i="3"/>
  <c r="C453" i="3"/>
  <c r="C452" i="3"/>
  <c r="C451" i="3"/>
  <c r="C450" i="3"/>
  <c r="C449" i="3"/>
  <c r="C448" i="3"/>
  <c r="C447" i="3"/>
  <c r="C446" i="3"/>
  <c r="C445" i="3"/>
  <c r="C444" i="3"/>
  <c r="C443" i="3"/>
  <c r="C442" i="3"/>
  <c r="C441" i="3"/>
  <c r="C440" i="3"/>
  <c r="C439" i="3"/>
  <c r="C438" i="3"/>
  <c r="C437" i="3"/>
  <c r="C436" i="3"/>
  <c r="C435" i="3"/>
  <c r="C434" i="3"/>
  <c r="C433" i="3"/>
  <c r="C432" i="3"/>
  <c r="C431" i="3"/>
  <c r="C430" i="3"/>
  <c r="C429" i="3"/>
  <c r="C428" i="3"/>
  <c r="C427" i="3"/>
  <c r="C426" i="3"/>
  <c r="C425" i="3"/>
  <c r="C424" i="3"/>
  <c r="C423" i="3"/>
  <c r="C422" i="3"/>
  <c r="C421" i="3"/>
  <c r="C420" i="3"/>
  <c r="C419" i="3"/>
  <c r="C418" i="3"/>
  <c r="C417" i="3"/>
  <c r="C416" i="3"/>
  <c r="C415" i="3"/>
  <c r="C414" i="3"/>
  <c r="C413" i="3"/>
  <c r="C412" i="3"/>
  <c r="C411" i="3"/>
  <c r="C410" i="3"/>
  <c r="C409" i="3"/>
  <c r="C408" i="3"/>
  <c r="C407" i="3"/>
  <c r="C406" i="3"/>
  <c r="C405" i="3"/>
  <c r="C404" i="3"/>
  <c r="C403" i="3"/>
  <c r="C402" i="3"/>
  <c r="C401" i="3"/>
  <c r="C400" i="3"/>
  <c r="C399" i="3"/>
  <c r="C398" i="3"/>
  <c r="C397" i="3"/>
  <c r="C396" i="3"/>
  <c r="C395" i="3"/>
  <c r="C394" i="3"/>
  <c r="C393" i="3"/>
  <c r="C392" i="3"/>
  <c r="C391" i="3"/>
  <c r="C390" i="3"/>
  <c r="C389" i="3"/>
  <c r="C388" i="3"/>
  <c r="C387" i="3"/>
  <c r="C386" i="3"/>
  <c r="C385" i="3"/>
  <c r="C384" i="3"/>
  <c r="C383" i="3"/>
  <c r="C382" i="3"/>
  <c r="C381" i="3"/>
  <c r="C380" i="3"/>
  <c r="C379" i="3"/>
  <c r="C378" i="3"/>
  <c r="C377" i="3"/>
  <c r="C376" i="3"/>
  <c r="C375" i="3"/>
  <c r="C374" i="3"/>
  <c r="C373" i="3"/>
  <c r="C372" i="3"/>
  <c r="C371" i="3"/>
  <c r="C370" i="3"/>
  <c r="C369" i="3"/>
  <c r="C368" i="3"/>
  <c r="C367" i="3"/>
  <c r="C366" i="3"/>
  <c r="C365" i="3"/>
  <c r="C364" i="3"/>
  <c r="C363" i="3"/>
  <c r="C362" i="3"/>
  <c r="C361" i="3"/>
  <c r="C360" i="3"/>
  <c r="C359" i="3"/>
  <c r="C358" i="3"/>
  <c r="C357" i="3"/>
  <c r="C356" i="3"/>
  <c r="C355" i="3"/>
  <c r="C354" i="3"/>
  <c r="C353" i="3"/>
  <c r="C352" i="3"/>
  <c r="C351" i="3"/>
  <c r="C350" i="3"/>
  <c r="C349" i="3"/>
  <c r="C348" i="3"/>
  <c r="C347" i="3"/>
  <c r="C346" i="3"/>
  <c r="C345" i="3"/>
  <c r="C344" i="3"/>
  <c r="C343" i="3"/>
  <c r="C342" i="3"/>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142" i="3"/>
  <c r="C141" i="3"/>
  <c r="C140" i="3"/>
  <c r="C139" i="3"/>
  <c r="C138" i="3"/>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C6" i="3"/>
  <c r="C5" i="3"/>
  <c r="C4" i="3"/>
  <c r="C3" i="3"/>
  <c r="C2" i="3"/>
  <c r="E1877" i="1" l="1"/>
  <c r="E1876" i="1"/>
  <c r="E1866" i="1"/>
  <c r="E1865" i="1"/>
  <c r="E1875" i="1"/>
  <c r="E1873" i="1"/>
  <c r="E1874" i="1"/>
  <c r="E1868" i="1"/>
  <c r="E1869" i="1"/>
  <c r="E1862" i="1"/>
  <c r="E1867" i="1"/>
  <c r="E1863" i="1"/>
  <c r="E1872" i="1"/>
  <c r="E1864" i="1"/>
  <c r="E1861" i="1"/>
  <c r="E1871" i="1"/>
  <c r="E1870" i="1"/>
  <c r="E1857" i="1"/>
  <c r="E1858" i="1"/>
  <c r="E1860" i="1"/>
  <c r="E1859" i="1"/>
  <c r="E1852" i="1"/>
  <c r="E1853" i="1"/>
  <c r="E1850" i="1"/>
  <c r="E1854" i="1"/>
  <c r="E1856" i="1"/>
  <c r="E1851" i="1"/>
  <c r="E1855" i="1"/>
  <c r="E1847" i="1"/>
  <c r="E1849" i="1"/>
  <c r="E1848" i="1"/>
  <c r="E1844" i="1"/>
  <c r="E1833" i="1"/>
  <c r="E1845" i="1"/>
  <c r="E1839" i="1"/>
  <c r="E1846" i="1"/>
  <c r="E1831" i="1"/>
  <c r="E1834" i="1"/>
  <c r="E1832" i="1"/>
  <c r="E1838" i="1"/>
  <c r="E1840" i="1"/>
  <c r="E1836" i="1"/>
  <c r="E1843" i="1"/>
  <c r="E1842" i="1"/>
  <c r="E1835" i="1"/>
  <c r="E1837" i="1"/>
  <c r="E1841" i="1"/>
  <c r="E1830" i="1"/>
  <c r="E1829" i="1"/>
  <c r="E1825" i="1"/>
  <c r="E1827" i="1"/>
  <c r="E1828" i="1"/>
  <c r="E1823" i="1"/>
  <c r="E1821" i="1"/>
  <c r="E1826" i="1"/>
  <c r="E1822" i="1"/>
  <c r="E1824" i="1"/>
  <c r="E1820" i="1"/>
  <c r="E1800" i="1"/>
  <c r="E1805" i="1"/>
  <c r="E1806" i="1"/>
  <c r="E1798" i="1"/>
  <c r="E1809" i="1"/>
  <c r="E1815" i="1"/>
  <c r="E1816" i="1"/>
  <c r="E1817" i="1"/>
  <c r="E1819" i="1"/>
  <c r="E1813" i="1"/>
  <c r="E1818" i="1"/>
  <c r="E1808" i="1"/>
  <c r="E1796" i="1"/>
  <c r="E1802" i="1"/>
  <c r="E1814" i="1"/>
  <c r="E1795" i="1"/>
  <c r="E1801" i="1"/>
  <c r="E1804" i="1"/>
  <c r="E1797" i="1"/>
  <c r="E1810" i="1"/>
  <c r="E1812" i="1"/>
  <c r="E1799" i="1"/>
  <c r="E1803" i="1"/>
  <c r="E1807" i="1"/>
  <c r="E1811" i="1"/>
  <c r="E1791" i="1"/>
  <c r="E1794" i="1"/>
  <c r="E1793" i="1"/>
  <c r="E1792" i="1"/>
  <c r="E1787" i="1"/>
  <c r="E1788" i="1"/>
  <c r="E1789" i="1"/>
  <c r="E1790" i="1"/>
  <c r="E1783" i="1"/>
  <c r="E1785" i="1"/>
  <c r="E1786" i="1"/>
  <c r="E1782" i="1"/>
  <c r="E1784" i="1"/>
  <c r="E1761" i="1"/>
  <c r="E1768" i="1"/>
  <c r="E1770" i="1"/>
  <c r="E1774" i="1"/>
  <c r="E1756" i="1"/>
  <c r="E1775" i="1"/>
  <c r="E1766" i="1"/>
  <c r="E1779" i="1"/>
  <c r="E1778" i="1"/>
  <c r="E1781" i="1"/>
  <c r="E1764" i="1"/>
  <c r="E1776" i="1"/>
  <c r="E1773" i="1"/>
  <c r="E1759" i="1"/>
  <c r="E1758" i="1"/>
  <c r="E1767" i="1"/>
  <c r="E1762" i="1"/>
  <c r="E1763" i="1"/>
  <c r="E1777" i="1"/>
  <c r="E1760" i="1"/>
  <c r="E1780" i="1"/>
  <c r="E1769" i="1"/>
  <c r="E1757" i="1"/>
  <c r="E1772" i="1"/>
  <c r="E1765" i="1"/>
  <c r="E1771" i="1"/>
  <c r="E1755" i="1"/>
  <c r="E1753" i="1"/>
  <c r="E1754" i="1"/>
  <c r="E1747" i="1"/>
  <c r="E1749" i="1"/>
  <c r="E1748" i="1"/>
  <c r="E1744" i="1"/>
  <c r="E1750" i="1"/>
  <c r="E1752" i="1"/>
  <c r="E1745" i="1"/>
  <c r="E1751" i="1"/>
  <c r="E1746" i="1"/>
  <c r="E1739" i="1"/>
  <c r="E1741" i="1"/>
  <c r="E1740" i="1"/>
  <c r="E1743" i="1"/>
  <c r="E1742" i="1"/>
  <c r="E1738" i="1"/>
  <c r="E1735" i="1"/>
  <c r="E1736" i="1"/>
  <c r="E1734" i="1"/>
  <c r="E1730" i="1"/>
  <c r="E1737" i="1"/>
  <c r="E1731" i="1"/>
  <c r="E1733" i="1"/>
  <c r="E1732" i="1"/>
  <c r="E1719" i="1"/>
  <c r="E1728" i="1"/>
  <c r="E1724" i="1"/>
  <c r="E1723" i="1"/>
  <c r="E1720" i="1"/>
  <c r="E1722" i="1"/>
  <c r="E1725" i="1"/>
  <c r="E1726" i="1"/>
  <c r="E1727" i="1"/>
  <c r="E1721" i="1"/>
  <c r="E1718" i="1"/>
  <c r="E1729" i="1"/>
  <c r="E1716" i="1"/>
  <c r="E1717" i="1"/>
  <c r="E1710" i="1"/>
  <c r="E1713" i="1"/>
  <c r="E1712" i="1"/>
  <c r="E1711" i="1"/>
  <c r="E1714" i="1"/>
  <c r="E1715" i="1"/>
  <c r="E1708" i="1"/>
  <c r="E1709" i="1"/>
  <c r="E1704" i="1"/>
  <c r="E1705" i="1"/>
  <c r="E1706" i="1"/>
  <c r="E1707" i="1"/>
  <c r="E1698" i="1"/>
  <c r="E1702" i="1"/>
  <c r="E1699" i="1"/>
  <c r="E1700" i="1"/>
  <c r="E1701" i="1"/>
  <c r="E1703" i="1"/>
  <c r="E1693" i="1"/>
  <c r="E1696" i="1"/>
  <c r="E1695" i="1"/>
  <c r="E1692" i="1"/>
  <c r="E1697" i="1"/>
  <c r="E1694" i="1"/>
  <c r="E1690" i="1"/>
  <c r="E1689" i="1"/>
  <c r="E1691" i="1"/>
  <c r="E1687" i="1"/>
  <c r="E1686" i="1"/>
  <c r="E1688" i="1"/>
  <c r="E1677" i="1"/>
  <c r="E1684" i="1"/>
  <c r="E1675" i="1"/>
  <c r="E1685" i="1"/>
  <c r="E1676" i="1"/>
  <c r="E1680" i="1"/>
  <c r="E1673" i="1"/>
  <c r="E1679" i="1"/>
  <c r="E1674" i="1"/>
  <c r="E1681" i="1"/>
  <c r="E1682" i="1"/>
  <c r="E1678" i="1"/>
  <c r="E1683" i="1"/>
  <c r="E1670" i="1"/>
  <c r="E1671" i="1"/>
  <c r="E1669" i="1"/>
  <c r="E1672" i="1"/>
  <c r="E1661" i="1"/>
  <c r="E1665" i="1"/>
  <c r="E1668" i="1"/>
  <c r="E1667" i="1"/>
  <c r="E1666" i="1"/>
  <c r="E1663" i="1"/>
  <c r="E1664" i="1"/>
  <c r="E1660" i="1"/>
  <c r="E1662" i="1"/>
  <c r="E1657" i="1"/>
  <c r="E1658" i="1"/>
  <c r="E1659" i="1"/>
  <c r="E1645" i="1"/>
  <c r="E1642" i="1"/>
  <c r="E1643" i="1"/>
  <c r="E1646" i="1"/>
  <c r="E1648" i="1"/>
  <c r="E1651" i="1"/>
  <c r="E1656" i="1"/>
  <c r="E1653" i="1"/>
  <c r="E1655" i="1"/>
  <c r="E1650" i="1"/>
  <c r="E1644" i="1"/>
  <c r="E1654" i="1"/>
  <c r="E1647" i="1"/>
  <c r="E1649" i="1"/>
  <c r="E1652" i="1"/>
  <c r="E1641" i="1"/>
  <c r="E1639" i="1"/>
  <c r="E1640" i="1"/>
  <c r="E1636" i="1"/>
  <c r="E1635" i="1"/>
  <c r="E1638" i="1"/>
  <c r="E1637" i="1"/>
  <c r="E1634" i="1"/>
  <c r="E1633" i="1"/>
  <c r="E1631" i="1"/>
  <c r="E1623" i="1"/>
  <c r="E1629" i="1"/>
  <c r="E1615" i="1"/>
  <c r="E1612" i="1"/>
  <c r="E1613" i="1"/>
  <c r="E1617" i="1"/>
  <c r="E1616" i="1"/>
  <c r="E1614" i="1"/>
  <c r="E1620" i="1"/>
  <c r="E1628" i="1"/>
  <c r="E1624" i="1"/>
  <c r="E1621" i="1"/>
  <c r="E1630" i="1"/>
  <c r="E1627" i="1"/>
  <c r="E1632" i="1"/>
  <c r="E1619" i="1"/>
  <c r="E1618" i="1"/>
  <c r="E1626" i="1"/>
  <c r="E1622" i="1"/>
  <c r="E1625" i="1"/>
  <c r="E1611" i="1"/>
  <c r="E1609" i="1"/>
  <c r="E1610" i="1"/>
  <c r="E1602" i="1"/>
  <c r="E1605" i="1"/>
  <c r="E1608" i="1"/>
  <c r="E1606" i="1"/>
  <c r="E1600" i="1"/>
  <c r="E1607" i="1"/>
  <c r="E1604" i="1"/>
  <c r="E1601" i="1"/>
  <c r="E1599" i="1"/>
  <c r="E1603" i="1"/>
  <c r="E1596" i="1"/>
  <c r="E1597" i="1"/>
  <c r="E1586" i="1"/>
  <c r="E1583" i="1"/>
  <c r="E1594" i="1"/>
  <c r="E1585" i="1"/>
  <c r="E1584" i="1"/>
  <c r="E1598" i="1"/>
  <c r="E1595" i="1"/>
  <c r="E1592" i="1"/>
  <c r="E1588" i="1"/>
  <c r="E1593" i="1"/>
  <c r="E1591" i="1"/>
  <c r="E1587" i="1"/>
  <c r="E1590" i="1"/>
  <c r="E1589" i="1"/>
  <c r="E1582" i="1"/>
  <c r="E1580" i="1"/>
  <c r="E1581" i="1"/>
  <c r="E1578" i="1"/>
  <c r="E1574" i="1"/>
  <c r="E1579" i="1"/>
  <c r="E1576" i="1"/>
  <c r="E1577" i="1"/>
  <c r="E1575" i="1"/>
  <c r="E1567" i="1"/>
  <c r="E1571" i="1"/>
  <c r="E1566" i="1"/>
  <c r="E1564" i="1"/>
  <c r="E1569" i="1"/>
  <c r="E1572" i="1"/>
  <c r="E1563" i="1"/>
  <c r="E1562" i="1"/>
  <c r="E1570" i="1"/>
  <c r="E1565" i="1"/>
  <c r="E1573" i="1"/>
  <c r="E1568" i="1"/>
  <c r="E1560" i="1"/>
  <c r="E1559" i="1"/>
  <c r="E1558" i="1"/>
  <c r="E1561" i="1"/>
  <c r="E1557" i="1"/>
  <c r="E1555" i="1"/>
  <c r="E1556" i="1"/>
  <c r="E1548" i="1"/>
  <c r="E1553" i="1"/>
  <c r="E1551" i="1"/>
  <c r="E1554" i="1"/>
  <c r="E1552" i="1"/>
  <c r="E1547" i="1"/>
  <c r="E1546" i="1"/>
  <c r="E1550" i="1"/>
  <c r="E1549" i="1"/>
  <c r="E1545" i="1"/>
  <c r="E1543" i="1"/>
  <c r="E1533" i="1"/>
  <c r="E1534" i="1"/>
  <c r="E1537" i="1"/>
  <c r="E1536" i="1"/>
  <c r="E1541" i="1"/>
  <c r="E1540" i="1"/>
  <c r="E1535" i="1"/>
  <c r="E1542" i="1"/>
  <c r="E1544" i="1"/>
  <c r="E1532" i="1"/>
  <c r="E1539" i="1"/>
  <c r="E1538" i="1"/>
  <c r="E1530" i="1"/>
  <c r="E1529" i="1"/>
  <c r="E1531" i="1"/>
  <c r="E1523" i="1"/>
  <c r="E1524" i="1"/>
  <c r="E1525" i="1"/>
  <c r="E1527" i="1"/>
  <c r="E1521" i="1"/>
  <c r="E1519" i="1"/>
  <c r="E1520" i="1"/>
  <c r="E1522" i="1"/>
  <c r="E1526" i="1"/>
  <c r="E1528" i="1"/>
  <c r="E1517" i="1"/>
  <c r="E1518" i="1"/>
  <c r="E1516" i="1"/>
  <c r="E1515" i="1"/>
  <c r="E1505" i="1"/>
  <c r="E1507" i="1"/>
  <c r="E1509" i="1"/>
  <c r="E1512" i="1"/>
  <c r="E1514" i="1"/>
  <c r="E1504" i="1"/>
  <c r="E1513" i="1"/>
  <c r="E1510" i="1"/>
  <c r="E1506" i="1"/>
  <c r="E1508" i="1"/>
  <c r="E1511" i="1"/>
  <c r="E1503" i="1"/>
  <c r="E1502" i="1"/>
  <c r="E1501" i="1"/>
  <c r="E1490" i="1"/>
  <c r="E1493" i="1"/>
  <c r="E1497" i="1"/>
  <c r="E1492" i="1"/>
  <c r="E1495" i="1"/>
  <c r="E1489" i="1"/>
  <c r="E1498" i="1"/>
  <c r="E1491" i="1"/>
  <c r="E1500" i="1"/>
  <c r="E1499" i="1"/>
  <c r="E1496" i="1"/>
  <c r="E1494" i="1"/>
  <c r="E1486" i="1"/>
  <c r="E1487" i="1"/>
  <c r="E1477" i="1"/>
  <c r="E1488" i="1"/>
  <c r="E1484" i="1"/>
  <c r="E1480" i="1"/>
  <c r="E1483" i="1"/>
  <c r="E1478" i="1"/>
  <c r="E1481" i="1"/>
  <c r="E1479" i="1"/>
  <c r="E1482" i="1"/>
  <c r="E1485" i="1"/>
  <c r="E1471" i="1"/>
  <c r="E1475" i="1"/>
  <c r="E1476" i="1"/>
  <c r="E1473" i="1"/>
  <c r="E1469" i="1"/>
  <c r="E1474" i="1"/>
  <c r="E1468" i="1"/>
  <c r="E1467" i="1"/>
  <c r="E1472" i="1"/>
  <c r="E1470" i="1"/>
  <c r="E1465" i="1"/>
  <c r="E1466" i="1"/>
  <c r="E1457" i="1"/>
  <c r="E1456" i="1"/>
  <c r="E1460" i="1"/>
  <c r="E1464" i="1"/>
  <c r="E1462" i="1"/>
  <c r="E1455" i="1"/>
  <c r="E1463" i="1"/>
  <c r="E1459" i="1"/>
  <c r="E1458" i="1"/>
  <c r="E1461" i="1"/>
  <c r="E1453" i="1"/>
  <c r="E1452" i="1"/>
  <c r="E1454" i="1"/>
  <c r="E1444" i="1"/>
  <c r="E1447" i="1"/>
  <c r="E1443" i="1"/>
  <c r="E1445" i="1"/>
  <c r="E1448" i="1"/>
  <c r="E1446" i="1"/>
  <c r="E1449" i="1"/>
  <c r="E1451" i="1"/>
  <c r="E1450" i="1"/>
  <c r="E1442" i="1"/>
  <c r="E1438" i="1"/>
  <c r="E1441" i="1"/>
  <c r="E1439" i="1"/>
  <c r="E1440" i="1"/>
  <c r="E1434" i="1"/>
  <c r="E1436" i="1"/>
  <c r="E1437" i="1"/>
  <c r="E1433" i="1"/>
  <c r="E1435" i="1"/>
  <c r="E1430" i="1"/>
  <c r="E1431" i="1"/>
  <c r="E1432" i="1"/>
  <c r="E1429" i="1"/>
  <c r="E1425" i="1"/>
  <c r="E1424" i="1"/>
  <c r="E1428" i="1"/>
  <c r="E1427" i="1"/>
  <c r="E1426" i="1"/>
  <c r="E1421" i="1"/>
  <c r="E1422" i="1"/>
  <c r="E1423" i="1"/>
  <c r="E1419" i="1"/>
  <c r="E1418" i="1"/>
  <c r="E1415" i="1"/>
  <c r="E1416" i="1"/>
  <c r="E1417" i="1"/>
  <c r="E1420" i="1"/>
  <c r="E1414" i="1"/>
  <c r="E1407" i="1"/>
  <c r="E1406" i="1"/>
  <c r="E1408" i="1"/>
  <c r="E1410" i="1"/>
  <c r="E1405" i="1"/>
  <c r="E1403" i="1"/>
  <c r="E1413" i="1"/>
  <c r="E1404" i="1"/>
  <c r="E1400" i="1"/>
  <c r="E1401" i="1"/>
  <c r="E1409" i="1"/>
  <c r="E1402" i="1"/>
  <c r="E1411" i="1"/>
  <c r="E1412" i="1"/>
  <c r="E1399" i="1"/>
  <c r="E1398" i="1"/>
  <c r="E1395" i="1"/>
  <c r="E1397" i="1"/>
  <c r="E1396" i="1"/>
  <c r="E1394" i="1"/>
  <c r="E1391" i="1"/>
  <c r="E1392" i="1"/>
  <c r="E1393" i="1"/>
  <c r="E1390" i="1"/>
  <c r="E1388" i="1"/>
  <c r="E1389" i="1"/>
  <c r="E1385" i="1"/>
  <c r="E1384" i="1"/>
  <c r="E1383" i="1"/>
  <c r="E1387" i="1"/>
  <c r="E1386" i="1"/>
  <c r="E1382" i="1"/>
  <c r="E1380" i="1"/>
  <c r="E1381" i="1"/>
  <c r="E1377" i="1"/>
  <c r="E1378" i="1"/>
  <c r="E1379" i="1"/>
  <c r="E1376" i="1"/>
  <c r="E1365" i="1"/>
  <c r="E1366" i="1"/>
  <c r="E1370" i="1"/>
  <c r="E1368" i="1"/>
  <c r="E1367" i="1"/>
  <c r="E1372" i="1"/>
  <c r="E1369" i="1"/>
  <c r="E1375" i="1"/>
  <c r="E1371" i="1"/>
  <c r="E1373" i="1"/>
  <c r="E1374" i="1"/>
  <c r="E1364" i="1"/>
  <c r="E1363" i="1"/>
  <c r="E1362" i="1"/>
  <c r="E1360" i="1"/>
  <c r="E1361" i="1"/>
  <c r="E1355" i="1"/>
  <c r="E1356" i="1"/>
  <c r="E1357" i="1"/>
  <c r="E1358" i="1"/>
  <c r="E1354" i="1"/>
  <c r="E1359" i="1"/>
  <c r="E1353" i="1"/>
  <c r="E1350" i="1"/>
  <c r="E1352" i="1"/>
  <c r="E1351" i="1"/>
  <c r="E1349" i="1"/>
  <c r="E1348" i="1"/>
  <c r="E1341" i="1"/>
  <c r="E1343" i="1"/>
  <c r="E1346" i="1"/>
  <c r="E1347" i="1"/>
  <c r="E1345" i="1"/>
  <c r="E1342" i="1"/>
  <c r="E1340" i="1"/>
  <c r="E1344" i="1"/>
  <c r="E1339" i="1"/>
  <c r="E1337" i="1"/>
  <c r="E1338" i="1"/>
  <c r="E1336" i="1"/>
  <c r="E1331" i="1"/>
  <c r="E1322" i="1"/>
  <c r="E1320" i="1"/>
  <c r="E1335" i="1"/>
  <c r="E1321" i="1"/>
  <c r="E1333" i="1"/>
  <c r="E1334" i="1"/>
  <c r="E1330" i="1"/>
  <c r="E1328" i="1"/>
  <c r="E1327" i="1"/>
  <c r="E1324" i="1"/>
  <c r="E1332" i="1"/>
  <c r="E1323" i="1"/>
  <c r="E1326" i="1"/>
  <c r="E1329" i="1"/>
  <c r="E1325" i="1"/>
  <c r="E1319" i="1"/>
  <c r="E1318" i="1"/>
  <c r="E1317" i="1"/>
  <c r="E1316" i="1"/>
  <c r="E1315" i="1"/>
  <c r="E1314" i="1"/>
  <c r="E1307" i="1"/>
  <c r="E1306" i="1"/>
  <c r="E1308" i="1"/>
  <c r="E1312" i="1"/>
  <c r="E1313" i="1"/>
  <c r="E1311" i="1"/>
  <c r="E1310" i="1"/>
  <c r="E1309" i="1"/>
  <c r="E1304" i="1"/>
  <c r="E1298" i="1"/>
  <c r="E1297" i="1"/>
  <c r="E1305" i="1"/>
  <c r="E1301" i="1"/>
  <c r="E1299" i="1"/>
  <c r="E1302" i="1"/>
  <c r="E1300" i="1"/>
  <c r="E1303" i="1"/>
  <c r="E1294" i="1"/>
  <c r="E1295" i="1"/>
  <c r="E1285" i="1"/>
  <c r="E1291" i="1"/>
  <c r="E1289" i="1"/>
  <c r="E1292" i="1"/>
  <c r="E1288" i="1"/>
  <c r="E1287" i="1"/>
  <c r="E1296" i="1"/>
  <c r="E1290" i="1"/>
  <c r="E1286" i="1"/>
  <c r="E1293" i="1"/>
  <c r="E1284" i="1"/>
  <c r="E1283" i="1"/>
  <c r="E1280" i="1"/>
  <c r="E1282" i="1"/>
  <c r="E1281" i="1"/>
  <c r="E1279" i="1"/>
  <c r="E1277" i="1"/>
  <c r="E1278" i="1"/>
  <c r="E1270" i="1"/>
  <c r="E1272" i="1"/>
  <c r="E1273" i="1"/>
  <c r="E1271" i="1"/>
  <c r="E1274" i="1"/>
  <c r="E1275" i="1"/>
  <c r="E1269" i="1"/>
  <c r="E1276" i="1"/>
  <c r="E1268" i="1"/>
  <c r="E1267" i="1"/>
  <c r="E1265" i="1"/>
  <c r="E1259" i="1"/>
  <c r="E1260" i="1"/>
  <c r="E1266" i="1"/>
  <c r="E1258" i="1"/>
  <c r="E1261" i="1"/>
  <c r="E1264" i="1"/>
  <c r="E1263" i="1"/>
  <c r="E1262" i="1"/>
  <c r="E1257" i="1"/>
  <c r="E1256" i="1"/>
  <c r="E1255" i="1"/>
  <c r="E1254" i="1"/>
  <c r="E1253" i="1"/>
  <c r="E1252" i="1"/>
  <c r="E1240" i="1"/>
  <c r="E1239" i="1"/>
  <c r="E1248" i="1"/>
  <c r="E1243" i="1"/>
  <c r="E1244" i="1"/>
  <c r="E1247" i="1"/>
  <c r="E1246" i="1"/>
  <c r="E1250" i="1"/>
  <c r="E1242" i="1"/>
  <c r="E1245" i="1"/>
  <c r="E1241" i="1"/>
  <c r="E1251" i="1"/>
  <c r="E1249" i="1"/>
  <c r="E1233" i="1"/>
  <c r="E1238" i="1"/>
  <c r="E1232" i="1"/>
  <c r="E1236" i="1"/>
  <c r="E1234" i="1"/>
  <c r="E1237" i="1"/>
  <c r="E1235" i="1"/>
  <c r="E1231" i="1"/>
  <c r="E1229" i="1"/>
  <c r="E1230" i="1"/>
  <c r="E1227" i="1"/>
  <c r="E1226" i="1"/>
  <c r="E1228" i="1"/>
  <c r="E1224" i="1"/>
  <c r="E1225" i="1"/>
  <c r="E1220" i="1"/>
  <c r="E1221" i="1"/>
  <c r="E1223" i="1"/>
  <c r="E1222" i="1"/>
  <c r="E1219" i="1"/>
  <c r="E1214" i="1"/>
  <c r="E1215" i="1"/>
  <c r="E1218" i="1"/>
  <c r="E1217" i="1"/>
  <c r="E1216" i="1"/>
  <c r="E1212" i="1"/>
  <c r="E1213" i="1"/>
  <c r="E1209" i="1"/>
  <c r="E1210" i="1"/>
  <c r="E1208" i="1"/>
  <c r="E1211" i="1"/>
  <c r="E1207" i="1"/>
  <c r="E1204" i="1"/>
  <c r="E1206" i="1"/>
  <c r="E1205" i="1"/>
  <c r="E1203" i="1"/>
  <c r="E1202" i="1"/>
  <c r="E1201" i="1"/>
  <c r="E1198" i="1"/>
  <c r="E1199" i="1"/>
  <c r="E1200" i="1"/>
  <c r="E1185" i="1"/>
  <c r="E1191" i="1"/>
  <c r="E1186" i="1"/>
  <c r="E1195" i="1"/>
  <c r="E1187" i="1"/>
  <c r="E1196" i="1"/>
  <c r="E1194" i="1"/>
  <c r="E1190" i="1"/>
  <c r="E1193" i="1"/>
  <c r="E1192" i="1"/>
  <c r="E1197" i="1"/>
  <c r="E1188" i="1"/>
  <c r="E1189" i="1"/>
  <c r="E1184" i="1"/>
  <c r="E1182" i="1"/>
  <c r="E1183" i="1"/>
  <c r="E1180" i="1"/>
  <c r="E1181" i="1"/>
  <c r="E1179" i="1"/>
  <c r="E1178" i="1"/>
  <c r="E1177" i="1"/>
  <c r="E1176" i="1"/>
  <c r="E1172" i="1"/>
  <c r="E1171" i="1"/>
  <c r="E1169" i="1"/>
  <c r="E1175" i="1"/>
  <c r="E1170" i="1"/>
  <c r="E1174" i="1"/>
  <c r="E1173" i="1"/>
  <c r="E1168" i="1"/>
  <c r="E1164" i="1"/>
  <c r="E1163" i="1"/>
  <c r="E1161" i="1"/>
  <c r="E1166" i="1"/>
  <c r="E1162" i="1"/>
  <c r="E1167" i="1"/>
  <c r="E1165" i="1"/>
  <c r="E1159" i="1"/>
  <c r="E1160" i="1"/>
  <c r="E1157" i="1"/>
  <c r="E1154" i="1"/>
  <c r="E1158" i="1"/>
  <c r="E1155" i="1"/>
  <c r="E1156" i="1"/>
  <c r="E1153" i="1"/>
  <c r="E1152" i="1"/>
  <c r="E1148" i="1"/>
  <c r="E1149" i="1"/>
  <c r="E1150" i="1"/>
  <c r="E1151" i="1"/>
  <c r="E1146" i="1"/>
  <c r="E1147" i="1"/>
  <c r="E1144" i="1"/>
  <c r="E1145" i="1"/>
  <c r="E1143" i="1"/>
  <c r="E1138" i="1"/>
  <c r="E1140" i="1"/>
  <c r="E1142" i="1"/>
  <c r="E1139" i="1"/>
  <c r="E1141" i="1"/>
  <c r="E1135" i="1"/>
  <c r="E1134" i="1"/>
  <c r="E1136" i="1"/>
  <c r="E1132" i="1"/>
  <c r="E1133" i="1"/>
  <c r="E1137" i="1"/>
  <c r="E1130" i="1"/>
  <c r="E1131" i="1"/>
  <c r="E1126" i="1"/>
  <c r="E1127" i="1"/>
  <c r="E1123" i="1"/>
  <c r="E1122" i="1"/>
  <c r="E1125" i="1"/>
  <c r="E1124" i="1"/>
  <c r="E1129" i="1"/>
  <c r="E1128" i="1"/>
  <c r="E1120" i="1"/>
  <c r="E1116" i="1"/>
  <c r="E1118" i="1"/>
  <c r="E1121" i="1"/>
  <c r="E1115" i="1"/>
  <c r="E1117" i="1"/>
  <c r="E1119" i="1"/>
  <c r="E1114" i="1"/>
  <c r="E1113" i="1"/>
  <c r="E1112" i="1"/>
  <c r="E1111" i="1"/>
  <c r="E1106" i="1"/>
  <c r="E1110" i="1"/>
  <c r="E1107" i="1"/>
  <c r="E1109" i="1"/>
  <c r="E1108" i="1"/>
  <c r="E1105" i="1"/>
  <c r="E1104" i="1"/>
  <c r="E1102" i="1"/>
  <c r="E1103" i="1"/>
  <c r="E1098" i="1"/>
  <c r="E1100" i="1"/>
  <c r="E1101" i="1"/>
  <c r="E1097" i="1"/>
  <c r="E1096" i="1"/>
  <c r="E1099" i="1"/>
  <c r="E1094" i="1"/>
  <c r="E1090" i="1"/>
  <c r="E1092" i="1"/>
  <c r="E1095" i="1"/>
  <c r="E1093" i="1"/>
  <c r="E1091" i="1"/>
  <c r="E1086" i="1"/>
  <c r="E1083" i="1"/>
  <c r="E1084" i="1"/>
  <c r="E1089" i="1"/>
  <c r="E1087" i="1"/>
  <c r="E1088" i="1"/>
  <c r="E1085" i="1"/>
  <c r="E1082" i="1"/>
  <c r="E1079" i="1"/>
  <c r="E1078" i="1"/>
  <c r="E1081" i="1"/>
  <c r="E1077" i="1"/>
  <c r="E1080" i="1"/>
  <c r="E1075" i="1"/>
  <c r="E1073" i="1"/>
  <c r="E1071" i="1"/>
  <c r="E1074" i="1"/>
  <c r="E1076" i="1"/>
  <c r="E1072" i="1"/>
  <c r="E1069" i="1"/>
  <c r="E1070" i="1"/>
  <c r="E1067" i="1"/>
  <c r="E1066" i="1"/>
  <c r="E1068" i="1"/>
  <c r="E1062" i="1"/>
  <c r="E1065" i="1"/>
  <c r="E1063" i="1"/>
  <c r="E1064" i="1"/>
  <c r="E1060" i="1"/>
  <c r="E1059" i="1"/>
  <c r="E1057" i="1"/>
  <c r="E1058" i="1"/>
  <c r="E1061" i="1"/>
  <c r="E1046" i="1"/>
  <c r="E1047" i="1"/>
  <c r="E1055" i="1"/>
  <c r="E1053" i="1"/>
  <c r="E1049" i="1"/>
  <c r="E1048" i="1"/>
  <c r="E1056" i="1"/>
  <c r="E1054" i="1"/>
  <c r="E1050" i="1"/>
  <c r="E1052" i="1"/>
  <c r="E1051" i="1"/>
  <c r="E1043" i="1"/>
  <c r="E1042" i="1"/>
  <c r="E1045" i="1"/>
  <c r="E1044" i="1"/>
  <c r="E1040" i="1"/>
  <c r="E1041" i="1"/>
  <c r="E1033" i="1"/>
  <c r="E1036" i="1"/>
  <c r="E1038" i="1"/>
  <c r="E1034" i="1"/>
  <c r="E1035" i="1"/>
  <c r="E1037" i="1"/>
  <c r="E1039" i="1"/>
  <c r="E1032" i="1"/>
  <c r="E1029" i="1"/>
  <c r="E1031" i="1"/>
  <c r="E1026" i="1"/>
  <c r="E1025" i="1"/>
  <c r="E1030" i="1"/>
  <c r="E1028" i="1"/>
  <c r="E1024" i="1"/>
  <c r="E1027" i="1"/>
  <c r="E1020" i="1"/>
  <c r="E1022" i="1"/>
  <c r="E1021" i="1"/>
  <c r="E1023" i="1"/>
  <c r="E1017" i="1"/>
  <c r="E1019" i="1"/>
  <c r="E1018" i="1"/>
  <c r="E1016" i="1"/>
  <c r="E1015" i="1"/>
  <c r="E1008" i="1"/>
  <c r="E1010" i="1"/>
  <c r="E1013" i="1"/>
  <c r="E1012" i="1"/>
  <c r="E1011" i="1"/>
  <c r="E1014" i="1"/>
  <c r="E1009" i="1"/>
  <c r="E1007" i="1"/>
  <c r="E1006" i="1"/>
  <c r="E1001" i="1"/>
  <c r="E1003" i="1"/>
  <c r="E1005" i="1"/>
  <c r="E1000" i="1"/>
  <c r="E1004" i="1"/>
  <c r="E1002" i="1"/>
  <c r="E999" i="1"/>
  <c r="E995" i="1"/>
  <c r="E997" i="1"/>
  <c r="E996" i="1"/>
  <c r="E998" i="1"/>
  <c r="E989" i="1"/>
  <c r="E994" i="1"/>
  <c r="E991" i="1"/>
  <c r="E993" i="1"/>
  <c r="E992" i="1"/>
  <c r="E988" i="1"/>
  <c r="E990" i="1"/>
  <c r="E987" i="1"/>
  <c r="E984" i="1"/>
  <c r="E985" i="1"/>
  <c r="E986" i="1"/>
  <c r="E983" i="1"/>
  <c r="E982" i="1"/>
  <c r="E981" i="1"/>
  <c r="E978" i="1"/>
  <c r="E980" i="1"/>
  <c r="E979" i="1"/>
  <c r="E977" i="1"/>
  <c r="E973" i="1"/>
  <c r="E976" i="1"/>
  <c r="E974" i="1"/>
  <c r="E975" i="1"/>
  <c r="E972" i="1"/>
  <c r="E971" i="1"/>
  <c r="E970" i="1"/>
  <c r="E969" i="1"/>
  <c r="E966" i="1"/>
  <c r="E968" i="1"/>
  <c r="E967" i="1"/>
  <c r="E965" i="1"/>
  <c r="E963" i="1"/>
  <c r="E964" i="1"/>
  <c r="E962" i="1"/>
  <c r="E961" i="1"/>
  <c r="E959" i="1"/>
  <c r="E958" i="1"/>
  <c r="E960" i="1"/>
  <c r="E955" i="1"/>
  <c r="E957" i="1"/>
  <c r="E954" i="1"/>
  <c r="E956" i="1"/>
  <c r="E953" i="1"/>
  <c r="E952" i="1"/>
  <c r="E947" i="1"/>
  <c r="E949" i="1"/>
  <c r="E948" i="1"/>
  <c r="E950" i="1"/>
  <c r="E946" i="1"/>
  <c r="E951" i="1"/>
  <c r="E942" i="1"/>
  <c r="E941" i="1"/>
  <c r="E945" i="1"/>
  <c r="E944" i="1"/>
  <c r="E943" i="1"/>
  <c r="E939" i="1"/>
  <c r="E936" i="1"/>
  <c r="E935" i="1"/>
  <c r="E937" i="1"/>
  <c r="E940" i="1"/>
  <c r="E934" i="1"/>
  <c r="E931" i="1"/>
  <c r="E932" i="1"/>
  <c r="E938" i="1"/>
  <c r="E933" i="1"/>
  <c r="E930" i="1"/>
  <c r="E929" i="1"/>
  <c r="E928" i="1"/>
  <c r="E927" i="1"/>
  <c r="E926" i="1"/>
  <c r="E925" i="1"/>
  <c r="E922" i="1"/>
  <c r="E923" i="1"/>
  <c r="E924" i="1"/>
  <c r="E918" i="1"/>
  <c r="E919" i="1"/>
  <c r="E921" i="1"/>
  <c r="E920" i="1"/>
  <c r="E915" i="1"/>
  <c r="E916" i="1"/>
  <c r="E914" i="1"/>
  <c r="E917" i="1"/>
  <c r="E913" i="1"/>
  <c r="E912" i="1"/>
  <c r="E907" i="1"/>
  <c r="E910" i="1"/>
  <c r="E908" i="1"/>
  <c r="E911" i="1"/>
  <c r="E906" i="1"/>
  <c r="E909" i="1"/>
  <c r="E901" i="1"/>
  <c r="E905" i="1"/>
  <c r="E904" i="1"/>
  <c r="E903" i="1"/>
  <c r="E902" i="1"/>
  <c r="E898" i="1"/>
  <c r="E897" i="1"/>
  <c r="E900" i="1"/>
  <c r="E899" i="1"/>
  <c r="E896" i="1"/>
  <c r="E891" i="1"/>
  <c r="E889" i="1"/>
  <c r="E892" i="1"/>
  <c r="E894" i="1"/>
  <c r="E895" i="1"/>
  <c r="E893" i="1"/>
  <c r="E890" i="1"/>
  <c r="E886" i="1"/>
  <c r="E887" i="1"/>
  <c r="E885" i="1"/>
  <c r="E888" i="1"/>
  <c r="E882" i="1"/>
  <c r="E883" i="1"/>
  <c r="E884" i="1"/>
  <c r="E878" i="1"/>
  <c r="E881" i="1"/>
  <c r="E877" i="1"/>
  <c r="E879" i="1"/>
  <c r="E880" i="1"/>
  <c r="E873" i="1"/>
  <c r="E874" i="1"/>
  <c r="E876" i="1"/>
  <c r="E875" i="1"/>
  <c r="E872" i="1"/>
  <c r="E870" i="1"/>
  <c r="E865" i="1"/>
  <c r="E866" i="1"/>
  <c r="E867" i="1"/>
  <c r="E863" i="1"/>
  <c r="E869" i="1"/>
  <c r="E864" i="1"/>
  <c r="E868" i="1"/>
  <c r="E871" i="1"/>
  <c r="E860" i="1"/>
  <c r="E861" i="1"/>
  <c r="E862" i="1"/>
  <c r="E858" i="1"/>
  <c r="E859" i="1"/>
  <c r="E851" i="1"/>
  <c r="E852" i="1"/>
  <c r="E856" i="1"/>
  <c r="E854" i="1"/>
  <c r="E853" i="1"/>
  <c r="E855" i="1"/>
  <c r="E857" i="1"/>
  <c r="E850" i="1"/>
  <c r="E848" i="1"/>
  <c r="E849" i="1"/>
  <c r="E847" i="1"/>
  <c r="E846" i="1"/>
  <c r="E845" i="1"/>
  <c r="E844" i="1"/>
  <c r="E843" i="1"/>
  <c r="E842" i="1"/>
  <c r="E836" i="1"/>
  <c r="E839" i="1"/>
  <c r="E837" i="1"/>
  <c r="E840" i="1"/>
  <c r="E835" i="1"/>
  <c r="E841" i="1"/>
  <c r="E838" i="1"/>
  <c r="E833" i="1"/>
  <c r="E830" i="1"/>
  <c r="E834" i="1"/>
  <c r="E831" i="1"/>
  <c r="E829" i="1"/>
  <c r="E832" i="1"/>
  <c r="E827" i="1"/>
  <c r="E828" i="1"/>
  <c r="E823" i="1"/>
  <c r="E826" i="1"/>
  <c r="E825" i="1"/>
  <c r="E824" i="1"/>
  <c r="E819" i="1"/>
  <c r="E821" i="1"/>
  <c r="E822" i="1"/>
  <c r="E820" i="1"/>
  <c r="E812" i="1"/>
  <c r="E810" i="1"/>
  <c r="E811" i="1"/>
  <c r="E815" i="1"/>
  <c r="E813" i="1"/>
  <c r="E809" i="1"/>
  <c r="E814" i="1"/>
  <c r="E817" i="1"/>
  <c r="E816" i="1"/>
  <c r="E818" i="1"/>
  <c r="E807" i="1"/>
  <c r="E805" i="1"/>
  <c r="E806" i="1"/>
  <c r="E808" i="1"/>
  <c r="E801" i="1"/>
  <c r="E793" i="1"/>
  <c r="E791" i="1"/>
  <c r="E792" i="1"/>
  <c r="E804" i="1"/>
  <c r="E798" i="1"/>
  <c r="E803" i="1"/>
  <c r="E796" i="1"/>
  <c r="E800" i="1"/>
  <c r="E799" i="1"/>
  <c r="E790" i="1"/>
  <c r="E797" i="1"/>
  <c r="E802" i="1"/>
  <c r="E794" i="1"/>
  <c r="E795" i="1"/>
  <c r="E789" i="1"/>
  <c r="E788" i="1"/>
  <c r="E787" i="1"/>
  <c r="E778" i="1"/>
  <c r="E775" i="1"/>
  <c r="E785" i="1"/>
  <c r="E786" i="1"/>
  <c r="E782" i="1"/>
  <c r="E781" i="1"/>
  <c r="E776" i="1"/>
  <c r="E777" i="1"/>
  <c r="E780" i="1"/>
  <c r="E779" i="1"/>
  <c r="E784" i="1"/>
  <c r="E783" i="1"/>
  <c r="E771" i="1"/>
  <c r="E769" i="1"/>
  <c r="E773" i="1"/>
  <c r="E767" i="1"/>
  <c r="E774" i="1"/>
  <c r="E768" i="1"/>
  <c r="E770" i="1"/>
  <c r="E772" i="1"/>
  <c r="E765" i="1"/>
  <c r="E766" i="1"/>
  <c r="E764" i="1"/>
  <c r="E758" i="1"/>
  <c r="E757" i="1"/>
  <c r="E763" i="1"/>
  <c r="E759" i="1"/>
  <c r="E760" i="1"/>
  <c r="E761" i="1"/>
  <c r="E762" i="1"/>
  <c r="E755" i="1"/>
  <c r="E756" i="1"/>
  <c r="E754" i="1"/>
  <c r="E753" i="1"/>
  <c r="E752" i="1"/>
  <c r="E751" i="1"/>
  <c r="E748" i="1"/>
  <c r="E749" i="1"/>
  <c r="E747" i="1"/>
  <c r="E750" i="1"/>
  <c r="E744" i="1"/>
  <c r="E743" i="1"/>
  <c r="E742" i="1"/>
  <c r="E746" i="1"/>
  <c r="E745" i="1"/>
  <c r="E740" i="1"/>
  <c r="E739" i="1"/>
  <c r="E741" i="1"/>
  <c r="E738" i="1"/>
  <c r="E737" i="1"/>
  <c r="E736" i="1"/>
  <c r="E735" i="1"/>
  <c r="E727" i="1"/>
  <c r="E728" i="1"/>
  <c r="E721" i="1"/>
  <c r="E732" i="1"/>
  <c r="E734" i="1"/>
  <c r="E724" i="1"/>
  <c r="E733" i="1"/>
  <c r="E726" i="1"/>
  <c r="E730" i="1"/>
  <c r="E729" i="1"/>
  <c r="E722" i="1"/>
  <c r="E731" i="1"/>
  <c r="E723" i="1"/>
  <c r="E720" i="1"/>
  <c r="E725" i="1"/>
  <c r="E719" i="1"/>
  <c r="E714" i="1"/>
  <c r="E713" i="1"/>
  <c r="E718" i="1"/>
  <c r="E716" i="1"/>
  <c r="E712" i="1"/>
  <c r="E717" i="1"/>
  <c r="E715" i="1"/>
  <c r="E709" i="1"/>
  <c r="E708" i="1"/>
  <c r="E710" i="1"/>
  <c r="E711" i="1"/>
  <c r="E700" i="1"/>
  <c r="E705" i="1"/>
  <c r="E702" i="1"/>
  <c r="E704" i="1"/>
  <c r="E706" i="1"/>
  <c r="E698" i="1"/>
  <c r="E703" i="1"/>
  <c r="E699" i="1"/>
  <c r="E707" i="1"/>
  <c r="E701" i="1"/>
  <c r="E696" i="1"/>
  <c r="E697" i="1"/>
  <c r="E694" i="1"/>
  <c r="E695" i="1"/>
  <c r="E690" i="1"/>
  <c r="E689" i="1"/>
  <c r="E692" i="1"/>
  <c r="E693" i="1"/>
  <c r="E691" i="1"/>
  <c r="E688" i="1"/>
  <c r="E677" i="1"/>
  <c r="E678" i="1"/>
  <c r="E684" i="1"/>
  <c r="E675" i="1"/>
  <c r="E668" i="1"/>
  <c r="E669" i="1"/>
  <c r="E680" i="1"/>
  <c r="E687" i="1"/>
  <c r="E671" i="1"/>
  <c r="E685" i="1"/>
  <c r="E672" i="1"/>
  <c r="E674" i="1"/>
  <c r="E679" i="1"/>
  <c r="E681" i="1"/>
  <c r="E670" i="1"/>
  <c r="E682" i="1"/>
  <c r="E683" i="1"/>
  <c r="E676" i="1"/>
  <c r="E686" i="1"/>
  <c r="E673" i="1"/>
  <c r="E664" i="1"/>
  <c r="E666" i="1"/>
  <c r="E665" i="1"/>
  <c r="E667" i="1"/>
  <c r="E662" i="1"/>
  <c r="E660" i="1"/>
  <c r="E661" i="1"/>
  <c r="E663" i="1"/>
  <c r="E657" i="1"/>
  <c r="E658" i="1"/>
  <c r="E659" i="1"/>
  <c r="E656" i="1"/>
  <c r="E655" i="1"/>
  <c r="E654" i="1"/>
  <c r="E652" i="1"/>
  <c r="E651" i="1"/>
  <c r="E650" i="1"/>
  <c r="E653" i="1"/>
  <c r="E647" i="1"/>
  <c r="E643" i="1"/>
  <c r="E649" i="1"/>
  <c r="E644" i="1"/>
  <c r="E641" i="1"/>
  <c r="E648" i="1"/>
  <c r="E642" i="1"/>
  <c r="E645" i="1"/>
  <c r="E646" i="1"/>
  <c r="E637" i="1"/>
  <c r="E639" i="1"/>
  <c r="E640" i="1"/>
  <c r="E638" i="1"/>
  <c r="E636" i="1"/>
  <c r="E634" i="1"/>
  <c r="E633" i="1"/>
  <c r="E635" i="1"/>
  <c r="E632" i="1"/>
  <c r="E631" i="1"/>
  <c r="E629" i="1"/>
  <c r="E627" i="1"/>
  <c r="E630" i="1"/>
  <c r="E628" i="1"/>
  <c r="E626" i="1"/>
  <c r="E621" i="1"/>
  <c r="E619" i="1"/>
  <c r="E624" i="1"/>
  <c r="E620" i="1"/>
  <c r="E623" i="1"/>
  <c r="E622" i="1"/>
  <c r="E625" i="1"/>
  <c r="E618" i="1"/>
  <c r="E616" i="1"/>
  <c r="E615" i="1"/>
  <c r="E613" i="1"/>
  <c r="E614" i="1"/>
  <c r="E611" i="1"/>
  <c r="E617" i="1"/>
  <c r="E612" i="1"/>
  <c r="E606" i="1"/>
  <c r="E605" i="1"/>
  <c r="E607" i="1"/>
  <c r="E604" i="1"/>
  <c r="E609" i="1"/>
  <c r="E608" i="1"/>
  <c r="E610" i="1"/>
  <c r="E602" i="1"/>
  <c r="E603" i="1"/>
  <c r="E601" i="1"/>
  <c r="E599" i="1"/>
  <c r="E600" i="1"/>
  <c r="E596" i="1"/>
  <c r="E598" i="1"/>
  <c r="E595" i="1"/>
  <c r="E597" i="1"/>
  <c r="E594" i="1"/>
  <c r="E593" i="1"/>
  <c r="E579" i="1"/>
  <c r="E584" i="1"/>
  <c r="E580" i="1"/>
  <c r="E588" i="1"/>
  <c r="E586" i="1"/>
  <c r="E591" i="1"/>
  <c r="E576" i="1"/>
  <c r="E590" i="1"/>
  <c r="E578" i="1"/>
  <c r="E589" i="1"/>
  <c r="E585" i="1"/>
  <c r="E581" i="1"/>
  <c r="E583" i="1"/>
  <c r="E575" i="1"/>
  <c r="E587" i="1"/>
  <c r="E577" i="1"/>
  <c r="E582" i="1"/>
  <c r="E592" i="1"/>
  <c r="E573" i="1"/>
  <c r="E574" i="1"/>
  <c r="E572" i="1"/>
  <c r="E565" i="1"/>
  <c r="E569" i="1"/>
  <c r="E570" i="1"/>
  <c r="E566" i="1"/>
  <c r="E567" i="1"/>
  <c r="E571" i="1"/>
  <c r="E568" i="1"/>
  <c r="E564" i="1"/>
  <c r="E563" i="1"/>
  <c r="E562" i="1"/>
  <c r="E560" i="1"/>
  <c r="E561" i="1"/>
  <c r="E556" i="1"/>
  <c r="E554" i="1"/>
  <c r="E559" i="1"/>
  <c r="E553" i="1"/>
  <c r="E557" i="1"/>
  <c r="E555" i="1"/>
  <c r="E552" i="1"/>
  <c r="E558" i="1"/>
  <c r="E550" i="1"/>
  <c r="E551" i="1"/>
  <c r="E549" i="1"/>
  <c r="E546" i="1"/>
  <c r="E544" i="1"/>
  <c r="E548" i="1"/>
  <c r="E541" i="1"/>
  <c r="E545" i="1"/>
  <c r="E539" i="1"/>
  <c r="E547" i="1"/>
  <c r="E543" i="1"/>
  <c r="E540" i="1"/>
  <c r="E542" i="1"/>
  <c r="E538" i="1"/>
  <c r="E537" i="1"/>
  <c r="E536" i="1"/>
  <c r="E535" i="1"/>
  <c r="E534" i="1"/>
  <c r="E533" i="1"/>
  <c r="E527" i="1"/>
  <c r="E526" i="1"/>
  <c r="E528" i="1"/>
  <c r="E529" i="1"/>
  <c r="E532" i="1"/>
  <c r="E525" i="1"/>
  <c r="E531" i="1"/>
  <c r="E530" i="1"/>
  <c r="E523" i="1"/>
  <c r="E524" i="1"/>
  <c r="E515" i="1"/>
  <c r="E519" i="1"/>
  <c r="E522" i="1"/>
  <c r="E518" i="1"/>
  <c r="E521" i="1"/>
  <c r="E520" i="1"/>
  <c r="E516" i="1"/>
  <c r="E517" i="1"/>
  <c r="E513" i="1"/>
  <c r="E512" i="1"/>
  <c r="E514" i="1"/>
  <c r="E511" i="1"/>
  <c r="E510" i="1"/>
  <c r="E509" i="1"/>
  <c r="E508" i="1"/>
  <c r="E507" i="1"/>
  <c r="E506" i="1"/>
  <c r="E504" i="1"/>
  <c r="E503" i="1"/>
  <c r="E505" i="1"/>
  <c r="E496" i="1"/>
  <c r="E502" i="1"/>
  <c r="E501" i="1"/>
  <c r="E498" i="1"/>
  <c r="E499" i="1"/>
  <c r="E500" i="1"/>
  <c r="E497" i="1"/>
  <c r="E494" i="1"/>
  <c r="E495" i="1"/>
  <c r="E492" i="1"/>
  <c r="E491" i="1"/>
  <c r="E493" i="1"/>
  <c r="E490" i="1"/>
  <c r="E489" i="1"/>
  <c r="E487" i="1"/>
  <c r="E488" i="1"/>
  <c r="E482" i="1"/>
  <c r="E477" i="1"/>
  <c r="E479" i="1"/>
  <c r="E485" i="1"/>
  <c r="E486" i="1"/>
  <c r="E476" i="1"/>
  <c r="E484" i="1"/>
  <c r="E483" i="1"/>
  <c r="E481" i="1"/>
  <c r="E475" i="1"/>
  <c r="E478" i="1"/>
  <c r="E480" i="1"/>
  <c r="E474" i="1"/>
  <c r="E471" i="1"/>
  <c r="E470" i="1"/>
  <c r="E473" i="1"/>
  <c r="E469" i="1"/>
  <c r="E472" i="1"/>
  <c r="E467" i="1"/>
  <c r="E468" i="1"/>
  <c r="E466" i="1"/>
  <c r="E464" i="1"/>
  <c r="E465" i="1"/>
  <c r="E462" i="1"/>
  <c r="E461" i="1"/>
  <c r="E460" i="1"/>
  <c r="E463" i="1"/>
  <c r="E458" i="1"/>
  <c r="E459" i="1"/>
  <c r="E453" i="1"/>
  <c r="E457" i="1"/>
  <c r="E456" i="1"/>
  <c r="E454" i="1"/>
  <c r="E455" i="1"/>
  <c r="E447" i="1"/>
  <c r="E443" i="1"/>
  <c r="E450" i="1"/>
  <c r="E445" i="1"/>
  <c r="E444" i="1"/>
  <c r="E449" i="1"/>
  <c r="E451" i="1"/>
  <c r="E442" i="1"/>
  <c r="E448" i="1"/>
  <c r="E446" i="1"/>
  <c r="E452" i="1"/>
  <c r="E440" i="1"/>
  <c r="E441" i="1"/>
  <c r="E439" i="1"/>
  <c r="E438" i="1"/>
  <c r="E435" i="1"/>
  <c r="E437" i="1"/>
  <c r="E436" i="1"/>
  <c r="E434" i="1"/>
  <c r="E433" i="1"/>
  <c r="E426" i="1"/>
  <c r="E427" i="1"/>
  <c r="E431" i="1"/>
  <c r="E429" i="1"/>
  <c r="E428" i="1"/>
  <c r="E432" i="1"/>
  <c r="E430" i="1"/>
  <c r="E423" i="1"/>
  <c r="E422" i="1"/>
  <c r="E425" i="1"/>
  <c r="E421" i="1"/>
  <c r="E424" i="1"/>
  <c r="E420" i="1"/>
  <c r="E418" i="1"/>
  <c r="E417" i="1"/>
  <c r="E419" i="1"/>
  <c r="E414" i="1"/>
  <c r="E416" i="1"/>
  <c r="E412" i="1"/>
  <c r="E413" i="1"/>
  <c r="E415" i="1"/>
  <c r="E411" i="1"/>
  <c r="E408" i="1"/>
  <c r="E410" i="1"/>
  <c r="E409" i="1"/>
  <c r="E406" i="1"/>
  <c r="E405" i="1"/>
  <c r="E407" i="1"/>
  <c r="E401" i="1"/>
  <c r="E403" i="1"/>
  <c r="E399" i="1"/>
  <c r="E397" i="1"/>
  <c r="E398" i="1"/>
  <c r="E400" i="1"/>
  <c r="E404" i="1"/>
  <c r="E402" i="1"/>
  <c r="E389" i="1"/>
  <c r="E391" i="1"/>
  <c r="E394" i="1"/>
  <c r="E390" i="1"/>
  <c r="E392" i="1"/>
  <c r="E395" i="1"/>
  <c r="E396" i="1"/>
  <c r="E393" i="1"/>
  <c r="E383" i="1"/>
  <c r="E388" i="1"/>
  <c r="E385" i="1"/>
  <c r="E387" i="1"/>
  <c r="E384" i="1"/>
  <c r="E386" i="1"/>
  <c r="E382" i="1"/>
  <c r="E370" i="1"/>
  <c r="E368" i="1"/>
  <c r="E369" i="1"/>
  <c r="E371" i="1"/>
  <c r="E379" i="1"/>
  <c r="E375" i="1"/>
  <c r="E376" i="1"/>
  <c r="E372" i="1"/>
  <c r="E380" i="1"/>
  <c r="E373" i="1"/>
  <c r="E374" i="1"/>
  <c r="E378" i="1"/>
  <c r="E367" i="1"/>
  <c r="E381" i="1"/>
  <c r="E377" i="1"/>
  <c r="E364" i="1"/>
  <c r="E365" i="1"/>
  <c r="E366" i="1"/>
  <c r="E363" i="1"/>
  <c r="E360" i="1"/>
  <c r="E361" i="1"/>
  <c r="E362" i="1"/>
  <c r="E357" i="1"/>
  <c r="E358" i="1"/>
  <c r="E359" i="1"/>
  <c r="E356" i="1"/>
  <c r="E354" i="1"/>
  <c r="E355" i="1"/>
  <c r="E351" i="1"/>
  <c r="E348" i="1"/>
  <c r="E350" i="1"/>
  <c r="E349" i="1"/>
  <c r="E352" i="1"/>
  <c r="E353" i="1"/>
  <c r="E347" i="1"/>
  <c r="E345" i="1"/>
  <c r="E346" i="1"/>
  <c r="E339" i="1"/>
  <c r="E340" i="1"/>
  <c r="E344" i="1"/>
  <c r="E343" i="1"/>
  <c r="E341" i="1"/>
  <c r="E342" i="1"/>
  <c r="E337" i="1"/>
  <c r="E335" i="1"/>
  <c r="E334" i="1"/>
  <c r="E333" i="1"/>
  <c r="E336" i="1"/>
  <c r="E338" i="1"/>
  <c r="E332" i="1"/>
  <c r="E331" i="1"/>
  <c r="E329" i="1"/>
  <c r="E330" i="1"/>
  <c r="E327" i="1"/>
  <c r="E328" i="1"/>
  <c r="E323" i="1"/>
  <c r="E324" i="1"/>
  <c r="E325" i="1"/>
  <c r="E326" i="1"/>
  <c r="E322" i="1"/>
  <c r="E321" i="1"/>
  <c r="E319" i="1"/>
  <c r="E320" i="1"/>
  <c r="E318" i="1"/>
  <c r="E317" i="1"/>
  <c r="E316" i="1"/>
  <c r="E309" i="1"/>
  <c r="E312" i="1"/>
  <c r="E313" i="1"/>
  <c r="E308" i="1"/>
  <c r="E315" i="1"/>
  <c r="E314" i="1"/>
  <c r="E311" i="1"/>
  <c r="E310" i="1"/>
  <c r="E307" i="1"/>
  <c r="E304" i="1"/>
  <c r="E305" i="1"/>
  <c r="E306" i="1"/>
  <c r="E303" i="1"/>
  <c r="E302" i="1"/>
  <c r="E301" i="1"/>
  <c r="E296" i="1"/>
  <c r="E300" i="1"/>
  <c r="E299" i="1"/>
  <c r="E298" i="1"/>
  <c r="E297" i="1"/>
  <c r="E292" i="1"/>
  <c r="E295" i="1"/>
  <c r="E294" i="1"/>
  <c r="E293" i="1"/>
  <c r="E290" i="1"/>
  <c r="E289" i="1"/>
  <c r="E291" i="1"/>
  <c r="E288" i="1"/>
  <c r="E287" i="1"/>
  <c r="E286" i="1"/>
  <c r="E285" i="1"/>
  <c r="E283" i="1"/>
  <c r="E284" i="1"/>
  <c r="E281" i="1"/>
  <c r="E282" i="1"/>
  <c r="E279" i="1"/>
  <c r="E280" i="1"/>
  <c r="E278" i="1"/>
  <c r="E277" i="1"/>
  <c r="E276" i="1"/>
  <c r="E275" i="1"/>
  <c r="E272" i="1"/>
  <c r="E271" i="1"/>
  <c r="E273" i="1"/>
  <c r="E274" i="1"/>
  <c r="E270" i="1"/>
  <c r="E269" i="1"/>
  <c r="E267" i="1"/>
  <c r="E268" i="1"/>
  <c r="E265" i="1"/>
  <c r="E266" i="1"/>
  <c r="E262" i="1"/>
  <c r="E261" i="1"/>
  <c r="E264" i="1"/>
  <c r="E263" i="1"/>
  <c r="E259" i="1"/>
  <c r="E260" i="1"/>
  <c r="E257" i="1"/>
  <c r="E258" i="1"/>
  <c r="E256" i="1"/>
  <c r="E255" i="1"/>
  <c r="E253" i="1"/>
  <c r="E254" i="1"/>
  <c r="E252" i="1"/>
  <c r="E251" i="1"/>
  <c r="E249" i="1"/>
  <c r="E250" i="1"/>
  <c r="E248" i="1"/>
  <c r="E247" i="1"/>
  <c r="E245" i="1"/>
  <c r="E246" i="1"/>
  <c r="E239" i="1"/>
  <c r="E240" i="1"/>
  <c r="E242" i="1"/>
  <c r="E244" i="1"/>
  <c r="E243" i="1"/>
  <c r="E241" i="1"/>
  <c r="E226" i="1"/>
  <c r="E229" i="1"/>
  <c r="E227" i="1"/>
  <c r="E228" i="1"/>
  <c r="E230" i="1"/>
  <c r="E231" i="1"/>
  <c r="E235" i="1"/>
  <c r="E233" i="1"/>
  <c r="E237" i="1"/>
  <c r="E238" i="1"/>
  <c r="E232" i="1"/>
  <c r="E236" i="1"/>
  <c r="E234" i="1"/>
  <c r="E218" i="1"/>
  <c r="E223" i="1"/>
  <c r="E222" i="1"/>
  <c r="E225" i="1"/>
  <c r="E220" i="1"/>
  <c r="E224" i="1"/>
  <c r="E215" i="1"/>
  <c r="E216" i="1"/>
  <c r="E217" i="1"/>
  <c r="E214" i="1"/>
  <c r="E219" i="1"/>
  <c r="E221" i="1"/>
  <c r="E207" i="1"/>
  <c r="E205" i="1"/>
  <c r="E206" i="1"/>
  <c r="E204" i="1"/>
  <c r="E210" i="1"/>
  <c r="E211" i="1"/>
  <c r="E209" i="1"/>
  <c r="E212" i="1"/>
  <c r="E213" i="1"/>
  <c r="E208" i="1"/>
  <c r="E194" i="1"/>
  <c r="E193" i="1"/>
  <c r="E202" i="1"/>
  <c r="E200" i="1"/>
  <c r="E197" i="1"/>
  <c r="E196" i="1"/>
  <c r="E192" i="1"/>
  <c r="E190" i="1"/>
  <c r="E191" i="1"/>
  <c r="E198" i="1"/>
  <c r="E199" i="1"/>
  <c r="E195" i="1"/>
  <c r="E201" i="1"/>
  <c r="E203" i="1"/>
  <c r="E167" i="1"/>
  <c r="E165" i="1"/>
  <c r="E166" i="1"/>
  <c r="E173" i="1"/>
  <c r="E184" i="1"/>
  <c r="E185" i="1"/>
  <c r="E172" i="1"/>
  <c r="E170" i="1"/>
  <c r="E171" i="1"/>
  <c r="E168" i="1"/>
  <c r="E189" i="1"/>
  <c r="E188" i="1"/>
  <c r="E174" i="1"/>
  <c r="E181" i="1"/>
  <c r="E180" i="1"/>
  <c r="E187" i="1"/>
  <c r="E182" i="1"/>
  <c r="E183" i="1"/>
  <c r="E175" i="1"/>
  <c r="E177" i="1"/>
  <c r="E176" i="1"/>
  <c r="E186" i="1"/>
  <c r="E179" i="1"/>
  <c r="E178" i="1"/>
  <c r="E169" i="1"/>
  <c r="E160" i="1"/>
  <c r="E159" i="1"/>
  <c r="E155" i="1"/>
  <c r="E154" i="1"/>
  <c r="E162" i="1"/>
  <c r="E161" i="1"/>
  <c r="E163" i="1"/>
  <c r="E156" i="1"/>
  <c r="E164" i="1"/>
  <c r="E158" i="1"/>
  <c r="E157" i="1"/>
  <c r="E152" i="1"/>
  <c r="E153" i="1"/>
  <c r="E151" i="1"/>
  <c r="E150" i="1"/>
  <c r="E140" i="1"/>
  <c r="E139" i="1"/>
  <c r="E149" i="1"/>
  <c r="E148" i="1"/>
  <c r="E145" i="1"/>
  <c r="E141" i="1"/>
  <c r="E146" i="1"/>
  <c r="E147" i="1"/>
  <c r="E143" i="1"/>
  <c r="E144" i="1"/>
  <c r="E142" i="1"/>
  <c r="E134" i="1"/>
  <c r="E133" i="1"/>
  <c r="E135" i="1"/>
  <c r="E138" i="1"/>
  <c r="E137" i="1"/>
  <c r="E136" i="1"/>
  <c r="E131" i="1"/>
  <c r="E132" i="1"/>
  <c r="E130" i="1"/>
  <c r="E115" i="1"/>
  <c r="E114" i="1"/>
  <c r="E121" i="1"/>
  <c r="E120" i="1"/>
  <c r="E119" i="1"/>
  <c r="E116" i="1"/>
  <c r="E128" i="1"/>
  <c r="E118" i="1"/>
  <c r="E124" i="1"/>
  <c r="E127" i="1"/>
  <c r="E126" i="1"/>
  <c r="E123" i="1"/>
  <c r="E125" i="1"/>
  <c r="E122" i="1"/>
  <c r="E129" i="1"/>
  <c r="E117" i="1"/>
  <c r="E112" i="1"/>
  <c r="E113" i="1"/>
  <c r="E100" i="1"/>
  <c r="E99" i="1"/>
  <c r="E103" i="1"/>
  <c r="E102" i="1"/>
  <c r="E105" i="1"/>
  <c r="E104" i="1"/>
  <c r="E111" i="1"/>
  <c r="E110" i="1"/>
  <c r="E101" i="1"/>
  <c r="E106" i="1"/>
  <c r="E107" i="1"/>
  <c r="E109" i="1"/>
  <c r="E108" i="1"/>
  <c r="E97" i="1"/>
  <c r="E98" i="1"/>
  <c r="E95" i="1"/>
  <c r="E94" i="1"/>
  <c r="E90" i="1"/>
  <c r="E91" i="1"/>
  <c r="E84" i="1"/>
  <c r="E83" i="1"/>
  <c r="E85" i="1"/>
  <c r="E86" i="1"/>
  <c r="E88" i="1"/>
  <c r="E89" i="1"/>
  <c r="E87" i="1"/>
  <c r="E96" i="1"/>
  <c r="E92" i="1"/>
  <c r="E93" i="1"/>
  <c r="E82" i="1"/>
  <c r="E68" i="1"/>
  <c r="E67" i="1"/>
  <c r="E69" i="1"/>
  <c r="E75" i="1"/>
  <c r="E74" i="1"/>
  <c r="E76" i="1"/>
  <c r="E70" i="1"/>
  <c r="E73" i="1"/>
  <c r="E81" i="1"/>
  <c r="E72" i="1"/>
  <c r="E80" i="1"/>
  <c r="E71" i="1"/>
  <c r="E78" i="1"/>
  <c r="E77" i="1"/>
  <c r="E79" i="1"/>
  <c r="E64" i="1"/>
  <c r="E66" i="1"/>
  <c r="E65" i="1"/>
  <c r="E47" i="1"/>
  <c r="E46" i="1"/>
  <c r="E55" i="1"/>
  <c r="E54" i="1"/>
  <c r="E60" i="1"/>
  <c r="E49" i="1"/>
  <c r="E48" i="1"/>
  <c r="E62" i="1"/>
  <c r="E53" i="1"/>
  <c r="E52" i="1"/>
  <c r="E58" i="1"/>
  <c r="E50" i="1"/>
  <c r="E51" i="1"/>
  <c r="E59" i="1"/>
  <c r="E56" i="1"/>
  <c r="E57" i="1"/>
  <c r="E63" i="1"/>
  <c r="E61" i="1"/>
  <c r="E32" i="1"/>
  <c r="E30" i="1"/>
  <c r="E31" i="1"/>
  <c r="E41" i="1"/>
  <c r="E35" i="1"/>
  <c r="E36" i="1"/>
  <c r="E40" i="1"/>
  <c r="E45" i="1"/>
  <c r="E39" i="1"/>
  <c r="E37" i="1"/>
  <c r="E34" i="1"/>
  <c r="E38" i="1"/>
  <c r="E33" i="1"/>
  <c r="E43" i="1"/>
  <c r="E42" i="1"/>
  <c r="E44" i="1"/>
  <c r="E27" i="1"/>
  <c r="E25" i="1"/>
  <c r="E26" i="1"/>
  <c r="E24" i="1"/>
  <c r="E29" i="1"/>
  <c r="E28" i="1"/>
  <c r="E21" i="1"/>
  <c r="E20" i="1"/>
  <c r="E22" i="1"/>
  <c r="E23" i="1"/>
  <c r="E19" i="1"/>
  <c r="E18" i="1"/>
  <c r="E17" i="1"/>
  <c r="E16" i="1"/>
  <c r="E10" i="1"/>
  <c r="E14" i="1"/>
  <c r="E11" i="1"/>
  <c r="E15" i="1"/>
  <c r="E12" i="1"/>
  <c r="E13" i="1"/>
  <c r="E8" i="1"/>
  <c r="E9" i="1"/>
  <c r="E7" i="1"/>
  <c r="E6" i="1"/>
  <c r="E5" i="1"/>
  <c r="E4" i="1"/>
  <c r="E3" i="1"/>
  <c r="E2" i="1"/>
</calcChain>
</file>

<file path=xl/sharedStrings.xml><?xml version="1.0" encoding="utf-8"?>
<sst xmlns="http://schemas.openxmlformats.org/spreadsheetml/2006/main" count="22467" uniqueCount="9691">
  <si>
    <t>公告日期</t>
  </si>
  <si>
    <t>证券代码</t>
  </si>
  <si>
    <t>公告标题</t>
  </si>
  <si>
    <t>数据来源：Wind资讯</t>
  </si>
  <si>
    <t>300386.SZ</t>
  </si>
  <si>
    <t>601299.SH</t>
  </si>
  <si>
    <t>300370.SZ</t>
  </si>
  <si>
    <t>002717.SZ</t>
  </si>
  <si>
    <t>002715.SZ</t>
  </si>
  <si>
    <t>002713.SZ</t>
  </si>
  <si>
    <t>002705.SZ</t>
  </si>
  <si>
    <t>603288.SH</t>
  </si>
  <si>
    <t>603005.SH</t>
  </si>
  <si>
    <t>300379.SZ</t>
  </si>
  <si>
    <t>300383.SZ</t>
  </si>
  <si>
    <t>300369.SZ</t>
  </si>
  <si>
    <t>300382.SZ</t>
  </si>
  <si>
    <t>002725.SZ</t>
  </si>
  <si>
    <t>002723.SZ</t>
  </si>
  <si>
    <t>300367.SZ</t>
  </si>
  <si>
    <t>300363.SZ</t>
  </si>
  <si>
    <t>002716.SZ</t>
  </si>
  <si>
    <t>300381.SZ</t>
  </si>
  <si>
    <t>002722.SZ</t>
  </si>
  <si>
    <t>002714.SZ</t>
  </si>
  <si>
    <t>002719.SZ</t>
  </si>
  <si>
    <t>300380.SZ</t>
  </si>
  <si>
    <t>002718.SZ</t>
  </si>
  <si>
    <t>601225.SH</t>
  </si>
  <si>
    <t>002711.SZ</t>
  </si>
  <si>
    <t>300372.SZ</t>
  </si>
  <si>
    <t>300366.SZ</t>
  </si>
  <si>
    <t>300377.SZ</t>
  </si>
  <si>
    <t>300376.SZ</t>
  </si>
  <si>
    <t>300378.SZ</t>
  </si>
  <si>
    <t>002721.SZ</t>
  </si>
  <si>
    <t>300375.SZ</t>
  </si>
  <si>
    <t>603555.SH</t>
  </si>
  <si>
    <t>002712.SZ</t>
  </si>
  <si>
    <t>300365.SZ</t>
  </si>
  <si>
    <t>300371.SZ</t>
  </si>
  <si>
    <t>002709.SZ</t>
  </si>
  <si>
    <t>002707.SZ</t>
  </si>
  <si>
    <t>300373.SZ</t>
  </si>
  <si>
    <t>300368.SZ</t>
  </si>
  <si>
    <t>603308.SH</t>
  </si>
  <si>
    <t>300357.SZ</t>
  </si>
  <si>
    <t>300360.SZ</t>
  </si>
  <si>
    <t>300359.SZ</t>
  </si>
  <si>
    <t>300362.SZ</t>
  </si>
  <si>
    <t>300358.SZ</t>
  </si>
  <si>
    <t>002708.SZ</t>
  </si>
  <si>
    <t>002706.SZ</t>
  </si>
  <si>
    <t>603699.SH</t>
  </si>
  <si>
    <t>002617.SZ</t>
  </si>
  <si>
    <t>601717.SH</t>
  </si>
  <si>
    <t>002703.SZ</t>
  </si>
  <si>
    <t>002701.SZ</t>
  </si>
  <si>
    <t>002702.SZ</t>
  </si>
  <si>
    <t>300356.SZ</t>
  </si>
  <si>
    <t>603993.SH</t>
  </si>
  <si>
    <t>300355.SZ</t>
  </si>
  <si>
    <t>300353.SZ</t>
  </si>
  <si>
    <t>002700.SZ</t>
  </si>
  <si>
    <t>300354.SZ</t>
  </si>
  <si>
    <t>300351.SZ</t>
  </si>
  <si>
    <t>300352.SZ</t>
  </si>
  <si>
    <t>002699.SZ</t>
  </si>
  <si>
    <t>002698.SZ</t>
  </si>
  <si>
    <t>603167.SH</t>
  </si>
  <si>
    <t>002695.SZ</t>
  </si>
  <si>
    <t>002696.SZ</t>
  </si>
  <si>
    <t>002697.SZ</t>
  </si>
  <si>
    <t>603399.SH</t>
  </si>
  <si>
    <t>300350.SZ</t>
  </si>
  <si>
    <t>300349.SZ</t>
  </si>
  <si>
    <t>300348.SZ</t>
  </si>
  <si>
    <t>603003.SH</t>
  </si>
  <si>
    <t>300347.SZ</t>
  </si>
  <si>
    <t>002694.SZ</t>
  </si>
  <si>
    <t>603766.SH</t>
  </si>
  <si>
    <t>601038.SH</t>
  </si>
  <si>
    <t>002693.SZ</t>
  </si>
  <si>
    <t>002692.SZ</t>
  </si>
  <si>
    <t>300346.SZ</t>
  </si>
  <si>
    <t>300345.SZ</t>
  </si>
  <si>
    <t>300343.SZ</t>
  </si>
  <si>
    <t>300344.SZ</t>
  </si>
  <si>
    <t>603077.SH</t>
  </si>
  <si>
    <t>002691.SZ</t>
  </si>
  <si>
    <t>002690.SZ</t>
  </si>
  <si>
    <t>300340.SZ</t>
  </si>
  <si>
    <t>300338.SZ</t>
  </si>
  <si>
    <t>300341.SZ</t>
  </si>
  <si>
    <t>300342.SZ</t>
  </si>
  <si>
    <t>300337.SZ</t>
  </si>
  <si>
    <t>300339.SZ</t>
  </si>
  <si>
    <t>603008.SH</t>
  </si>
  <si>
    <t>002689.SZ</t>
  </si>
  <si>
    <t>002688.SZ</t>
  </si>
  <si>
    <t>002687.SZ</t>
  </si>
  <si>
    <t>300336.SZ</t>
  </si>
  <si>
    <t>300335.SZ</t>
  </si>
  <si>
    <t>601608.SH</t>
  </si>
  <si>
    <t>300334.SZ</t>
  </si>
  <si>
    <t>002686.SZ</t>
  </si>
  <si>
    <t>300333.SZ</t>
  </si>
  <si>
    <t>300332.SZ</t>
  </si>
  <si>
    <t>300331.SZ</t>
  </si>
  <si>
    <t>300330.SZ</t>
  </si>
  <si>
    <t>300329.SZ</t>
  </si>
  <si>
    <t>300328.SZ</t>
  </si>
  <si>
    <t>300327.SZ</t>
  </si>
  <si>
    <t>300326.SZ</t>
  </si>
  <si>
    <t>601339.SH</t>
  </si>
  <si>
    <t>002683.SZ</t>
  </si>
  <si>
    <t>002685.SZ</t>
  </si>
  <si>
    <t>002682.SZ</t>
  </si>
  <si>
    <t>002684.SZ</t>
  </si>
  <si>
    <t>601965.SH</t>
  </si>
  <si>
    <t>300324.SZ</t>
  </si>
  <si>
    <t>300322.SZ</t>
  </si>
  <si>
    <t>002681.SZ</t>
  </si>
  <si>
    <t>002680.SZ</t>
  </si>
  <si>
    <t>002679.SZ</t>
  </si>
  <si>
    <t>300323.SZ</t>
  </si>
  <si>
    <t>300325.SZ</t>
  </si>
  <si>
    <t>300320.SZ</t>
  </si>
  <si>
    <t>002678.SZ</t>
  </si>
  <si>
    <t>603128.SH</t>
  </si>
  <si>
    <t>002675.SZ</t>
  </si>
  <si>
    <t>002676.SZ</t>
  </si>
  <si>
    <t>002677.SZ</t>
  </si>
  <si>
    <t>300318.SZ</t>
  </si>
  <si>
    <t>300319.SZ</t>
  </si>
  <si>
    <t>300321.SZ</t>
  </si>
  <si>
    <t>300262.SZ</t>
  </si>
  <si>
    <t>603366.SH</t>
  </si>
  <si>
    <t>603002.SH</t>
  </si>
  <si>
    <t>300317.SZ</t>
  </si>
  <si>
    <t>300315.SZ</t>
  </si>
  <si>
    <t>300316.SZ</t>
  </si>
  <si>
    <t>300314.SZ</t>
  </si>
  <si>
    <t>300312.SZ</t>
  </si>
  <si>
    <t>603333.SH</t>
  </si>
  <si>
    <t>002674.SZ</t>
  </si>
  <si>
    <t>603123.SH</t>
  </si>
  <si>
    <t>002673.SZ</t>
  </si>
  <si>
    <t>002672.SZ</t>
  </si>
  <si>
    <t>603000.SH</t>
  </si>
  <si>
    <t>002671.SZ</t>
  </si>
  <si>
    <t>603001.SH</t>
  </si>
  <si>
    <t>300311.SZ</t>
  </si>
  <si>
    <t>300313.SZ</t>
  </si>
  <si>
    <t>300310.SZ</t>
  </si>
  <si>
    <t>601388.SH</t>
  </si>
  <si>
    <t>600837.SH</t>
  </si>
  <si>
    <t>002670.SZ</t>
  </si>
  <si>
    <t>002669.SZ</t>
  </si>
  <si>
    <t>002668.SZ</t>
  </si>
  <si>
    <t>300309.SZ</t>
  </si>
  <si>
    <t>601012.SH</t>
  </si>
  <si>
    <t>300308.SZ</t>
  </si>
  <si>
    <t>300307.SZ</t>
  </si>
  <si>
    <t>300306.SZ</t>
  </si>
  <si>
    <t>300305.SZ</t>
  </si>
  <si>
    <t>002667.SZ</t>
  </si>
  <si>
    <t>002665.SZ</t>
  </si>
  <si>
    <t>601238.SH</t>
  </si>
  <si>
    <t>002666.SZ</t>
  </si>
  <si>
    <t>300302.SZ</t>
  </si>
  <si>
    <t>300301.SZ</t>
  </si>
  <si>
    <t>300304.SZ</t>
  </si>
  <si>
    <t>300303.SZ</t>
  </si>
  <si>
    <t>300298.SZ</t>
  </si>
  <si>
    <t>300300.SZ</t>
  </si>
  <si>
    <t>300299.SZ</t>
  </si>
  <si>
    <t>002660.SZ</t>
  </si>
  <si>
    <t>002663.SZ</t>
  </si>
  <si>
    <t>002664.SZ</t>
  </si>
  <si>
    <t>002661.SZ</t>
  </si>
  <si>
    <t>300295.SZ</t>
  </si>
  <si>
    <t>300296.SZ</t>
  </si>
  <si>
    <t>300297.SZ</t>
  </si>
  <si>
    <t>002662.SZ</t>
  </si>
  <si>
    <t>601800.SH</t>
  </si>
  <si>
    <t>002658.SZ</t>
  </si>
  <si>
    <t>002659.SZ</t>
  </si>
  <si>
    <t>300293.SZ</t>
  </si>
  <si>
    <t>300294.SZ</t>
  </si>
  <si>
    <t>300292.SZ</t>
  </si>
  <si>
    <t>002657.SZ</t>
  </si>
  <si>
    <t>002656.SZ</t>
  </si>
  <si>
    <t>601929.SH</t>
  </si>
  <si>
    <t>601231.SH</t>
  </si>
  <si>
    <t>002655.SZ</t>
  </si>
  <si>
    <t>002654.SZ</t>
  </si>
  <si>
    <t>300290.SZ</t>
  </si>
  <si>
    <t>601515.SH</t>
  </si>
  <si>
    <t>300288.SZ</t>
  </si>
  <si>
    <t>300289.SZ</t>
  </si>
  <si>
    <t>300291.SZ</t>
  </si>
  <si>
    <t>300287.SZ</t>
  </si>
  <si>
    <t>002652.SZ</t>
  </si>
  <si>
    <t>002653.SZ</t>
  </si>
  <si>
    <t>601313.SH</t>
  </si>
  <si>
    <t>300286.SZ</t>
  </si>
  <si>
    <t>300285.SZ</t>
  </si>
  <si>
    <t>300283.SZ</t>
  </si>
  <si>
    <t>300284.SZ</t>
  </si>
  <si>
    <t>002651.SZ</t>
  </si>
  <si>
    <t>002650.SZ</t>
  </si>
  <si>
    <t>002649.SZ</t>
  </si>
  <si>
    <t>300281.SZ</t>
  </si>
  <si>
    <t>300282.SZ</t>
  </si>
  <si>
    <t>300280.SZ</t>
  </si>
  <si>
    <t>300279.SZ</t>
  </si>
  <si>
    <t>002648.SZ</t>
  </si>
  <si>
    <t>002647.SZ</t>
  </si>
  <si>
    <t>002646.SZ</t>
  </si>
  <si>
    <t>002644.SZ</t>
  </si>
  <si>
    <t>002642.SZ</t>
  </si>
  <si>
    <t>002645.SZ</t>
  </si>
  <si>
    <t>002643.SZ</t>
  </si>
  <si>
    <t>601336.SH</t>
  </si>
  <si>
    <t>300278.SZ</t>
  </si>
  <si>
    <t>601555.SH</t>
  </si>
  <si>
    <t>002641.SZ</t>
  </si>
  <si>
    <t>002640.SZ</t>
  </si>
  <si>
    <t>002634.SZ</t>
  </si>
  <si>
    <t>002639.SZ</t>
  </si>
  <si>
    <t>601928.SH</t>
  </si>
  <si>
    <t>002637.SZ</t>
  </si>
  <si>
    <t>002635.SZ</t>
  </si>
  <si>
    <t>002638.SZ</t>
  </si>
  <si>
    <t>002636.SZ</t>
  </si>
  <si>
    <t>300277.SZ</t>
  </si>
  <si>
    <t>002633.SZ</t>
  </si>
  <si>
    <t>002632.SZ</t>
  </si>
  <si>
    <t>300276.SZ</t>
  </si>
  <si>
    <t>002630.SZ</t>
  </si>
  <si>
    <t>002592.SZ</t>
  </si>
  <si>
    <t>002631.SZ</t>
  </si>
  <si>
    <t>601028.SH</t>
  </si>
  <si>
    <t>002628.SZ</t>
  </si>
  <si>
    <t>002625.SZ</t>
  </si>
  <si>
    <t>002627.SZ</t>
  </si>
  <si>
    <t>002629.SZ</t>
  </si>
  <si>
    <t>300275.SZ</t>
  </si>
  <si>
    <t>300272.SZ</t>
  </si>
  <si>
    <t>300274.SZ</t>
  </si>
  <si>
    <t>601100.SH</t>
  </si>
  <si>
    <t>002624.SZ</t>
  </si>
  <si>
    <t>002626.SZ</t>
  </si>
  <si>
    <t>300271.SZ</t>
  </si>
  <si>
    <t>300273.SZ</t>
  </si>
  <si>
    <t>002489.SZ</t>
  </si>
  <si>
    <t>601669.SH</t>
  </si>
  <si>
    <t>002622.SZ</t>
  </si>
  <si>
    <t>300270.SZ</t>
  </si>
  <si>
    <t>002623.SZ</t>
  </si>
  <si>
    <t>300269.SZ</t>
  </si>
  <si>
    <t>002621.SZ</t>
  </si>
  <si>
    <t>601996.SH</t>
  </si>
  <si>
    <t>002619.SZ</t>
  </si>
  <si>
    <t>002620.SZ</t>
  </si>
  <si>
    <t>601633.SH</t>
  </si>
  <si>
    <t>300266.SZ</t>
  </si>
  <si>
    <t>300267.SZ</t>
  </si>
  <si>
    <t>300268.SZ</t>
  </si>
  <si>
    <t>600030.SH</t>
  </si>
  <si>
    <t>002611.SZ</t>
  </si>
  <si>
    <t>002616.SZ</t>
  </si>
  <si>
    <t>002618.SZ</t>
  </si>
  <si>
    <t>601677.SH</t>
  </si>
  <si>
    <t>300264.SZ</t>
  </si>
  <si>
    <t>300263.SZ</t>
  </si>
  <si>
    <t>300265.SZ</t>
  </si>
  <si>
    <t>002615.SZ</t>
  </si>
  <si>
    <t>002614.SZ</t>
  </si>
  <si>
    <t>601908.SH</t>
  </si>
  <si>
    <t>300261.SZ</t>
  </si>
  <si>
    <t>300260.SZ</t>
  </si>
  <si>
    <t>002613.SZ</t>
  </si>
  <si>
    <t>300259.SZ</t>
  </si>
  <si>
    <t>002612.SZ</t>
  </si>
  <si>
    <t>300258.SZ</t>
  </si>
  <si>
    <t>300254.SZ</t>
  </si>
  <si>
    <t>300255.SZ</t>
  </si>
  <si>
    <t>300257.SZ</t>
  </si>
  <si>
    <t>300256.SZ</t>
  </si>
  <si>
    <t>601886.SH</t>
  </si>
  <si>
    <t>300252.SZ</t>
  </si>
  <si>
    <t>300253.SZ</t>
  </si>
  <si>
    <t>601789.SH</t>
  </si>
  <si>
    <t>002609.SZ</t>
  </si>
  <si>
    <t>002610.SZ</t>
  </si>
  <si>
    <t>601636.SH</t>
  </si>
  <si>
    <t>002608.SZ</t>
  </si>
  <si>
    <t>601901.SH</t>
  </si>
  <si>
    <t>002607.SZ</t>
  </si>
  <si>
    <t>601222.SH</t>
  </si>
  <si>
    <t>002605.SZ</t>
  </si>
  <si>
    <t>002606.SZ</t>
  </si>
  <si>
    <t>300250.SZ</t>
  </si>
  <si>
    <t>300249.SZ</t>
  </si>
  <si>
    <t>300251.SZ</t>
  </si>
  <si>
    <t>300247.SZ</t>
  </si>
  <si>
    <t>300248.SZ</t>
  </si>
  <si>
    <t>002603.SZ</t>
  </si>
  <si>
    <t>002602.SZ</t>
  </si>
  <si>
    <t>002604.SZ</t>
  </si>
  <si>
    <t>300246.SZ</t>
  </si>
  <si>
    <t>300245.SZ</t>
  </si>
  <si>
    <t>300244.SZ</t>
  </si>
  <si>
    <t>002600.SZ</t>
  </si>
  <si>
    <t>002601.SZ</t>
  </si>
  <si>
    <t>002599.SZ</t>
  </si>
  <si>
    <t>300243.SZ</t>
  </si>
  <si>
    <t>300242.SZ</t>
  </si>
  <si>
    <t>300241.SZ</t>
  </si>
  <si>
    <t>002597.SZ</t>
  </si>
  <si>
    <t>002598.SZ</t>
  </si>
  <si>
    <t>002596.SZ</t>
  </si>
  <si>
    <t>300238.SZ</t>
  </si>
  <si>
    <t>300240.SZ</t>
  </si>
  <si>
    <t>300239.SZ</t>
  </si>
  <si>
    <t>601058.SH</t>
  </si>
  <si>
    <t>002594.SZ</t>
  </si>
  <si>
    <t>300236.SZ</t>
  </si>
  <si>
    <t>300235.SZ</t>
  </si>
  <si>
    <t>300237.SZ</t>
  </si>
  <si>
    <t>002595.SZ</t>
  </si>
  <si>
    <t>002593.SZ</t>
  </si>
  <si>
    <t>300232.SZ</t>
  </si>
  <si>
    <t>300234.SZ</t>
  </si>
  <si>
    <t>300233.SZ</t>
  </si>
  <si>
    <t>601798.SH</t>
  </si>
  <si>
    <t>002591.SZ</t>
  </si>
  <si>
    <t>300229.SZ</t>
  </si>
  <si>
    <t>300231.SZ</t>
  </si>
  <si>
    <t>300230.SZ</t>
  </si>
  <si>
    <t>601567.SH</t>
  </si>
  <si>
    <t>002590.SZ</t>
  </si>
  <si>
    <t>002587.SZ</t>
  </si>
  <si>
    <t>002589.SZ</t>
  </si>
  <si>
    <t>002588.SZ</t>
  </si>
  <si>
    <t>300227.SZ</t>
  </si>
  <si>
    <t>300228.SZ</t>
  </si>
  <si>
    <t>300226.SZ</t>
  </si>
  <si>
    <t>601010.SH</t>
  </si>
  <si>
    <t>002584.SZ</t>
  </si>
  <si>
    <t>601311.SH</t>
  </si>
  <si>
    <t>002586.SZ</t>
  </si>
  <si>
    <t>002585.SZ</t>
  </si>
  <si>
    <t>300225.SZ</t>
  </si>
  <si>
    <t>300223.SZ</t>
  </si>
  <si>
    <t>300224.SZ</t>
  </si>
  <si>
    <t>601566.SH</t>
  </si>
  <si>
    <t>601599.SH</t>
  </si>
  <si>
    <t>002583.SZ</t>
  </si>
  <si>
    <t>300220.SZ</t>
  </si>
  <si>
    <t>300221.SZ</t>
  </si>
  <si>
    <t>300222.SZ</t>
  </si>
  <si>
    <t>601208.SH</t>
  </si>
  <si>
    <t>002582.SZ</t>
  </si>
  <si>
    <t>002581.SZ</t>
  </si>
  <si>
    <t>300218.SZ</t>
  </si>
  <si>
    <t>300217.SZ</t>
  </si>
  <si>
    <t>601233.SH</t>
  </si>
  <si>
    <t>300219.SZ</t>
  </si>
  <si>
    <t>300215.SZ</t>
  </si>
  <si>
    <t>300214.SZ</t>
  </si>
  <si>
    <t>300216.SZ</t>
  </si>
  <si>
    <t>601113.SH</t>
  </si>
  <si>
    <t>601607.SH</t>
  </si>
  <si>
    <t>002580.SZ</t>
  </si>
  <si>
    <t>002579.SZ</t>
  </si>
  <si>
    <t>601218.SH</t>
  </si>
  <si>
    <t>300213.SZ</t>
  </si>
  <si>
    <t>300212.SZ</t>
  </si>
  <si>
    <t>300211.SZ</t>
  </si>
  <si>
    <t>飞天诚信</t>
  </si>
  <si>
    <t>首次公开发行股票并在创业板上市上市公告书提示性公告</t>
  </si>
  <si>
    <t>中国北车</t>
  </si>
  <si>
    <t>关于刊发H股招股说明书,H股发行价格区间及H股香港公开发售等相关事宜的公告</t>
  </si>
  <si>
    <t>安控股份</t>
  </si>
  <si>
    <t>首次公开发行股票并在创业板上市招股说明书及上市公告书公告之更正公告</t>
  </si>
  <si>
    <t>岭南园林</t>
  </si>
  <si>
    <t>首次公开发行股票上市公告书</t>
  </si>
  <si>
    <t>登云股份</t>
  </si>
  <si>
    <t>首次公开发行股票并上市上市公告书</t>
  </si>
  <si>
    <t>东易日盛</t>
  </si>
  <si>
    <t>新宝股份</t>
  </si>
  <si>
    <t>首次公开发行股票上市公告书之补充公告</t>
  </si>
  <si>
    <t>首次公开发行股票上市公告书(更新后)</t>
  </si>
  <si>
    <t>首次公开发行股票招股说明书(已取消)</t>
  </si>
  <si>
    <t>首次公开发行股票招股说明书(更新后)</t>
  </si>
  <si>
    <t>首次公开发行股票招股说明书摘要(更新后)</t>
  </si>
  <si>
    <t>首次公开发行股票招股说明书</t>
  </si>
  <si>
    <t>首次公开发行股票招股说明书摘要</t>
  </si>
  <si>
    <t>海天味业</t>
  </si>
  <si>
    <t>首次公开发行A股股票上市公告书</t>
  </si>
  <si>
    <t>晶方科技</t>
  </si>
  <si>
    <t>东方通</t>
  </si>
  <si>
    <t>首次公开发行股票并在创业板上市之上市公告书更正公告</t>
  </si>
  <si>
    <t>光环新网</t>
  </si>
  <si>
    <t>首次公开发行股票并在创业板上市公告书提示性公告</t>
  </si>
  <si>
    <t>首次公开发行股票并在创业板上市之上市公告书</t>
  </si>
  <si>
    <t>绿盟科技</t>
  </si>
  <si>
    <t>首次公开发行股票并在创业板上市之上市公告书提示性公告</t>
  </si>
  <si>
    <t>斯莱克</t>
  </si>
  <si>
    <t>首次公开发行股票并在创业板上市上市公告书</t>
  </si>
  <si>
    <t>跃岭股份</t>
  </si>
  <si>
    <t>金莱特</t>
  </si>
  <si>
    <t>首次公开发行股票之上市公告书</t>
  </si>
  <si>
    <t>东方网力</t>
  </si>
  <si>
    <t>首次公开发行股票并在创业板上市公告书</t>
  </si>
  <si>
    <t>博腾股份</t>
  </si>
  <si>
    <t>金贵银业</t>
  </si>
  <si>
    <t>首次发行股票上市公告书之更正公告</t>
  </si>
  <si>
    <t>溢多利</t>
  </si>
  <si>
    <t>金轮股份</t>
  </si>
  <si>
    <t>牧原股份</t>
  </si>
  <si>
    <t>麦趣尔</t>
  </si>
  <si>
    <t>安硕信息</t>
  </si>
  <si>
    <t>友邦吊顶</t>
  </si>
  <si>
    <t>陕西煤业</t>
  </si>
  <si>
    <t>首次公开发行A股股票招股说明书(更新稿)</t>
  </si>
  <si>
    <t>首次公开发行A股股票招股说明书摘要(更新稿)</t>
  </si>
  <si>
    <t>欧浦钢网</t>
  </si>
  <si>
    <t>关于公司首次公开发行股票上市公告书之更正公告</t>
  </si>
  <si>
    <t>欣泰电气</t>
  </si>
  <si>
    <t>创意信息</t>
  </si>
  <si>
    <t>赢时胜</t>
  </si>
  <si>
    <t>易事特</t>
  </si>
  <si>
    <t>鼎捷软件</t>
  </si>
  <si>
    <t>金一文化</t>
  </si>
  <si>
    <t>鹏翎股份</t>
  </si>
  <si>
    <t>首次公开发行股票招股说明书(更新版)</t>
  </si>
  <si>
    <t>首次公开发行股票招股说明书摘要(更新版)</t>
  </si>
  <si>
    <t>贵人鸟</t>
  </si>
  <si>
    <t>思美传媒</t>
  </si>
  <si>
    <t>恒华科技</t>
  </si>
  <si>
    <t>汇中股份</t>
  </si>
  <si>
    <t>天赐材料</t>
  </si>
  <si>
    <t>众信旅游</t>
  </si>
  <si>
    <t>扬杰科技</t>
  </si>
  <si>
    <t>汇金股份</t>
  </si>
  <si>
    <t>首次公开发行股票并在创业板上市上市公告书提示公告</t>
  </si>
  <si>
    <t>应流股份</t>
  </si>
  <si>
    <t>我武生物</t>
  </si>
  <si>
    <t>炬华科技</t>
  </si>
  <si>
    <t>全通教育</t>
  </si>
  <si>
    <t>天保重装</t>
  </si>
  <si>
    <t>首次公开发行股票并在创业板上市招股说明书</t>
  </si>
  <si>
    <t>楚天科技</t>
  </si>
  <si>
    <t>光洋股份</t>
  </si>
  <si>
    <t>良信电器</t>
  </si>
  <si>
    <t>首次公开发行股票并在创业板上市招股说明书(更新后)</t>
  </si>
  <si>
    <t>关于公司首次公开发行股票并在创业板上市招股说明书之更正公告</t>
  </si>
  <si>
    <t>首次公开发行A股股票招股说明书摘要</t>
  </si>
  <si>
    <t>首次公开发行A股股票招股说明书</t>
  </si>
  <si>
    <t>纽威股份</t>
  </si>
  <si>
    <t>首次公开发行股票招股说明书摘要(修订版)</t>
  </si>
  <si>
    <t>首次公开发行股票招股意向书</t>
  </si>
  <si>
    <t>首次公开发行股票招股意向书摘要</t>
  </si>
  <si>
    <t>首次公开发行股票招股意向书附录</t>
  </si>
  <si>
    <t>首次公开发行股票并上市招股说明书摘要</t>
  </si>
  <si>
    <t>首次公开发行股票并上市招股说明书</t>
  </si>
  <si>
    <t>首次公开发行股票并在创业板上市招股意向书(更新后)</t>
  </si>
  <si>
    <t>首次公开发行股票并在创业板上市招股意向书</t>
  </si>
  <si>
    <t>首次公开发行股票招股意向书摘要(更新后)</t>
  </si>
  <si>
    <t>首次公开发行股票招股意向书(更新后)</t>
  </si>
  <si>
    <t>首次公开发行A股股票招股意向书附录</t>
  </si>
  <si>
    <t>首次公开发行A股股票招股意向书</t>
  </si>
  <si>
    <t>首次公开发行A股股票招股意向书摘要</t>
  </si>
  <si>
    <t>首次公开发行股票并上市招股意向书摘要</t>
  </si>
  <si>
    <t>首次公开发行股票并上市招股意向书</t>
  </si>
  <si>
    <t>关于公司首次公开发行股票招股意向书以及招股意向书摘要之更正公告</t>
  </si>
  <si>
    <t>首次公开发行股票招股意向书更正公告</t>
  </si>
  <si>
    <t>露笑科技</t>
  </si>
  <si>
    <t>首次公开发行股票上市公告书的更正公告</t>
  </si>
  <si>
    <t>郑煤机</t>
  </si>
  <si>
    <t>浙江世宝</t>
  </si>
  <si>
    <t>奥瑞金</t>
  </si>
  <si>
    <t>腾新食品</t>
  </si>
  <si>
    <t>光一科技</t>
  </si>
  <si>
    <t>洛阳钼业</t>
  </si>
  <si>
    <t>蒙草抗旱</t>
  </si>
  <si>
    <t>东土科技</t>
  </si>
  <si>
    <t>新疆浩源</t>
  </si>
  <si>
    <t>东华测试</t>
  </si>
  <si>
    <t>永贵电器</t>
  </si>
  <si>
    <t>北信源</t>
  </si>
  <si>
    <t>首次公开发行A股股票招股意向书附录二</t>
  </si>
  <si>
    <t>首次公开发行A股股票招股意向书附录一</t>
  </si>
  <si>
    <t>美盛文化</t>
  </si>
  <si>
    <t>博实股份</t>
  </si>
  <si>
    <t>渤海轮渡</t>
  </si>
  <si>
    <t>煌上煌</t>
  </si>
  <si>
    <t>百洋股份</t>
  </si>
  <si>
    <t>红旗连锁</t>
  </si>
  <si>
    <t>新华龙</t>
  </si>
  <si>
    <t>华鹏飞</t>
  </si>
  <si>
    <t>首次公开发行股票招股意向书摘要（更新后）</t>
  </si>
  <si>
    <t>首次公开发行股票招股意向书（更新后）</t>
  </si>
  <si>
    <t>金卡股份</t>
  </si>
  <si>
    <t>长亮科技</t>
  </si>
  <si>
    <t>龙宇燃油</t>
  </si>
  <si>
    <t>泰格医药</t>
  </si>
  <si>
    <t>顾地科技</t>
  </si>
  <si>
    <t>隆鑫通用</t>
  </si>
  <si>
    <t>一拖股份</t>
  </si>
  <si>
    <t>双成药业</t>
  </si>
  <si>
    <t>远程电缆</t>
  </si>
  <si>
    <t>南大光电</t>
  </si>
  <si>
    <t>红宇新材</t>
  </si>
  <si>
    <t>联创节能</t>
  </si>
  <si>
    <t>太空板业</t>
  </si>
  <si>
    <t>首次公开发行股票招股意向书附录一</t>
  </si>
  <si>
    <t>首次公开发行股票招股意向书附录三</t>
  </si>
  <si>
    <t>首次公开发行股票招股意向书附录二</t>
  </si>
  <si>
    <t>首次公开发行股票招股意向书附录四</t>
  </si>
  <si>
    <t>和邦股份</t>
  </si>
  <si>
    <t>石煤装备</t>
  </si>
  <si>
    <t>美亚光电</t>
  </si>
  <si>
    <t>科恒股份</t>
  </si>
  <si>
    <t>开元仪器</t>
  </si>
  <si>
    <t>麦迪电气</t>
  </si>
  <si>
    <t>天银机电</t>
  </si>
  <si>
    <t>关于麦克奥迪（厦门）电气股份有限公司股票在创业板上市交易的公告</t>
  </si>
  <si>
    <t>银邦股份</t>
  </si>
  <si>
    <t>润和软件</t>
  </si>
  <si>
    <t>喜临门</t>
  </si>
  <si>
    <t>博林特</t>
  </si>
  <si>
    <t>N金河</t>
  </si>
  <si>
    <t>N乔治白</t>
  </si>
  <si>
    <t>新文化</t>
  </si>
  <si>
    <t>迪森股份</t>
  </si>
  <si>
    <t>中信重工</t>
  </si>
  <si>
    <t>金河生物</t>
  </si>
  <si>
    <t>津膜科技</t>
  </si>
  <si>
    <t>乔治白</t>
  </si>
  <si>
    <t>亿利达</t>
  </si>
  <si>
    <t>N亿利达</t>
  </si>
  <si>
    <t>首次公开发行股票上市公告书（更新后）</t>
  </si>
  <si>
    <t>兆日科技</t>
  </si>
  <si>
    <t>天壕节能</t>
  </si>
  <si>
    <t>首次公开发行股票并在创业板上市公告书的补充公告</t>
  </si>
  <si>
    <t>苏大维格</t>
  </si>
  <si>
    <t>首次公开发行股票并在创业板上市公告书（更新后）</t>
  </si>
  <si>
    <t>华虹计通</t>
  </si>
  <si>
    <t>海伦钢琴</t>
  </si>
  <si>
    <t>宜安科技</t>
  </si>
  <si>
    <t>中颖电子</t>
  </si>
  <si>
    <t>凯利泰</t>
  </si>
  <si>
    <t>百隆东方</t>
  </si>
  <si>
    <t>宏大爆破</t>
  </si>
  <si>
    <t>华东重机</t>
  </si>
  <si>
    <t>龙洲股份</t>
  </si>
  <si>
    <t>猛狮科技</t>
  </si>
  <si>
    <t>中国汽研</t>
  </si>
  <si>
    <t>旋极信息</t>
  </si>
  <si>
    <t>硕贝德</t>
  </si>
  <si>
    <t>奋达科技</t>
  </si>
  <si>
    <t>黄海机械</t>
  </si>
  <si>
    <t>福建金森</t>
  </si>
  <si>
    <t>华灿光电</t>
  </si>
  <si>
    <t>德威新材</t>
  </si>
  <si>
    <t>海达股份</t>
  </si>
  <si>
    <t>首次公开发行股票招股说明书摘要（更新后）</t>
  </si>
  <si>
    <t>珠江钢琴</t>
  </si>
  <si>
    <t>首次公开发行股票招股说明书（更新后）</t>
  </si>
  <si>
    <t>华贸物流</t>
  </si>
  <si>
    <t>首次公开发行股票并在创业板上市的招股意向书</t>
  </si>
  <si>
    <t>东诚生化</t>
  </si>
  <si>
    <t>顺威股份</t>
  </si>
  <si>
    <t>浙江美大</t>
  </si>
  <si>
    <t>博晖创新</t>
  </si>
  <si>
    <t>麦捷科技</t>
  </si>
  <si>
    <t>同大股份</t>
  </si>
  <si>
    <t>巴安水务</t>
  </si>
  <si>
    <t>关于中国证券监督管理委员会对公司《招股说明书》相关事项调查公告</t>
  </si>
  <si>
    <t>日出东方</t>
  </si>
  <si>
    <t>宏昌电子</t>
  </si>
  <si>
    <t>珈伟股份</t>
  </si>
  <si>
    <t>首次公开发行股票并在创业板上市公告书提示公告</t>
  </si>
  <si>
    <t>掌趣科技</t>
  </si>
  <si>
    <t>晶盛机电</t>
  </si>
  <si>
    <t>戴维医疗</t>
  </si>
  <si>
    <t>邦讯技术</t>
  </si>
  <si>
    <t>明星电缆</t>
  </si>
  <si>
    <t>兴业科技</t>
  </si>
  <si>
    <t>翠微股份</t>
  </si>
  <si>
    <t>西部证券</t>
  </si>
  <si>
    <t>N东江</t>
  </si>
  <si>
    <t>人民网</t>
  </si>
  <si>
    <t>关于《首次公开发行股票上市公告书》之更正公告</t>
  </si>
  <si>
    <t>龙泉股份</t>
  </si>
  <si>
    <t>奥康国际</t>
  </si>
  <si>
    <t>东江环保</t>
  </si>
  <si>
    <t>任子行</t>
  </si>
  <si>
    <t>天山生物</t>
  </si>
  <si>
    <t>宜通世纪</t>
  </si>
  <si>
    <t>怡球资源</t>
  </si>
  <si>
    <t>海通证券</t>
  </si>
  <si>
    <t>H股--招股说明书（中文）</t>
  </si>
  <si>
    <t>H股--招股说明书（英文）</t>
  </si>
  <si>
    <t>首次公开发行A股股票招股意向书附录三</t>
  </si>
  <si>
    <t>首次公开发行A股股票招股意向书附录四</t>
  </si>
  <si>
    <t>华声股份</t>
  </si>
  <si>
    <t>首次公开发行招股意向书摘要</t>
  </si>
  <si>
    <t>康达新材</t>
  </si>
  <si>
    <t>奥马电器</t>
  </si>
  <si>
    <t>N吉艾</t>
  </si>
  <si>
    <t>关于《吉艾科技（北京）股份公司首次开发行票并在创业板上市之上市公告书》的更正公告</t>
  </si>
  <si>
    <t>隆基股份</t>
  </si>
  <si>
    <t>首次公开发行股票并在创业板上市之上市公告书（更新后）</t>
  </si>
  <si>
    <t>吉艾科技</t>
  </si>
  <si>
    <t>中际装备</t>
  </si>
  <si>
    <t>慈星股份</t>
  </si>
  <si>
    <t>远方光电</t>
  </si>
  <si>
    <t>裕兴股份</t>
  </si>
  <si>
    <t>鞍重股份</t>
  </si>
  <si>
    <t>N首航</t>
  </si>
  <si>
    <t>首次公开发行股票并在创业板上市招股说明书（更新后）</t>
  </si>
  <si>
    <t>广汽集团</t>
  </si>
  <si>
    <t>首次公开发行A股股票吸收合并广汽长丰汽车股份有限公司上市公告书</t>
  </si>
  <si>
    <t>关于《吉艾科技（北京）股份公司首次公开发行股票并在创业板上市招股说明书》的更正公告</t>
  </si>
  <si>
    <t>首航节能</t>
  </si>
  <si>
    <t>德联集团</t>
  </si>
  <si>
    <t>同有科技</t>
  </si>
  <si>
    <t>长方照明</t>
  </si>
  <si>
    <t>云意电气</t>
  </si>
  <si>
    <t>聚飞光电</t>
  </si>
  <si>
    <t>三诺生物</t>
  </si>
  <si>
    <t>汉鼎股份</t>
  </si>
  <si>
    <t>首次公开发行股票并上市招股意向书附录</t>
  </si>
  <si>
    <t>富春通信</t>
  </si>
  <si>
    <t>茂硕电源</t>
  </si>
  <si>
    <t>普邦园林</t>
  </si>
  <si>
    <t>信质电机</t>
  </si>
  <si>
    <t>克明面业</t>
  </si>
  <si>
    <t>三六五网</t>
  </si>
  <si>
    <t>利亚德</t>
  </si>
  <si>
    <t>N蓝盾</t>
  </si>
  <si>
    <t>关于《蓝盾信息安全技术股份有限公司首次公开发行股票并在创业板上市公告书》更正公告</t>
  </si>
  <si>
    <t>蓝盾股份</t>
  </si>
  <si>
    <t>京威股份</t>
  </si>
  <si>
    <t>中国交建</t>
  </si>
  <si>
    <t>雪迪龙</t>
  </si>
  <si>
    <t>中泰桥梁</t>
  </si>
  <si>
    <t>蓝英装备</t>
  </si>
  <si>
    <t>博雅生物</t>
  </si>
  <si>
    <t>首次公开发行股票在创业板上市招股意向书</t>
  </si>
  <si>
    <t>吴通通讯</t>
  </si>
  <si>
    <t>中科金财</t>
  </si>
  <si>
    <t>卡奴迪路</t>
  </si>
  <si>
    <t>吉视传媒</t>
  </si>
  <si>
    <t>首次公开发行股票（A股）上市公告书</t>
  </si>
  <si>
    <t>首次公开发行股票（A股）招股说明书</t>
  </si>
  <si>
    <t>环旭电子</t>
  </si>
  <si>
    <t>共达电声</t>
  </si>
  <si>
    <t>万润科技</t>
  </si>
  <si>
    <t>荣科科技</t>
  </si>
  <si>
    <t>东风股份</t>
  </si>
  <si>
    <t>朗玛信息</t>
  </si>
  <si>
    <t>利德曼</t>
  </si>
  <si>
    <t>华录百纳</t>
  </si>
  <si>
    <t>飞利信</t>
  </si>
  <si>
    <t>中国交建首次公开发行A股股票招股意向书附录三</t>
  </si>
  <si>
    <t>首次公开发行股票（A股）招股意向书摘要</t>
  </si>
  <si>
    <t>首次公开发行股票（A股）招股意向书</t>
  </si>
  <si>
    <t>首次公开发行股票（A股）招股意向书附录</t>
  </si>
  <si>
    <t>扬子新材</t>
  </si>
  <si>
    <t>海思科</t>
  </si>
  <si>
    <t>江南嘉捷</t>
  </si>
  <si>
    <t>安科瑞</t>
  </si>
  <si>
    <t>国瓷材料</t>
  </si>
  <si>
    <t>温州宏丰</t>
  </si>
  <si>
    <t>苏交科</t>
  </si>
  <si>
    <t>利君股份</t>
  </si>
  <si>
    <t>加加食品</t>
  </si>
  <si>
    <t>博彦科技</t>
  </si>
  <si>
    <t>金明精机</t>
  </si>
  <si>
    <t>汇冠股份</t>
  </si>
  <si>
    <t>南通锻压</t>
  </si>
  <si>
    <t>和晶科技</t>
  </si>
  <si>
    <t>卫星石化</t>
  </si>
  <si>
    <t>宏磊股份</t>
  </si>
  <si>
    <t>首次公开发行股票并在中小板上市上市公告书</t>
  </si>
  <si>
    <t>青青稞酒</t>
  </si>
  <si>
    <t>佛慈制药</t>
  </si>
  <si>
    <t>首次公开发行股票并在创业板上市招股意向书（更新后）</t>
  </si>
  <si>
    <t>荣之联</t>
  </si>
  <si>
    <t>华宏科技</t>
  </si>
  <si>
    <t>烟台万润</t>
  </si>
  <si>
    <t>新华保险</t>
  </si>
  <si>
    <t>华昌达</t>
  </si>
  <si>
    <t>东吴证券</t>
  </si>
  <si>
    <t>永高股份</t>
  </si>
  <si>
    <t>百圆裤业</t>
  </si>
  <si>
    <t>H股招股说明书（英文）</t>
  </si>
  <si>
    <t>H股招股说明书（中文）</t>
  </si>
  <si>
    <t>互助青稞</t>
  </si>
  <si>
    <t>棒杰股份</t>
  </si>
  <si>
    <t>雪人股份</t>
  </si>
  <si>
    <t>首次公开发行股票（A股）招股说明书摘要</t>
  </si>
  <si>
    <t>凤凰传媒</t>
  </si>
  <si>
    <t>N赞宇</t>
  </si>
  <si>
    <t>安洁科技</t>
  </si>
  <si>
    <t>勤上光电</t>
  </si>
  <si>
    <t>赞宇科技</t>
  </si>
  <si>
    <t>金安国纪</t>
  </si>
  <si>
    <t>N海联讯</t>
  </si>
  <si>
    <t>关于《深圳海联讯科技股份有限公司首次公开发行股票并在创业板上市公告书》补充公告</t>
  </si>
  <si>
    <t>海联讯</t>
  </si>
  <si>
    <t>申科股份</t>
  </si>
  <si>
    <t>道明光学</t>
  </si>
  <si>
    <t>三丰智能</t>
  </si>
  <si>
    <t>华西能源</t>
  </si>
  <si>
    <t>八菱科技</t>
  </si>
  <si>
    <t>德尔家居</t>
  </si>
  <si>
    <t>玉龙股份</t>
  </si>
  <si>
    <t>成都路桥</t>
  </si>
  <si>
    <t>龙生股份</t>
  </si>
  <si>
    <t>宜昌交运</t>
  </si>
  <si>
    <t>仁智油服</t>
  </si>
  <si>
    <t>梅安森</t>
  </si>
  <si>
    <t>开能环保</t>
  </si>
  <si>
    <t>阳光电源</t>
  </si>
  <si>
    <t>恒立油缸</t>
  </si>
  <si>
    <t>金磊股份</t>
  </si>
  <si>
    <t>金达威</t>
  </si>
  <si>
    <t>紫光华宇</t>
  </si>
  <si>
    <t>和佳股份</t>
  </si>
  <si>
    <t>首次发行股票并在创业板上市招股说明书</t>
  </si>
  <si>
    <t>浙江永强</t>
  </si>
  <si>
    <t>中国水电</t>
  </si>
  <si>
    <t>永大集团</t>
  </si>
  <si>
    <t>中威电子</t>
  </si>
  <si>
    <t>首次公开发行股票并在创业板上市上市公告书（更新后）</t>
  </si>
  <si>
    <t>亚玛顿</t>
  </si>
  <si>
    <t>关于《杭州中威电子股份有限公司首次公开发行股票并在创业板上市上市公告书》的更正公告</t>
  </si>
  <si>
    <t>联建光电</t>
  </si>
  <si>
    <t>关于《北京紫光华宇软件股份有限公司首次公开发行股票并在创业板上市招股说明书》的更正公告</t>
  </si>
  <si>
    <t>大连三垒</t>
  </si>
  <si>
    <t>丰林集团</t>
  </si>
  <si>
    <t>巨龙管业</t>
  </si>
  <si>
    <t>瑞和股份</t>
  </si>
  <si>
    <t>长城汽车</t>
  </si>
  <si>
    <t>兴源过滤</t>
  </si>
  <si>
    <t>尔康制药</t>
  </si>
  <si>
    <t>万福生科</t>
  </si>
  <si>
    <t>中信证券</t>
  </si>
  <si>
    <t>东方精工</t>
  </si>
  <si>
    <t>长青集团</t>
  </si>
  <si>
    <t>丹邦科技</t>
  </si>
  <si>
    <t>明泰铝业</t>
  </si>
  <si>
    <t>佳创视讯</t>
  </si>
  <si>
    <t>隆华传热</t>
  </si>
  <si>
    <t>通光线缆</t>
  </si>
  <si>
    <t>哈尔斯</t>
  </si>
  <si>
    <t>蒙发利</t>
  </si>
  <si>
    <t>京运通</t>
  </si>
  <si>
    <t>雅本化学</t>
  </si>
  <si>
    <t>新莱应材</t>
  </si>
  <si>
    <t>首次公开发行股票（A股）招股意向书附录一</t>
  </si>
  <si>
    <t>首次公开发行股票（A股）招股意向书附录二</t>
  </si>
  <si>
    <t>北玻股份</t>
  </si>
  <si>
    <t>新天科技</t>
  </si>
  <si>
    <t>朗姿股份</t>
  </si>
  <si>
    <t>精锻科技</t>
  </si>
  <si>
    <t>仟源制药</t>
  </si>
  <si>
    <t>常山药业</t>
  </si>
  <si>
    <t>开山股份</t>
  </si>
  <si>
    <t>星星科技</t>
  </si>
  <si>
    <t>江河幕墙</t>
  </si>
  <si>
    <t>金信诺</t>
  </si>
  <si>
    <t>卫宁软件</t>
  </si>
  <si>
    <t>宁波建工</t>
  </si>
  <si>
    <t>捷顺科技</t>
  </si>
  <si>
    <t>爱康科技</t>
  </si>
  <si>
    <t>旗滨集团</t>
  </si>
  <si>
    <t>舜天船舶</t>
  </si>
  <si>
    <t>方正证券</t>
  </si>
  <si>
    <t>亚夏汽车</t>
  </si>
  <si>
    <t>林洋电子</t>
  </si>
  <si>
    <t>姚记扑克</t>
  </si>
  <si>
    <t>大连电瓷</t>
  </si>
  <si>
    <t>初灵信息</t>
  </si>
  <si>
    <t>依米康</t>
  </si>
  <si>
    <t>光线传媒</t>
  </si>
  <si>
    <t>桑乐金</t>
  </si>
  <si>
    <t>新开普</t>
  </si>
  <si>
    <t>以岭药业</t>
  </si>
  <si>
    <t>世纪华通</t>
  </si>
  <si>
    <t>首次公开发行A股招股意向书附录一</t>
  </si>
  <si>
    <t>龙力生物</t>
  </si>
  <si>
    <t>首次公开发行A股招股意向书附录二</t>
  </si>
  <si>
    <t>首次公开发行A股招股意向书附录三</t>
  </si>
  <si>
    <t>宝莱特</t>
  </si>
  <si>
    <t>天玑科技</t>
  </si>
  <si>
    <t>迪安诊断</t>
  </si>
  <si>
    <t>江粉磁材</t>
  </si>
  <si>
    <t>佰利联</t>
  </si>
  <si>
    <t>盛通股份</t>
  </si>
  <si>
    <t>N瑞高</t>
  </si>
  <si>
    <t>关于《山东瑞丰高分子材料股份有限公司首次公开发行股票并在创业板上市公告书》更正公告</t>
  </si>
  <si>
    <t>首次公开发行股票并在创业板上市公告书（更正后）</t>
  </si>
  <si>
    <t>明家科技</t>
  </si>
  <si>
    <t>瑞丰高材</t>
  </si>
  <si>
    <t>瑞丰光电</t>
  </si>
  <si>
    <t>金禾实业</t>
  </si>
  <si>
    <t>山东章鼓</t>
  </si>
  <si>
    <t>海南瑞泽</t>
  </si>
  <si>
    <t>冠昊生物</t>
  </si>
  <si>
    <t>飞力达</t>
  </si>
  <si>
    <t>东宝生物</t>
  </si>
  <si>
    <t>赛轮股份</t>
  </si>
  <si>
    <t>比亚迪</t>
  </si>
  <si>
    <t>上海新阳</t>
  </si>
  <si>
    <t>方直科技</t>
  </si>
  <si>
    <t>美晨科技</t>
  </si>
  <si>
    <t>豪迈科技</t>
  </si>
  <si>
    <t>日上集团</t>
  </si>
  <si>
    <t>洲明科技</t>
  </si>
  <si>
    <t>开尔新材</t>
  </si>
  <si>
    <t>金城医药</t>
  </si>
  <si>
    <t>蓝科高新</t>
  </si>
  <si>
    <t>恒大高新</t>
  </si>
  <si>
    <t>拓尔思</t>
  </si>
  <si>
    <t>银信科技</t>
  </si>
  <si>
    <t>永利带业</t>
  </si>
  <si>
    <t>三星电气</t>
  </si>
  <si>
    <t>万安科技</t>
  </si>
  <si>
    <t>奥拓电子</t>
  </si>
  <si>
    <t>瑞康医药</t>
  </si>
  <si>
    <t>史丹利</t>
  </si>
  <si>
    <t>光韵达</t>
  </si>
  <si>
    <t>富瑞特装</t>
  </si>
  <si>
    <t>上海钢联</t>
  </si>
  <si>
    <t>文峰股份</t>
  </si>
  <si>
    <t>西陇化工</t>
  </si>
  <si>
    <t>骆驼股份</t>
  </si>
  <si>
    <t>围海股份</t>
  </si>
  <si>
    <t>双星新材</t>
  </si>
  <si>
    <t>金力泰</t>
  </si>
  <si>
    <t>北京君正</t>
  </si>
  <si>
    <t>正海磁材</t>
  </si>
  <si>
    <t>九牧王</t>
  </si>
  <si>
    <t>鹿港科技</t>
  </si>
  <si>
    <t>海能达</t>
  </si>
  <si>
    <t>金运激光</t>
  </si>
  <si>
    <t>银禧科技</t>
  </si>
  <si>
    <t>科大智能</t>
  </si>
  <si>
    <t>东材科技</t>
  </si>
  <si>
    <t>好想你</t>
  </si>
  <si>
    <t>万昌科技</t>
  </si>
  <si>
    <t>安利股份</t>
  </si>
  <si>
    <t>文峰股份首次公开发行股票招股意向书（摘要）</t>
  </si>
  <si>
    <t>东方电热</t>
  </si>
  <si>
    <t>文峰股份首次公开发行股票招股意向书附录</t>
  </si>
  <si>
    <t>桐昆股份</t>
  </si>
  <si>
    <t>文峰股份首次公开发行股票招股意向书</t>
  </si>
  <si>
    <t>鸿利光电</t>
  </si>
  <si>
    <t>首次公告发行股票并上市招股说明书</t>
  </si>
  <si>
    <t>电科院</t>
  </si>
  <si>
    <t>日科化学</t>
  </si>
  <si>
    <t>千山药机</t>
  </si>
  <si>
    <t>华鼎锦纶</t>
  </si>
  <si>
    <t>上海医药</t>
  </si>
  <si>
    <t>关于刊发H股招股说明书、H股发行价格区间及H股香港公开发售等相关事宜的公告</t>
  </si>
  <si>
    <t>圣阳股份</t>
  </si>
  <si>
    <t>中京电子</t>
  </si>
  <si>
    <t>吉鑫科技</t>
  </si>
  <si>
    <t>佳讯飞鸿</t>
  </si>
  <si>
    <t>易华录</t>
  </si>
  <si>
    <t>亿通科技</t>
  </si>
  <si>
    <t>证券简称</t>
    <phoneticPr fontId="2" type="noConversion"/>
  </si>
  <si>
    <t>公告说明</t>
    <phoneticPr fontId="2" type="noConversion"/>
  </si>
  <si>
    <t>公告含链接</t>
    <phoneticPr fontId="2" type="noConversion"/>
  </si>
  <si>
    <t>公告链接</t>
    <phoneticPr fontId="2" type="noConversion"/>
  </si>
  <si>
    <t>http://snap.windin.com/ns/bulletin.php?id=62086458&amp;type=1</t>
  </si>
  <si>
    <t>http://snap.windin.com/ns/bulletin.php?id=49061070&amp;type=1</t>
  </si>
  <si>
    <t>http://snap.windin.com/ns/bulletin.php?id=22222482&amp;type=1</t>
  </si>
  <si>
    <t>http://snap.windin.com/ns/bulletin.php?id=22190360&amp;type=1</t>
  </si>
  <si>
    <t>http://snap.windin.com/ns/bulletin.php?id=22190346&amp;type=1</t>
  </si>
  <si>
    <t>http://snap.windin.com/ns/bulletin.php?id=22190338&amp;type=1</t>
  </si>
  <si>
    <t>http://snap.windin.com/ns/bulletin.php?id=22136262&amp;type=1</t>
  </si>
  <si>
    <t>http://snap.windin.com/ns/bulletin.php?id=22136264&amp;type=1</t>
  </si>
  <si>
    <t>http://snap.windin.com/ns/bulletin.php?id=22103414&amp;type=1</t>
  </si>
  <si>
    <t>http://snap.windin.com/ns/bulletin.php?id=22103526&amp;type=1</t>
  </si>
  <si>
    <t>http://snap.windin.com/ns/bulletin.php?id=22103636&amp;type=1</t>
  </si>
  <si>
    <t>http://snap.windin.com/ns/bulletin.php?id=22105348&amp;type=1</t>
  </si>
  <si>
    <t>http://snap.windin.com/ns/bulletin.php?id=22103514&amp;type=1</t>
  </si>
  <si>
    <t>http://snap.windin.com/ns/bulletin.php?id=22103634&amp;type=1</t>
  </si>
  <si>
    <t>http://snap.windin.com/ns/bulletin.php?id=22050986&amp;type=1</t>
  </si>
  <si>
    <t>http://snap.windin.com/ns/bulletin.php?id=22048066&amp;type=1</t>
  </si>
  <si>
    <t>http://snap.windin.com/ns/bulletin.php?id=22014862&amp;type=1</t>
  </si>
  <si>
    <t>http://snap.windin.com/ns/bulletin.php?id=22014832&amp;type=1</t>
  </si>
  <si>
    <t>http://snap.windin.com/ns/bulletin.php?id=22014426&amp;type=1</t>
  </si>
  <si>
    <t>http://snap.windin.com/ns/bulletin.php?id=22014422&amp;type=1</t>
  </si>
  <si>
    <t>http://snap.windin.com/ns/bulletin.php?id=22014504&amp;type=1</t>
  </si>
  <si>
    <t>http://snap.windin.com/ns/bulletin.php?id=22014508&amp;type=1</t>
  </si>
  <si>
    <t>http://snap.windin.com/ns/bulletin.php?id=22014066&amp;type=1</t>
  </si>
  <si>
    <t>http://snap.windin.com/ns/bulletin.php?id=22014040&amp;type=1</t>
  </si>
  <si>
    <t>http://snap.windin.com/ns/bulletin.php?id=22014044&amp;type=1</t>
  </si>
  <si>
    <t>http://snap.windin.com/ns/bulletin.php?id=22014032&amp;type=1</t>
  </si>
  <si>
    <t>http://snap.windin.com/ns/bulletin.php?id=22014074&amp;type=1</t>
  </si>
  <si>
    <t>http://snap.windin.com/ns/bulletin.php?id=22014068&amp;type=1</t>
  </si>
  <si>
    <t>http://snap.windin.com/ns/bulletin.php?id=22004148&amp;type=1</t>
  </si>
  <si>
    <t>http://snap.windin.com/ns/bulletin.php?id=22004160&amp;type=1</t>
  </si>
  <si>
    <t>http://snap.windin.com/ns/bulletin.php?id=22004136&amp;type=1</t>
  </si>
  <si>
    <t>http://snap.windin.com/ns/bulletin.php?id=22005380&amp;type=1</t>
  </si>
  <si>
    <t>http://snap.windin.com/ns/bulletin.php?id=22005372&amp;type=1</t>
  </si>
  <si>
    <t>http://snap.windin.com/ns/bulletin.php?id=22004588&amp;type=1</t>
  </si>
  <si>
    <t>http://snap.windin.com/ns/bulletin.php?id=22004594&amp;type=1</t>
  </si>
  <si>
    <t>http://snap.windin.com/ns/bulletin.php?id=22005370&amp;type=1</t>
  </si>
  <si>
    <t>http://snap.windin.com/ns/bulletin.php?id=22005376&amp;type=1</t>
  </si>
  <si>
    <t>http://snap.windin.com/ns/bulletin.php?id=22004610&amp;type=1</t>
  </si>
  <si>
    <t>http://snap.windin.com/ns/bulletin.php?id=22004602&amp;type=1</t>
  </si>
  <si>
    <t>http://snap.windin.com/ns/bulletin.php?id=22004566&amp;type=1</t>
  </si>
  <si>
    <t>http://snap.windin.com/ns/bulletin.php?id=22006832&amp;type=1</t>
  </si>
  <si>
    <t>http://snap.windin.com/ns/bulletin.php?id=22005384&amp;type=1</t>
  </si>
  <si>
    <t>http://snap.windin.com/ns/bulletin.php?id=22006834&amp;type=1</t>
  </si>
  <si>
    <t>http://snap.windin.com/ns/bulletin.php?id=22004608&amp;type=1</t>
  </si>
  <si>
    <t>http://snap.windin.com/ns/bulletin.php?id=21978334&amp;type=1</t>
  </si>
  <si>
    <t>http://snap.windin.com/ns/bulletin.php?id=21978254&amp;type=1</t>
  </si>
  <si>
    <t>http://snap.windin.com/ns/bulletin.php?id=21979438&amp;type=1</t>
  </si>
  <si>
    <t>http://snap.windin.com/ns/bulletin.php?id=21979356&amp;type=1</t>
  </si>
  <si>
    <t>http://snap.windin.com/ns/bulletin.php?id=21980190&amp;type=1</t>
  </si>
  <si>
    <t>http://snap.windin.com/ns/bulletin.php?id=21980192&amp;type=1</t>
  </si>
  <si>
    <t>http://snap.windin.com/ns/bulletin.php?id=21979652&amp;type=1</t>
  </si>
  <si>
    <t>http://snap.windin.com/ns/bulletin.php?id=21979628&amp;type=1</t>
  </si>
  <si>
    <t>http://snap.windin.com/ns/bulletin.php?id=21978490&amp;type=1</t>
  </si>
  <si>
    <t>http://snap.windin.com/ns/bulletin.php?id=21978484&amp;type=1</t>
  </si>
  <si>
    <t>http://snap.windin.com/ns/bulletin.php?id=21980218&amp;type=1</t>
  </si>
  <si>
    <t>http://snap.windin.com/ns/bulletin.php?id=21980226&amp;type=1</t>
  </si>
  <si>
    <t>http://snap.windin.com/ns/bulletin.php?id=21980118&amp;type=1</t>
  </si>
  <si>
    <t>http://snap.windin.com/ns/bulletin.php?id=21980198&amp;type=1</t>
  </si>
  <si>
    <t>http://snap.windin.com/ns/bulletin.php?id=21979346&amp;type=1</t>
  </si>
  <si>
    <t>http://snap.windin.com/ns/bulletin.php?id=21980876&amp;type=1</t>
  </si>
  <si>
    <t>http://snap.windin.com/ns/bulletin.php?id=21979512&amp;type=1</t>
  </si>
  <si>
    <t>http://snap.windin.com/ns/bulletin.php?id=21980874&amp;type=1</t>
  </si>
  <si>
    <t>http://snap.windin.com/ns/bulletin.php?id=21964846&amp;type=1</t>
  </si>
  <si>
    <t>http://snap.windin.com/ns/bulletin.php?id=21966190&amp;type=1</t>
  </si>
  <si>
    <t>http://snap.windin.com/ns/bulletin.php?id=21965932&amp;type=1</t>
  </si>
  <si>
    <t>http://snap.windin.com/ns/bulletin.php?id=21949548&amp;type=1</t>
  </si>
  <si>
    <t>http://snap.windin.com/ns/bulletin.php?id=21949542&amp;type=1</t>
  </si>
  <si>
    <t>http://snap.windin.com/ns/bulletin.php?id=21952112&amp;type=1</t>
  </si>
  <si>
    <t>http://snap.windin.com/ns/bulletin.php?id=21952176&amp;type=1</t>
  </si>
  <si>
    <t>http://snap.windin.com/ns/bulletin.php?id=21952992&amp;type=1</t>
  </si>
  <si>
    <t>http://snap.windin.com/ns/bulletin.php?id=21952980&amp;type=1</t>
  </si>
  <si>
    <t>http://snap.windin.com/ns/bulletin.php?id=21952178&amp;type=1</t>
  </si>
  <si>
    <t>http://snap.windin.com/ns/bulletin.php?id=21952142&amp;type=1</t>
  </si>
  <si>
    <t>http://snap.windin.com/ns/bulletin.php?id=21952120&amp;type=1</t>
  </si>
  <si>
    <t>http://snap.windin.com/ns/bulletin.php?id=21952152&amp;type=1</t>
  </si>
  <si>
    <t>http://snap.windin.com/ns/bulletin.php?id=21953672&amp;type=1</t>
  </si>
  <si>
    <t>http://snap.windin.com/ns/bulletin.php?id=21953668&amp;type=1</t>
  </si>
  <si>
    <t>http://snap.windin.com/ns/bulletin.php?id=21953680&amp;type=1</t>
  </si>
  <si>
    <t>http://snap.windin.com/ns/bulletin.php?id=21952982&amp;type=1</t>
  </si>
  <si>
    <t>http://snap.windin.com/ns/bulletin.php?id=21952978&amp;type=1</t>
  </si>
  <si>
    <t>http://snap.windin.com/ns/bulletin.php?id=21941896&amp;type=1</t>
  </si>
  <si>
    <t>http://snap.windin.com/ns/bulletin.php?id=21933382&amp;type=1</t>
  </si>
  <si>
    <t>http://snap.windin.com/ns/bulletin.php?id=21933362&amp;type=1</t>
  </si>
  <si>
    <t>http://snap.windin.com/ns/bulletin.php?id=21933384&amp;type=1</t>
  </si>
  <si>
    <t>http://snap.windin.com/ns/bulletin.php?id=21933458&amp;type=1</t>
  </si>
  <si>
    <t>http://snap.windin.com/ns/bulletin.php?id=21933470&amp;type=1</t>
  </si>
  <si>
    <t>http://snap.windin.com/ns/bulletin.php?id=21933462&amp;type=1</t>
  </si>
  <si>
    <t>http://snap.windin.com/ns/bulletin.php?id=21933466&amp;type=1</t>
  </si>
  <si>
    <t>http://snap.windin.com/ns/bulletin.php?id=21933282&amp;type=1</t>
  </si>
  <si>
    <t>http://snap.windin.com/ns/bulletin.php?id=21933310&amp;type=1</t>
  </si>
  <si>
    <t>http://snap.windin.com/ns/bulletin.php?id=21933610&amp;type=1</t>
  </si>
  <si>
    <t>http://snap.windin.com/ns/bulletin.php?id=21933612&amp;type=1</t>
  </si>
  <si>
    <t>http://snap.windin.com/ns/bulletin.php?id=21933268&amp;type=1</t>
  </si>
  <si>
    <t>http://snap.windin.com/ns/bulletin.php?id=21933264&amp;type=1</t>
  </si>
  <si>
    <t>http://snap.windin.com/ns/bulletin.php?id=21933540&amp;type=1</t>
  </si>
  <si>
    <t>http://snap.windin.com/ns/bulletin.php?id=21919108&amp;type=1</t>
  </si>
  <si>
    <t>http://snap.windin.com/ns/bulletin.php?id=21919112&amp;type=1</t>
  </si>
  <si>
    <t>http://snap.windin.com/ns/bulletin.php?id=21910426&amp;type=1</t>
  </si>
  <si>
    <t>http://snap.windin.com/ns/bulletin.php?id=21910010&amp;type=1</t>
  </si>
  <si>
    <t>http://snap.windin.com/ns/bulletin.php?id=21911034&amp;type=1</t>
  </si>
  <si>
    <t>http://snap.windin.com/ns/bulletin.php?id=21910946&amp;type=1</t>
  </si>
  <si>
    <t>http://snap.windin.com/ns/bulletin.php?id=21910754&amp;type=1</t>
  </si>
  <si>
    <t>http://snap.windin.com/ns/bulletin.php?id=21910980&amp;type=1</t>
  </si>
  <si>
    <t>http://snap.windin.com/ns/bulletin.php?id=21910978&amp;type=1</t>
  </si>
  <si>
    <t>http://snap.windin.com/ns/bulletin.php?id=21911234&amp;type=1</t>
  </si>
  <si>
    <t>http://snap.windin.com/ns/bulletin.php?id=21911236&amp;type=1</t>
  </si>
  <si>
    <t>http://snap.windin.com/ns/bulletin.php?id=21911274&amp;type=1</t>
  </si>
  <si>
    <t>http://snap.windin.com/ns/bulletin.php?id=21911270&amp;type=1</t>
  </si>
  <si>
    <t>http://snap.windin.com/ns/bulletin.php?id=21911016&amp;type=1</t>
  </si>
  <si>
    <t>http://snap.windin.com/ns/bulletin.php?id=21911008&amp;type=1</t>
  </si>
  <si>
    <t>http://snap.windin.com/ns/bulletin.php?id=21909894&amp;type=1</t>
  </si>
  <si>
    <t>http://snap.windin.com/ns/bulletin.php?id=21909896&amp;type=1</t>
  </si>
  <si>
    <t>http://snap.windin.com/ns/bulletin.php?id=21898144&amp;type=1</t>
  </si>
  <si>
    <t>http://snap.windin.com/ns/bulletin.php?id=21897864&amp;type=1</t>
  </si>
  <si>
    <t>http://snap.windin.com/ns/bulletin.php?id=21900312&amp;type=1</t>
  </si>
  <si>
    <t>http://snap.windin.com/ns/bulletin.php?id=21902554&amp;type=1</t>
  </si>
  <si>
    <t>http://snap.windin.com/ns/bulletin.php?id=21900340&amp;type=1</t>
  </si>
  <si>
    <t>http://snap.windin.com/ns/bulletin.php?id=21900276&amp;type=1</t>
  </si>
  <si>
    <t>http://snap.windin.com/ns/bulletin.php?id=21900272&amp;type=1</t>
  </si>
  <si>
    <t>http://snap.windin.com/ns/bulletin.php?id=21899560&amp;type=1</t>
  </si>
  <si>
    <t>http://snap.windin.com/ns/bulletin.php?id=21900386&amp;type=1</t>
  </si>
  <si>
    <t>http://snap.windin.com/ns/bulletin.php?id=21900382&amp;type=1</t>
  </si>
  <si>
    <t>http://snap.windin.com/ns/bulletin.php?id=21900372&amp;type=1</t>
  </si>
  <si>
    <t>http://snap.windin.com/ns/bulletin.php?id=21900384&amp;type=1</t>
  </si>
  <si>
    <t>http://snap.windin.com/ns/bulletin.php?id=21900380&amp;type=1</t>
  </si>
  <si>
    <t>http://snap.windin.com/ns/bulletin.php?id=21900376&amp;type=1</t>
  </si>
  <si>
    <t>http://snap.windin.com/ns/bulletin.php?id=21900324&amp;type=1</t>
  </si>
  <si>
    <t>http://snap.windin.com/ns/bulletin.php?id=21902086&amp;type=1</t>
  </si>
  <si>
    <t>http://snap.windin.com/ns/bulletin.php?id=21886798&amp;type=1</t>
  </si>
  <si>
    <t>http://snap.windin.com/ns/bulletin.php?id=21886756&amp;type=1</t>
  </si>
  <si>
    <t>http://snap.windin.com/ns/bulletin.php?id=21886788&amp;type=1</t>
  </si>
  <si>
    <t>http://snap.windin.com/ns/bulletin.php?id=21885880&amp;type=1</t>
  </si>
  <si>
    <t>http://snap.windin.com/ns/bulletin.php?id=21885820&amp;type=1</t>
  </si>
  <si>
    <t>http://snap.windin.com/ns/bulletin.php?id=21886226&amp;type=1</t>
  </si>
  <si>
    <t>http://snap.windin.com/ns/bulletin.php?id=21886556&amp;type=1</t>
  </si>
  <si>
    <t>http://snap.windin.com/ns/bulletin.php?id=21886548&amp;type=1</t>
  </si>
  <si>
    <t>http://snap.windin.com/ns/bulletin.php?id=21886540&amp;type=1</t>
  </si>
  <si>
    <t>http://snap.windin.com/ns/bulletin.php?id=21877122&amp;type=1</t>
  </si>
  <si>
    <t>http://snap.windin.com/ns/bulletin.php?id=21877118&amp;type=1</t>
  </si>
  <si>
    <t>http://snap.windin.com/ns/bulletin.php?id=21877140&amp;type=1</t>
  </si>
  <si>
    <t>http://snap.windin.com/ns/bulletin.php?id=21877366&amp;type=1</t>
  </si>
  <si>
    <t>http://snap.windin.com/ns/bulletin.php?id=21877282&amp;type=1</t>
  </si>
  <si>
    <t>http://snap.windin.com/ns/bulletin.php?id=21877352&amp;type=1</t>
  </si>
  <si>
    <t>http://snap.windin.com/ns/bulletin.php?id=21877132&amp;type=1</t>
  </si>
  <si>
    <t>http://snap.windin.com/ns/bulletin.php?id=21877274&amp;type=1</t>
  </si>
  <si>
    <t>http://snap.windin.com/ns/bulletin.php?id=21877278&amp;type=1</t>
  </si>
  <si>
    <t>http://snap.windin.com/ns/bulletin.php?id=21877130&amp;type=1</t>
  </si>
  <si>
    <t>http://snap.windin.com/ns/bulletin.php?id=21877128&amp;type=1</t>
  </si>
  <si>
    <t>http://snap.windin.com/ns/bulletin.php?id=21865940&amp;type=1</t>
  </si>
  <si>
    <t>http://snap.windin.com/ns/bulletin.php?id=21865916&amp;type=1</t>
  </si>
  <si>
    <t>http://snap.windin.com/ns/bulletin.php?id=21856630&amp;type=1</t>
  </si>
  <si>
    <t>http://snap.windin.com/ns/bulletin.php?id=21857970&amp;type=1</t>
  </si>
  <si>
    <t>http://snap.windin.com/ns/bulletin.php?id=21848034&amp;type=1</t>
  </si>
  <si>
    <t>http://snap.windin.com/ns/bulletin.php?id=21848028&amp;type=1</t>
  </si>
  <si>
    <t>http://snap.windin.com/ns/bulletin.php?id=21849146&amp;type=1</t>
  </si>
  <si>
    <t>http://snap.windin.com/ns/bulletin.php?id=21849226&amp;type=1</t>
  </si>
  <si>
    <t>http://snap.windin.com/ns/bulletin.php?id=21849198&amp;type=1</t>
  </si>
  <si>
    <t>http://snap.windin.com/ns/bulletin.php?id=21847982&amp;type=1</t>
  </si>
  <si>
    <t>http://snap.windin.com/ns/bulletin.php?id=21847946&amp;type=1</t>
  </si>
  <si>
    <t>http://snap.windin.com/ns/bulletin.php?id=21848764&amp;type=1</t>
  </si>
  <si>
    <t>http://snap.windin.com/ns/bulletin.php?id=21848756&amp;type=1</t>
  </si>
  <si>
    <t>http://snap.windin.com/ns/bulletin.php?id=21849140&amp;type=1</t>
  </si>
  <si>
    <t>http://snap.windin.com/ns/bulletin.php?id=21849170&amp;type=1</t>
  </si>
  <si>
    <t>http://snap.windin.com/ns/bulletin.php?id=21839476&amp;type=1</t>
  </si>
  <si>
    <t>http://snap.windin.com/ns/bulletin.php?id=21839480&amp;type=1</t>
  </si>
  <si>
    <t>http://snap.windin.com/ns/bulletin.php?id=21839474&amp;type=1</t>
  </si>
  <si>
    <t>http://snap.windin.com/ns/bulletin.php?id=21840102&amp;type=1</t>
  </si>
  <si>
    <t>http://snap.windin.com/ns/bulletin.php?id=21840640&amp;type=1</t>
  </si>
  <si>
    <t>http://snap.windin.com/ns/bulletin.php?id=21840014&amp;type=1</t>
  </si>
  <si>
    <t>http://snap.windin.com/ns/bulletin.php?id=21840080&amp;type=1</t>
  </si>
  <si>
    <t>http://snap.windin.com/ns/bulletin.php?id=21839966&amp;type=1</t>
  </si>
  <si>
    <t>http://snap.windin.com/ns/bulletin.php?id=21839932&amp;type=1</t>
  </si>
  <si>
    <t>http://snap.windin.com/ns/bulletin.php?id=21840326&amp;type=1</t>
  </si>
  <si>
    <t>http://snap.windin.com/ns/bulletin.php?id=21840438&amp;type=1</t>
  </si>
  <si>
    <t>http://snap.windin.com/ns/bulletin.php?id=21840540&amp;type=1</t>
  </si>
  <si>
    <t>http://snap.windin.com/ns/bulletin.php?id=21840524&amp;type=1</t>
  </si>
  <si>
    <t>http://snap.windin.com/ns/bulletin.php?id=21840606&amp;type=1</t>
  </si>
  <si>
    <t>http://snap.windin.com/ns/bulletin.php?id=21840572&amp;type=1</t>
  </si>
  <si>
    <t>http://snap.windin.com/ns/bulletin.php?id=21840346&amp;type=1</t>
  </si>
  <si>
    <t>http://snap.windin.com/ns/bulletin.php?id=21840332&amp;type=1</t>
  </si>
  <si>
    <t>http://snap.windin.com/ns/bulletin.php?id=21840396&amp;type=1</t>
  </si>
  <si>
    <t>http://snap.windin.com/ns/bulletin.php?id=21840402&amp;type=1</t>
  </si>
  <si>
    <t>http://snap.windin.com/ns/bulletin.php?id=21839938&amp;type=1</t>
  </si>
  <si>
    <t>http://snap.windin.com/ns/bulletin.php?id=21839940&amp;type=1</t>
  </si>
  <si>
    <t>http://snap.windin.com/ns/bulletin.php?id=21840548&amp;type=1</t>
  </si>
  <si>
    <t>http://snap.windin.com/ns/bulletin.php?id=21840364&amp;type=1</t>
  </si>
  <si>
    <t>http://snap.windin.com/ns/bulletin.php?id=21840172&amp;type=1</t>
  </si>
  <si>
    <t>http://snap.windin.com/ns/bulletin.php?id=21840170&amp;type=1</t>
  </si>
  <si>
    <t>http://snap.windin.com/ns/bulletin.php?id=21826970&amp;type=1</t>
  </si>
  <si>
    <t>http://snap.windin.com/ns/bulletin.php?id=21826974&amp;type=1</t>
  </si>
  <si>
    <t>http://snap.windin.com/ns/bulletin.php?id=21826968&amp;type=1</t>
  </si>
  <si>
    <t>http://snap.windin.com/ns/bulletin.php?id=21825568&amp;type=1</t>
  </si>
  <si>
    <t>http://snap.windin.com/ns/bulletin.php?id=21825498&amp;type=1</t>
  </si>
  <si>
    <t>http://snap.windin.com/ns/bulletin.php?id=21827192&amp;type=1</t>
  </si>
  <si>
    <t>http://snap.windin.com/ns/bulletin.php?id=21826708&amp;type=1</t>
  </si>
  <si>
    <t>http://snap.windin.com/ns/bulletin.php?id=21826636&amp;type=1</t>
  </si>
  <si>
    <t>http://snap.windin.com/ns/bulletin.php?id=21827148&amp;type=1</t>
  </si>
  <si>
    <t>http://snap.windin.com/ns/bulletin.php?id=21827154&amp;type=1</t>
  </si>
  <si>
    <t>http://snap.windin.com/ns/bulletin.php?id=21826472&amp;type=1</t>
  </si>
  <si>
    <t>http://snap.windin.com/ns/bulletin.php?id=21831060&amp;type=1</t>
  </si>
  <si>
    <t>http://snap.windin.com/ns/bulletin.php?id=21826424&amp;type=1</t>
  </si>
  <si>
    <t>http://snap.windin.com/ns/bulletin.php?id=21831716&amp;type=1</t>
  </si>
  <si>
    <t>http://snap.windin.com/ns/bulletin.php?id=21816766&amp;type=1</t>
  </si>
  <si>
    <t>http://snap.windin.com/ns/bulletin.php?id=21816758&amp;type=1</t>
  </si>
  <si>
    <t>http://snap.windin.com/ns/bulletin.php?id=21816764&amp;type=1</t>
  </si>
  <si>
    <t>http://snap.windin.com/ns/bulletin.php?id=21816744&amp;type=1</t>
  </si>
  <si>
    <t>http://snap.windin.com/ns/bulletin.php?id=21816806&amp;type=1</t>
  </si>
  <si>
    <t>http://snap.windin.com/ns/bulletin.php?id=21816798&amp;type=1</t>
  </si>
  <si>
    <t>http://snap.windin.com/ns/bulletin.php?id=21816778&amp;type=1</t>
  </si>
  <si>
    <t>http://snap.windin.com/ns/bulletin.php?id=21816792&amp;type=1</t>
  </si>
  <si>
    <t>http://snap.windin.com/ns/bulletin.php?id=21816802&amp;type=1</t>
  </si>
  <si>
    <t>http://snap.windin.com/ns/bulletin.php?id=21816804&amp;type=1</t>
  </si>
  <si>
    <t>http://snap.windin.com/ns/bulletin.php?id=21809496&amp;type=1</t>
  </si>
  <si>
    <t>http://snap.windin.com/ns/bulletin.php?id=21809342&amp;type=1</t>
  </si>
  <si>
    <t>http://snap.windin.com/ns/bulletin.php?id=21809378&amp;type=1</t>
  </si>
  <si>
    <t>http://snap.windin.com/ns/bulletin.php?id=21809430&amp;type=1</t>
  </si>
  <si>
    <t>http://snap.windin.com/ns/bulletin.php?id=21809036&amp;type=1</t>
  </si>
  <si>
    <t>http://snap.windin.com/ns/bulletin.php?id=21809626&amp;type=1</t>
  </si>
  <si>
    <t>http://snap.windin.com/ns/bulletin.php?id=21809288&amp;type=1</t>
  </si>
  <si>
    <t>http://snap.windin.com/ns/bulletin.php?id=21809736&amp;type=1</t>
  </si>
  <si>
    <t>http://snap.windin.com/ns/bulletin.php?id=21809152&amp;type=1</t>
  </si>
  <si>
    <t>http://snap.windin.com/ns/bulletin.php?id=21809126&amp;type=1</t>
  </si>
  <si>
    <t>http://snap.windin.com/ns/bulletin.php?id=21809318&amp;type=1</t>
  </si>
  <si>
    <t>http://snap.windin.com/ns/bulletin.php?id=21809280&amp;type=1</t>
  </si>
  <si>
    <t>http://snap.windin.com/ns/bulletin.php?id=21758894&amp;type=1</t>
  </si>
  <si>
    <t>http://snap.windin.com/ns/bulletin.php?id=21759414&amp;type=1</t>
  </si>
  <si>
    <t>http://snap.windin.com/ns/bulletin.php?id=21759416&amp;type=1</t>
  </si>
  <si>
    <t>http://snap.windin.com/ns/bulletin.php?id=21759412&amp;type=1</t>
  </si>
  <si>
    <t>http://snap.windin.com/ns/bulletin.php?id=21759476&amp;type=1</t>
  </si>
  <si>
    <t>http://snap.windin.com/ns/bulletin.php?id=21759546&amp;type=1</t>
  </si>
  <si>
    <t>http://snap.windin.com/ns/bulletin.php?id=21761426&amp;type=1</t>
  </si>
  <si>
    <t>http://snap.windin.com/ns/bulletin.php?id=21759602&amp;type=1</t>
  </si>
  <si>
    <t>http://snap.windin.com/ns/bulletin.php?id=21761432&amp;type=1</t>
  </si>
  <si>
    <t>http://snap.windin.com/ns/bulletin.php?id=21759590&amp;type=1</t>
  </si>
  <si>
    <t>http://snap.windin.com/ns/bulletin.php?id=21761428&amp;type=1</t>
  </si>
  <si>
    <t>http://snap.windin.com/ns/bulletin.php?id=21759696&amp;type=1</t>
  </si>
  <si>
    <t>http://snap.windin.com/ns/bulletin.php?id=21759704&amp;type=1</t>
  </si>
  <si>
    <t>http://snap.windin.com/ns/bulletin.php?id=21742160&amp;type=1</t>
  </si>
  <si>
    <t>http://snap.windin.com/ns/bulletin.php?id=21742228&amp;type=1</t>
  </si>
  <si>
    <t>http://snap.windin.com/ns/bulletin.php?id=21742380&amp;type=1</t>
  </si>
  <si>
    <t>http://snap.windin.com/ns/bulletin.php?id=21742320&amp;type=1</t>
  </si>
  <si>
    <t>http://snap.windin.com/ns/bulletin.php?id=21742366&amp;type=1</t>
  </si>
  <si>
    <t>http://snap.windin.com/ns/bulletin.php?id=21742358&amp;type=1</t>
  </si>
  <si>
    <t>http://snap.windin.com/ns/bulletin.php?id=21728128&amp;type=1</t>
  </si>
  <si>
    <t>http://snap.windin.com/ns/bulletin.php?id=21728132&amp;type=1</t>
  </si>
  <si>
    <t>http://snap.windin.com/ns/bulletin.php?id=21728126&amp;type=1</t>
  </si>
  <si>
    <t>http://snap.windin.com/ns/bulletin.php?id=21726900&amp;type=1</t>
  </si>
  <si>
    <t>http://snap.windin.com/ns/bulletin.php?id=21726802&amp;type=1</t>
  </si>
  <si>
    <t>http://snap.windin.com/ns/bulletin.php?id=21726862&amp;type=1</t>
  </si>
  <si>
    <t>http://snap.windin.com/ns/bulletin.php?id=21726704&amp;type=1</t>
  </si>
  <si>
    <t>http://snap.windin.com/ns/bulletin.php?id=21726692&amp;type=1</t>
  </si>
  <si>
    <t>http://snap.windin.com/ns/bulletin.php?id=20524058&amp;type=1</t>
  </si>
  <si>
    <t>http://snap.windin.com/ns/bulletin.php?id=20524066&amp;type=1</t>
  </si>
  <si>
    <t>http://snap.windin.com/ns/bulletin.php?id=11667430&amp;type=1</t>
  </si>
  <si>
    <t>http://snap.windin.com/ns/bulletin.php?id=11336110&amp;type=1</t>
  </si>
  <si>
    <t>http://snap.windin.com/ns/bulletin.php?id=11179230&amp;type=1</t>
  </si>
  <si>
    <t>http://snap.windin.com/ns/bulletin.php?id=11179240&amp;type=1</t>
  </si>
  <si>
    <t>http://snap.windin.com/ns/bulletin.php?id=10978950&amp;type=1</t>
  </si>
  <si>
    <t>http://snap.windin.com/ns/bulletin.php?id=10979210&amp;type=1</t>
  </si>
  <si>
    <t>http://snap.windin.com/ns/bulletin.php?id=10951500&amp;type=1</t>
  </si>
  <si>
    <t>http://snap.windin.com/ns/bulletin.php?id=10951470&amp;type=1</t>
  </si>
  <si>
    <t>http://snap.windin.com/ns/bulletin.php?id=10952980&amp;type=1</t>
  </si>
  <si>
    <t>http://snap.windin.com/ns/bulletin.php?id=10952880&amp;type=1</t>
  </si>
  <si>
    <t>http://snap.windin.com/ns/bulletin.php?id=10892820&amp;type=1</t>
  </si>
  <si>
    <t>http://snap.windin.com/ns/bulletin.php?id=10892860&amp;type=1</t>
  </si>
  <si>
    <t>http://snap.windin.com/ns/bulletin.php?id=10818400&amp;type=1</t>
  </si>
  <si>
    <t>http://snap.windin.com/ns/bulletin.php?id=10818510&amp;type=1</t>
  </si>
  <si>
    <t>http://snap.windin.com/ns/bulletin.php?id=10806770&amp;type=1</t>
  </si>
  <si>
    <t>http://snap.windin.com/ns/bulletin.php?id=10806710&amp;type=1</t>
  </si>
  <si>
    <t>http://snap.windin.com/ns/bulletin.php?id=10520870&amp;type=1</t>
  </si>
  <si>
    <t>http://snap.windin.com/ns/bulletin.php?id=10520800&amp;type=1</t>
  </si>
  <si>
    <t>http://snap.windin.com/ns/bulletin.php?id=10569650&amp;type=1</t>
  </si>
  <si>
    <t>http://snap.windin.com/ns/bulletin.php?id=10569660&amp;type=1</t>
  </si>
  <si>
    <t>http://snap.windin.com/ns/bulletin.php?id=10106860&amp;type=1</t>
  </si>
  <si>
    <t>http://snap.windin.com/ns/bulletin.php?id=10063730&amp;type=1</t>
  </si>
  <si>
    <t>http://snap.windin.com/ns/bulletin.php?id=10055650&amp;type=1</t>
  </si>
  <si>
    <t>http://snap.windin.com/ns/bulletin.php?id=10055630&amp;type=1</t>
  </si>
  <si>
    <t>http://snap.windin.com/ns/bulletin.php?id=10055600&amp;type=1</t>
  </si>
  <si>
    <t>http://snap.windin.com/ns/bulletin.php?id=10055610&amp;type=1</t>
  </si>
  <si>
    <t>http://snap.windin.com/ns/bulletin.php?id=10047470&amp;type=1</t>
  </si>
  <si>
    <t>http://snap.windin.com/ns/bulletin.php?id=10047500&amp;type=1</t>
  </si>
  <si>
    <t>http://snap.windin.com/ns/bulletin.php?id=10036850&amp;type=1</t>
  </si>
  <si>
    <t>http://snap.windin.com/ns/bulletin.php?id=10036860&amp;type=1</t>
  </si>
  <si>
    <t>http://snap.windin.com/ns/bulletin.php?id=10023240&amp;type=1</t>
  </si>
  <si>
    <t>http://snap.windin.com/ns/bulletin.php?id=10001570&amp;type=1</t>
  </si>
  <si>
    <t>http://snap.windin.com/ns/bulletin.php?id=10001560&amp;type=1</t>
  </si>
  <si>
    <t>http://snap.windin.com/ns/bulletin.php?id=2572399&amp;type=1</t>
  </si>
  <si>
    <t>http://snap.windin.com/ns/bulletin.php?id=2572247&amp;type=1</t>
  </si>
  <si>
    <t>http://snap.windin.com/ns/bulletin.php?id=2572243&amp;type=1</t>
  </si>
  <si>
    <t>http://snap.windin.com/ns/bulletin.php?id=2572261&amp;type=1</t>
  </si>
  <si>
    <t>http://snap.windin.com/ns/bulletin.php?id=2571079&amp;type=1</t>
  </si>
  <si>
    <t>http://snap.windin.com/ns/bulletin.php?id=2571086&amp;type=1</t>
  </si>
  <si>
    <t>http://snap.windin.com/ns/bulletin.php?id=2571081&amp;type=1</t>
  </si>
  <si>
    <t>http://snap.windin.com/ns/bulletin.php?id=2571080&amp;type=1</t>
  </si>
  <si>
    <t>http://snap.windin.com/ns/bulletin.php?id=2571040&amp;type=1</t>
  </si>
  <si>
    <t>http://snap.windin.com/ns/bulletin.php?id=2571048&amp;type=1</t>
  </si>
  <si>
    <t>http://snap.windin.com/ns/bulletin.php?id=2571047&amp;type=1</t>
  </si>
  <si>
    <t>http://snap.windin.com/ns/bulletin.php?id=2571046&amp;type=1</t>
  </si>
  <si>
    <t>http://snap.windin.com/ns/bulletin.php?id=2571042&amp;type=1</t>
  </si>
  <si>
    <t>http://snap.windin.com/ns/bulletin.php?id=2569166&amp;type=1</t>
  </si>
  <si>
    <t>http://snap.windin.com/ns/bulletin.php?id=2565224&amp;type=1</t>
  </si>
  <si>
    <t>http://snap.windin.com/ns/bulletin.php?id=2565222&amp;type=1</t>
  </si>
  <si>
    <t>http://snap.windin.com/ns/bulletin.php?id=2520402&amp;type=1</t>
  </si>
  <si>
    <t>http://snap.windin.com/ns/bulletin.php?id=2520415&amp;type=1</t>
  </si>
  <si>
    <t>http://snap.windin.com/ns/bulletin.php?id=2520418&amp;type=1</t>
  </si>
  <si>
    <t>http://snap.windin.com/ns/bulletin.php?id=2518551&amp;type=1</t>
  </si>
  <si>
    <t>http://snap.windin.com/ns/bulletin.php?id=2498670&amp;type=1</t>
  </si>
  <si>
    <t>http://snap.windin.com/ns/bulletin.php?id=2496851&amp;type=1</t>
  </si>
  <si>
    <t>http://snap.windin.com/ns/bulletin.php?id=2500245&amp;type=1</t>
  </si>
  <si>
    <t>http://snap.windin.com/ns/bulletin.php?id=2499511&amp;type=1</t>
  </si>
  <si>
    <t>http://snap.windin.com/ns/bulletin.php?id=2496870&amp;type=1</t>
  </si>
  <si>
    <t>http://snap.windin.com/ns/bulletin.php?id=2497982&amp;type=1</t>
  </si>
  <si>
    <t>http://snap.windin.com/ns/bulletin.php?id=2499382&amp;type=1</t>
  </si>
  <si>
    <t>http://snap.windin.com/ns/bulletin.php?id=2499248&amp;type=1</t>
  </si>
  <si>
    <t>http://snap.windin.com/ns/bulletin.php?id=2467247&amp;type=1</t>
  </si>
  <si>
    <t>http://snap.windin.com/ns/bulletin.php?id=2419255&amp;type=1</t>
  </si>
  <si>
    <t>http://snap.windin.com/ns/bulletin.php?id=2403632&amp;type=1</t>
  </si>
  <si>
    <t>http://snap.windin.com/ns/bulletin.php?id=2403100&amp;type=1</t>
  </si>
  <si>
    <t>http://snap.windin.com/ns/bulletin.php?id=2403108&amp;type=1</t>
  </si>
  <si>
    <t>http://snap.windin.com/ns/bulletin.php?id=2403082&amp;type=1</t>
  </si>
  <si>
    <t>http://snap.windin.com/ns/bulletin.php?id=2403081&amp;type=1</t>
  </si>
  <si>
    <t>http://snap.windin.com/ns/bulletin.php?id=2352886&amp;type=1</t>
  </si>
  <si>
    <t>http://snap.windin.com/ns/bulletin.php?id=2353074&amp;type=1</t>
  </si>
  <si>
    <t>http://snap.windin.com/ns/bulletin.php?id=2357149&amp;type=1</t>
  </si>
  <si>
    <t>http://snap.windin.com/ns/bulletin.php?id=2357155&amp;type=1</t>
  </si>
  <si>
    <t>http://snap.windin.com/ns/bulletin.php?id=2348164&amp;type=1</t>
  </si>
  <si>
    <t>http://snap.windin.com/ns/bulletin.php?id=2348204&amp;type=1</t>
  </si>
  <si>
    <t>http://snap.windin.com/ns/bulletin.php?id=2308277&amp;type=1</t>
  </si>
  <si>
    <t>http://snap.windin.com/ns/bulletin.php?id=2308498&amp;type=1</t>
  </si>
  <si>
    <t>http://snap.windin.com/ns/bulletin.php?id=2243276&amp;type=1</t>
  </si>
  <si>
    <t>http://snap.windin.com/ns/bulletin.php?id=2243269&amp;type=1</t>
  </si>
  <si>
    <t>http://snap.windin.com/ns/bulletin.php?id=2231660&amp;type=1</t>
  </si>
  <si>
    <t>http://snap.windin.com/ns/bulletin.php?id=2231655&amp;type=1</t>
  </si>
  <si>
    <t>http://snap.windin.com/ns/bulletin.php?id=2231572&amp;type=1</t>
  </si>
  <si>
    <t>http://snap.windin.com/ns/bulletin.php?id=2231667&amp;type=1</t>
  </si>
  <si>
    <t>http://snap.windin.com/ns/bulletin.php?id=2231571&amp;type=1</t>
  </si>
  <si>
    <t>http://snap.windin.com/ns/bulletin.php?id=2231668&amp;type=1</t>
  </si>
  <si>
    <t>http://snap.windin.com/ns/bulletin.php?id=2229399&amp;type=1</t>
  </si>
  <si>
    <t>http://snap.windin.com/ns/bulletin.php?id=2229437&amp;type=1</t>
  </si>
  <si>
    <t>http://snap.windin.com/ns/bulletin.php?id=2229634&amp;type=1</t>
  </si>
  <si>
    <t>http://snap.windin.com/ns/bulletin.php?id=2229636&amp;type=1</t>
  </si>
  <si>
    <t>http://snap.windin.com/ns/bulletin.php?id=2229516&amp;type=1</t>
  </si>
  <si>
    <t>http://snap.windin.com/ns/bulletin.php?id=2229515&amp;type=1</t>
  </si>
  <si>
    <t>http://snap.windin.com/ns/bulletin.php?id=2228914&amp;type=1</t>
  </si>
  <si>
    <t>http://snap.windin.com/ns/bulletin.php?id=2228915&amp;type=1</t>
  </si>
  <si>
    <t>http://snap.windin.com/ns/bulletin.php?id=2227212&amp;type=1</t>
  </si>
  <si>
    <t>http://snap.windin.com/ns/bulletin.php?id=2211829&amp;type=1</t>
  </si>
  <si>
    <t>http://snap.windin.com/ns/bulletin.php?id=2211831&amp;type=1</t>
  </si>
  <si>
    <t>http://snap.windin.com/ns/bulletin.php?id=2211830&amp;type=1</t>
  </si>
  <si>
    <t>http://snap.windin.com/ns/bulletin.php?id=2211541&amp;type=1</t>
  </si>
  <si>
    <t>http://snap.windin.com/ns/bulletin.php?id=2211888&amp;type=1</t>
  </si>
  <si>
    <t>http://snap.windin.com/ns/bulletin.php?id=2211897&amp;type=1</t>
  </si>
  <si>
    <t>http://snap.windin.com/ns/bulletin.php?id=2200272&amp;type=1</t>
  </si>
  <si>
    <t>http://snap.windin.com/ns/bulletin.php?id=2200273&amp;type=1</t>
  </si>
  <si>
    <t>http://snap.windin.com/ns/bulletin.php?id=2199291&amp;type=1</t>
  </si>
  <si>
    <t>http://snap.windin.com/ns/bulletin.php?id=2197745&amp;type=1</t>
  </si>
  <si>
    <t>http://snap.windin.com/ns/bulletin.php?id=2197746&amp;type=1</t>
  </si>
  <si>
    <t>http://snap.windin.com/ns/bulletin.php?id=2197855&amp;type=1</t>
  </si>
  <si>
    <t>http://snap.windin.com/ns/bulletin.php?id=2197639&amp;type=1</t>
  </si>
  <si>
    <t>http://snap.windin.com/ns/bulletin.php?id=2197646&amp;type=1</t>
  </si>
  <si>
    <t>http://snap.windin.com/ns/bulletin.php?id=2197648&amp;type=1</t>
  </si>
  <si>
    <t>http://snap.windin.com/ns/bulletin.php?id=2197629&amp;type=1</t>
  </si>
  <si>
    <t>http://snap.windin.com/ns/bulletin.php?id=2195751&amp;type=1</t>
  </si>
  <si>
    <t>http://snap.windin.com/ns/bulletin.php?id=2195833&amp;type=1</t>
  </si>
  <si>
    <t>http://snap.windin.com/ns/bulletin.php?id=2195834&amp;type=1</t>
  </si>
  <si>
    <t>http://snap.windin.com/ns/bulletin.php?id=2037029&amp;type=1</t>
  </si>
  <si>
    <t>http://snap.windin.com/ns/bulletin.php?id=466283&amp;type=1</t>
  </si>
  <si>
    <t>http://snap.windin.com/ns/bulletin.php?id=530296&amp;type=1</t>
  </si>
  <si>
    <t>http://snap.windin.com/ns/bulletin.php?id=202093&amp;type=1</t>
  </si>
  <si>
    <t>http://snap.windin.com/ns/bulletin.php?id=1034053&amp;type=1</t>
  </si>
  <si>
    <t>http://snap.windin.com/ns/bulletin.php?id=1747575&amp;type=1</t>
  </si>
  <si>
    <t>http://snap.windin.com/ns/bulletin.php?id=1810078&amp;type=1</t>
  </si>
  <si>
    <t>http://snap.windin.com/ns/bulletin.php?id=1950941&amp;type=1</t>
  </si>
  <si>
    <t>http://snap.windin.com/ns/bulletin.php?id=1468288&amp;type=1</t>
  </si>
  <si>
    <t>http://snap.windin.com/ns/bulletin.php?id=1718035&amp;type=1</t>
  </si>
  <si>
    <t>http://snap.windin.com/ns/bulletin.php?id=2117686&amp;type=1</t>
  </si>
  <si>
    <t>http://snap.windin.com/ns/bulletin.php?id=2035864&amp;type=1</t>
  </si>
  <si>
    <t>http://snap.windin.com/ns/bulletin.php?id=1054410&amp;type=1</t>
  </si>
  <si>
    <t>http://snap.windin.com/ns/bulletin.php?id=1782998&amp;type=1</t>
  </si>
  <si>
    <t>http://snap.windin.com/ns/bulletin.php?id=2077515&amp;type=1</t>
  </si>
  <si>
    <t>http://snap.windin.com/ns/bulletin.php?id=2112001&amp;type=1</t>
  </si>
  <si>
    <t>http://snap.windin.com/ns/bulletin.php?id=129948&amp;type=1</t>
  </si>
  <si>
    <t>http://snap.windin.com/ns/bulletin.php?id=1403865&amp;type=1</t>
  </si>
  <si>
    <t>http://snap.windin.com/ns/bulletin.php?id=1014144&amp;type=1</t>
  </si>
  <si>
    <t>http://snap.windin.com/ns/bulletin.php?id=1761301&amp;type=1</t>
  </si>
  <si>
    <t>http://snap.windin.com/ns/bulletin.php?id=1174024&amp;type=1</t>
  </si>
  <si>
    <t>http://snap.windin.com/ns/bulletin.php?id=766135&amp;type=1</t>
  </si>
  <si>
    <t>http://snap.windin.com/ns/bulletin.php?id=447770&amp;type=1</t>
  </si>
  <si>
    <t>http://snap.windin.com/ns/bulletin.php?id=1088974&amp;type=1</t>
  </si>
  <si>
    <t>http://snap.windin.com/ns/bulletin.php?id=484982&amp;type=1</t>
  </si>
  <si>
    <t>http://snap.windin.com/ns/bulletin.php?id=1109385&amp;type=1</t>
  </si>
  <si>
    <t>http://snap.windin.com/ns/bulletin.php?id=1878981&amp;type=1</t>
  </si>
  <si>
    <t>http://snap.windin.com/ns/bulletin.php?id=791853&amp;type=1</t>
  </si>
  <si>
    <t>http://snap.windin.com/ns/bulletin.php?id=1436578&amp;type=1</t>
  </si>
  <si>
    <t>http://snap.windin.com/ns/bulletin.php?id=1534396&amp;type=1</t>
  </si>
  <si>
    <t>http://snap.windin.com/ns/bulletin.php?id=596867&amp;type=1</t>
  </si>
  <si>
    <t>http://snap.windin.com/ns/bulletin.php?id=639651&amp;type=1</t>
  </si>
  <si>
    <t>http://snap.windin.com/ns/bulletin.php?id=193575&amp;type=1</t>
  </si>
  <si>
    <t>http://snap.windin.com/ns/bulletin.php?id=1509586&amp;type=1</t>
  </si>
  <si>
    <t>http://snap.windin.com/ns/bulletin.php?id=102777&amp;type=1</t>
  </si>
  <si>
    <t>http://snap.windin.com/ns/bulletin.php?id=1710036&amp;type=1</t>
  </si>
  <si>
    <t>http://snap.windin.com/ns/bulletin.php?id=115466&amp;type=1</t>
  </si>
  <si>
    <t>http://snap.windin.com/ns/bulletin.php?id=1694841&amp;type=1</t>
  </si>
  <si>
    <t>http://snap.windin.com/ns/bulletin.php?id=1699680&amp;type=1</t>
  </si>
  <si>
    <t>http://snap.windin.com/ns/bulletin.php?id=126109&amp;type=1</t>
  </si>
  <si>
    <t>http://snap.windin.com/ns/bulletin.php?id=2035015&amp;type=1</t>
  </si>
  <si>
    <t>http://snap.windin.com/ns/bulletin.php?id=1512596&amp;type=1</t>
  </si>
  <si>
    <t>http://snap.windin.com/ns/bulletin.php?id=2068829&amp;type=1</t>
  </si>
  <si>
    <t>http://snap.windin.com/ns/bulletin.php?id=1774526&amp;type=1</t>
  </si>
  <si>
    <t>http://snap.windin.com/ns/bulletin.php?id=210296&amp;type=1</t>
  </si>
  <si>
    <t>http://snap.windin.com/ns/bulletin.php?id=932264&amp;type=1</t>
  </si>
  <si>
    <t>http://snap.windin.com/ns/bulletin.php?id=1071202&amp;type=1</t>
  </si>
  <si>
    <t>http://snap.windin.com/ns/bulletin.php?id=98007&amp;type=1</t>
  </si>
  <si>
    <t>http://snap.windin.com/ns/bulletin.php?id=2029251&amp;type=1</t>
  </si>
  <si>
    <t>http://snap.windin.com/ns/bulletin.php?id=125055&amp;type=1</t>
  </si>
  <si>
    <t>http://snap.windin.com/ns/bulletin.php?id=1918090&amp;type=1</t>
  </si>
  <si>
    <t>http://snap.windin.com/ns/bulletin.php?id=806729&amp;type=1</t>
  </si>
  <si>
    <t>http://snap.windin.com/ns/bulletin.php?id=2007197&amp;type=1</t>
  </si>
  <si>
    <t>http://snap.windin.com/ns/bulletin.php?id=629370&amp;type=1</t>
  </si>
  <si>
    <t>http://snap.windin.com/ns/bulletin.php?id=1392701&amp;type=1</t>
  </si>
  <si>
    <t>http://snap.windin.com/ns/bulletin.php?id=719269&amp;type=1</t>
  </si>
  <si>
    <t>http://snap.windin.com/ns/bulletin.php?id=683482&amp;type=1</t>
  </si>
  <si>
    <t>http://snap.windin.com/ns/bulletin.php?id=2048790&amp;type=1</t>
  </si>
  <si>
    <t>http://snap.windin.com/ns/bulletin.php?id=815024&amp;type=1</t>
  </si>
  <si>
    <t>http://snap.windin.com/ns/bulletin.php?id=1092149&amp;type=1</t>
  </si>
  <si>
    <t>http://snap.windin.com/ns/bulletin.php?id=1362305&amp;type=1</t>
  </si>
  <si>
    <t>http://snap.windin.com/ns/bulletin.php?id=1700804&amp;type=1</t>
  </si>
  <si>
    <t>http://snap.windin.com/ns/bulletin.php?id=1597210&amp;type=1</t>
  </si>
  <si>
    <t>http://snap.windin.com/ns/bulletin.php?id=2068285&amp;type=1</t>
  </si>
  <si>
    <t>http://snap.windin.com/ns/bulletin.php?id=1479096&amp;type=1</t>
  </si>
  <si>
    <t>http://snap.windin.com/ns/bulletin.php?id=1775029&amp;type=1</t>
  </si>
  <si>
    <t>http://snap.windin.com/ns/bulletin.php?id=160212&amp;type=1</t>
  </si>
  <si>
    <t>http://snap.windin.com/ns/bulletin.php?id=1385788&amp;type=1</t>
  </si>
  <si>
    <t>http://snap.windin.com/ns/bulletin.php?id=545718&amp;type=1</t>
  </si>
  <si>
    <t>http://snap.windin.com/ns/bulletin.php?id=969542&amp;type=1</t>
  </si>
  <si>
    <t>http://snap.windin.com/ns/bulletin.php?id=545741&amp;type=1</t>
  </si>
  <si>
    <t>http://snap.windin.com/ns/bulletin.php?id=1898732&amp;type=1</t>
  </si>
  <si>
    <t>http://snap.windin.com/ns/bulletin.php?id=1090880&amp;type=1</t>
  </si>
  <si>
    <t>http://snap.windin.com/ns/bulletin.php?id=233838&amp;type=1</t>
  </si>
  <si>
    <t>http://snap.windin.com/ns/bulletin.php?id=1721647&amp;type=1</t>
  </si>
  <si>
    <t>http://snap.windin.com/ns/bulletin.php?id=1884283&amp;type=1</t>
  </si>
  <si>
    <t>http://snap.windin.com/ns/bulletin.php?id=778640&amp;type=1</t>
  </si>
  <si>
    <t>http://snap.windin.com/ns/bulletin.php?id=1086417&amp;type=1</t>
  </si>
  <si>
    <t>http://snap.windin.com/ns/bulletin.php?id=911509&amp;type=1</t>
  </si>
  <si>
    <t>http://snap.windin.com/ns/bulletin.php?id=2054567&amp;type=1</t>
  </si>
  <si>
    <t>http://snap.windin.com/ns/bulletin.php?id=404483&amp;type=1</t>
  </si>
  <si>
    <t>http://snap.windin.com/ns/bulletin.php?id=1962245&amp;type=1</t>
  </si>
  <si>
    <t>http://snap.windin.com/ns/bulletin.php?id=1089630&amp;type=1</t>
  </si>
  <si>
    <t>http://snap.windin.com/ns/bulletin.php?id=847920&amp;type=1</t>
  </si>
  <si>
    <t>http://snap.windin.com/ns/bulletin.php?id=1601556&amp;type=1</t>
  </si>
  <si>
    <t>http://snap.windin.com/ns/bulletin.php?id=2126162&amp;type=1</t>
  </si>
  <si>
    <t>http://snap.windin.com/ns/bulletin.php?id=73404&amp;type=1</t>
  </si>
  <si>
    <t>http://snap.windin.com/ns/bulletin.php?id=1783801&amp;type=1</t>
  </si>
  <si>
    <t>http://snap.windin.com/ns/bulletin.php?id=1842375&amp;type=1</t>
  </si>
  <si>
    <t>http://snap.windin.com/ns/bulletin.php?id=1617830&amp;type=1</t>
  </si>
  <si>
    <t>http://snap.windin.com/ns/bulletin.php?id=165514&amp;type=1</t>
  </si>
  <si>
    <t>http://snap.windin.com/ns/bulletin.php?id=1364694&amp;type=1</t>
  </si>
  <si>
    <t>http://snap.windin.com/ns/bulletin.php?id=1888385&amp;type=1</t>
  </si>
  <si>
    <t>http://snap.windin.com/ns/bulletin.php?id=794376&amp;type=1</t>
  </si>
  <si>
    <t>http://snap.windin.com/ns/bulletin.php?id=727406&amp;type=1</t>
  </si>
  <si>
    <t>http://snap.windin.com/ns/bulletin.php?id=565972&amp;type=1</t>
  </si>
  <si>
    <t>http://snap.windin.com/ns/bulletin.php?id=1154531&amp;type=1</t>
  </si>
  <si>
    <t>http://snap.windin.com/ns/bulletin.php?id=88990&amp;type=1</t>
  </si>
  <si>
    <t>http://snap.windin.com/ns/bulletin.php?id=497952&amp;type=1</t>
  </si>
  <si>
    <t>http://snap.windin.com/ns/bulletin.php?id=1934186&amp;type=1</t>
  </si>
  <si>
    <t>http://snap.windin.com/ns/bulletin.php?id=543580&amp;type=1</t>
  </si>
  <si>
    <t>http://snap.windin.com/ns/bulletin.php?id=1835209&amp;type=1</t>
  </si>
  <si>
    <t>http://snap.windin.com/ns/bulletin.php?id=1484172&amp;type=1</t>
  </si>
  <si>
    <t>http://snap.windin.com/ns/bulletin.php?id=1277142&amp;type=1</t>
  </si>
  <si>
    <t>http://snap.windin.com/ns/bulletin.php?id=520708&amp;type=1</t>
  </si>
  <si>
    <t>http://snap.windin.com/ns/bulletin.php?id=1642890&amp;type=1</t>
  </si>
  <si>
    <t>http://snap.windin.com/ns/bulletin.php?id=1464428&amp;type=1</t>
  </si>
  <si>
    <t>http://snap.windin.com/ns/bulletin.php?id=1593250&amp;type=1</t>
  </si>
  <si>
    <t>http://snap.windin.com/ns/bulletin.php?id=1886790&amp;type=1</t>
  </si>
  <si>
    <t>http://snap.windin.com/ns/bulletin.php?id=1644483&amp;type=1</t>
  </si>
  <si>
    <t>http://snap.windin.com/ns/bulletin.php?id=1011391&amp;type=1</t>
  </si>
  <si>
    <t>http://snap.windin.com/ns/bulletin.php?id=1988691&amp;type=1</t>
  </si>
  <si>
    <t>http://snap.windin.com/ns/bulletin.php?id=1086124&amp;type=1</t>
  </si>
  <si>
    <t>http://snap.windin.com/ns/bulletin.php?id=2051293&amp;type=1</t>
  </si>
  <si>
    <t>http://snap.windin.com/ns/bulletin.php?id=1851963&amp;type=1</t>
  </si>
  <si>
    <t>http://snap.windin.com/ns/bulletin.php?id=883662&amp;type=1</t>
  </si>
  <si>
    <t>http://snap.windin.com/ns/bulletin.php?id=1767240&amp;type=1</t>
  </si>
  <si>
    <t>http://snap.windin.com/ns/bulletin.php?id=1663087&amp;type=1</t>
  </si>
  <si>
    <t>http://snap.windin.com/ns/bulletin.php?id=1356021&amp;type=1</t>
  </si>
  <si>
    <t>http://snap.windin.com/ns/bulletin.php?id=1480083&amp;type=1</t>
  </si>
  <si>
    <t>http://snap.windin.com/ns/bulletin.php?id=513959&amp;type=1</t>
  </si>
  <si>
    <t>http://snap.windin.com/ns/bulletin.php?id=1197982&amp;type=1</t>
  </si>
  <si>
    <t>http://snap.windin.com/ns/bulletin.php?id=1601519&amp;type=1</t>
  </si>
  <si>
    <t>http://snap.windin.com/ns/bulletin.php?id=1538542&amp;type=1</t>
  </si>
  <si>
    <t>http://snap.windin.com/ns/bulletin.php?id=996802&amp;type=1</t>
  </si>
  <si>
    <t>http://snap.windin.com/ns/bulletin.php?id=806422&amp;type=1</t>
  </si>
  <si>
    <t>http://snap.windin.com/ns/bulletin.php?id=1914164&amp;type=1</t>
  </si>
  <si>
    <t>http://snap.windin.com/ns/bulletin.php?id=631698&amp;type=1</t>
  </si>
  <si>
    <t>http://snap.windin.com/ns/bulletin.php?id=979061&amp;type=1</t>
  </si>
  <si>
    <t>http://snap.windin.com/ns/bulletin.php?id=591965&amp;type=1</t>
  </si>
  <si>
    <t>http://snap.windin.com/ns/bulletin.php?id=2111065&amp;type=1</t>
  </si>
  <si>
    <t>http://snap.windin.com/ns/bulletin.php?id=1558474&amp;type=1</t>
  </si>
  <si>
    <t>http://snap.windin.com/ns/bulletin.php?id=1638058&amp;type=1</t>
  </si>
  <si>
    <t>http://snap.windin.com/ns/bulletin.php?id=1763836&amp;type=1</t>
  </si>
  <si>
    <t>http://snap.windin.com/ns/bulletin.php?id=1479444&amp;type=1</t>
  </si>
  <si>
    <t>http://snap.windin.com/ns/bulletin.php?id=987872&amp;type=1</t>
  </si>
  <si>
    <t>http://snap.windin.com/ns/bulletin.php?id=1092384&amp;type=1</t>
  </si>
  <si>
    <t>http://snap.windin.com/ns/bulletin.php?id=798978&amp;type=1</t>
  </si>
  <si>
    <t>http://snap.windin.com/ns/bulletin.php?id=1789328&amp;type=1</t>
  </si>
  <si>
    <t>http://snap.windin.com/ns/bulletin.php?id=185766&amp;type=1</t>
  </si>
  <si>
    <t>http://snap.windin.com/ns/bulletin.php?id=187886&amp;type=1</t>
  </si>
  <si>
    <t>http://snap.windin.com/ns/bulletin.php?id=2102366&amp;type=1</t>
  </si>
  <si>
    <t>http://snap.windin.com/ns/bulletin.php?id=2065005&amp;type=1</t>
  </si>
  <si>
    <t>http://snap.windin.com/ns/bulletin.php?id=1936500&amp;type=1</t>
  </si>
  <si>
    <t>http://snap.windin.com/ns/bulletin.php?id=1620024&amp;type=1</t>
  </si>
  <si>
    <t>http://snap.windin.com/ns/bulletin.php?id=1166627&amp;type=1</t>
  </si>
  <si>
    <t>http://snap.windin.com/ns/bulletin.php?id=715529&amp;type=1</t>
  </si>
  <si>
    <t>http://snap.windin.com/ns/bulletin.php?id=1199032&amp;type=1</t>
  </si>
  <si>
    <t>http://snap.windin.com/ns/bulletin.php?id=484596&amp;type=1</t>
  </si>
  <si>
    <t>http://snap.windin.com/ns/bulletin.php?id=1832022&amp;type=1</t>
  </si>
  <si>
    <t>http://snap.windin.com/ns/bulletin.php?id=1924692&amp;type=1</t>
  </si>
  <si>
    <t>http://snap.windin.com/ns/bulletin.php?id=1250918&amp;type=1</t>
  </si>
  <si>
    <t>http://snap.windin.com/ns/bulletin.php?id=497771&amp;type=1</t>
  </si>
  <si>
    <t>http://snap.windin.com/ns/bulletin.php?id=1757773&amp;type=1</t>
  </si>
  <si>
    <t>http://snap.windin.com/ns/bulletin.php?id=1647104&amp;type=1</t>
  </si>
  <si>
    <t>http://snap.windin.com/ns/bulletin.php?id=696757&amp;type=1</t>
  </si>
  <si>
    <t>http://snap.windin.com/ns/bulletin.php?id=588136&amp;type=1</t>
  </si>
  <si>
    <t>http://snap.windin.com/ns/bulletin.php?id=1713625&amp;type=1</t>
  </si>
  <si>
    <t>http://snap.windin.com/ns/bulletin.php?id=1991761&amp;type=1</t>
  </si>
  <si>
    <t>http://snap.windin.com/ns/bulletin.php?id=196987&amp;type=1</t>
  </si>
  <si>
    <t>http://snap.windin.com/ns/bulletin.php?id=106243&amp;type=1</t>
  </si>
  <si>
    <t>http://snap.windin.com/ns/bulletin.php?id=833057&amp;type=1</t>
  </si>
  <si>
    <t>http://snap.windin.com/ns/bulletin.php?id=1674258&amp;type=1</t>
  </si>
  <si>
    <t>http://snap.windin.com/ns/bulletin.php?id=2065976&amp;type=1</t>
  </si>
  <si>
    <t>http://snap.windin.com/ns/bulletin.php?id=2049075&amp;type=1</t>
  </si>
  <si>
    <t>http://snap.windin.com/ns/bulletin.php?id=1883959&amp;type=1</t>
  </si>
  <si>
    <t>http://snap.windin.com/ns/bulletin.php?id=2017422&amp;type=1</t>
  </si>
  <si>
    <t>http://snap.windin.com/ns/bulletin.php?id=1866004&amp;type=1</t>
  </si>
  <si>
    <t>http://snap.windin.com/ns/bulletin.php?id=1197905&amp;type=1</t>
  </si>
  <si>
    <t>http://snap.windin.com/ns/bulletin.php?id=1177418&amp;type=1</t>
  </si>
  <si>
    <t>http://snap.windin.com/ns/bulletin.php?id=904523&amp;type=1</t>
  </si>
  <si>
    <t>http://snap.windin.com/ns/bulletin.php?id=1750386&amp;type=1</t>
  </si>
  <si>
    <t>http://snap.windin.com/ns/bulletin.php?id=1337060&amp;type=1</t>
  </si>
  <si>
    <t>http://snap.windin.com/ns/bulletin.php?id=1808206&amp;type=1</t>
  </si>
  <si>
    <t>http://snap.windin.com/ns/bulletin.php?id=976336&amp;type=1</t>
  </si>
  <si>
    <t>http://snap.windin.com/ns/bulletin.php?id=2092723&amp;type=1</t>
  </si>
  <si>
    <t>http://snap.windin.com/ns/bulletin.php?id=1558671&amp;type=1</t>
  </si>
  <si>
    <t>http://snap.windin.com/ns/bulletin.php?id=729593&amp;type=1</t>
  </si>
  <si>
    <t>http://snap.windin.com/ns/bulletin.php?id=1230946&amp;type=1</t>
  </si>
  <si>
    <t>http://snap.windin.com/ns/bulletin.php?id=411335&amp;type=1</t>
  </si>
  <si>
    <t>http://snap.windin.com/ns/bulletin.php?id=1483506&amp;type=1</t>
  </si>
  <si>
    <t>http://snap.windin.com/ns/bulletin.php?id=859627&amp;type=1</t>
  </si>
  <si>
    <t>http://snap.windin.com/ns/bulletin.php?id=1522438&amp;type=1</t>
  </si>
  <si>
    <t>http://snap.windin.com/ns/bulletin.php?id=692430&amp;type=1</t>
  </si>
  <si>
    <t>http://snap.windin.com/ns/bulletin.php?id=1245387&amp;type=1</t>
  </si>
  <si>
    <t>http://snap.windin.com/ns/bulletin.php?id=1765484&amp;type=1</t>
  </si>
  <si>
    <t>http://snap.windin.com/ns/bulletin.php?id=828514&amp;type=1</t>
  </si>
  <si>
    <t>http://snap.windin.com/ns/bulletin.php?id=136140&amp;type=1</t>
  </si>
  <si>
    <t>http://snap.windin.com/ns/bulletin.php?id=1672636&amp;type=1</t>
  </si>
  <si>
    <t>http://snap.windin.com/ns/bulletin.php?id=98911&amp;type=1</t>
  </si>
  <si>
    <t>http://snap.windin.com/ns/bulletin.php?id=1186648&amp;type=1</t>
  </si>
  <si>
    <t>http://snap.windin.com/ns/bulletin.php?id=1781190&amp;type=1</t>
  </si>
  <si>
    <t>http://snap.windin.com/ns/bulletin.php?id=457795&amp;type=1</t>
  </si>
  <si>
    <t>http://snap.windin.com/ns/bulletin.php?id=232679&amp;type=1</t>
  </si>
  <si>
    <t>http://snap.windin.com/ns/bulletin.php?id=770593&amp;type=1</t>
  </si>
  <si>
    <t>http://snap.windin.com/ns/bulletin.php?id=1647848&amp;type=1</t>
  </si>
  <si>
    <t>http://snap.windin.com/ns/bulletin.php?id=1536960&amp;type=1</t>
  </si>
  <si>
    <t>http://snap.windin.com/ns/bulletin.php?id=414823&amp;type=1</t>
  </si>
  <si>
    <t>http://snap.windin.com/ns/bulletin.php?id=425096&amp;type=1</t>
  </si>
  <si>
    <t>http://snap.windin.com/ns/bulletin.php?id=785889&amp;type=1</t>
  </si>
  <si>
    <t>http://snap.windin.com/ns/bulletin.php?id=802705&amp;type=1</t>
  </si>
  <si>
    <t>http://snap.windin.com/ns/bulletin.php?id=1721131&amp;type=1</t>
  </si>
  <si>
    <t>http://snap.windin.com/ns/bulletin.php?id=501717&amp;type=1</t>
  </si>
  <si>
    <t>http://snap.windin.com/ns/bulletin.php?id=646788&amp;type=1</t>
  </si>
  <si>
    <t>http://snap.windin.com/ns/bulletin.php?id=1712925&amp;type=1</t>
  </si>
  <si>
    <t>http://snap.windin.com/ns/bulletin.php?id=1899922&amp;type=1</t>
  </si>
  <si>
    <t>http://snap.windin.com/ns/bulletin.php?id=684639&amp;type=1</t>
  </si>
  <si>
    <t>http://snap.windin.com/ns/bulletin.php?id=1500963&amp;type=1</t>
  </si>
  <si>
    <t>http://snap.windin.com/ns/bulletin.php?id=1599793&amp;type=1</t>
  </si>
  <si>
    <t>http://snap.windin.com/ns/bulletin.php?id=1126291&amp;type=1</t>
  </si>
  <si>
    <t>http://snap.windin.com/ns/bulletin.php?id=1885518&amp;type=1</t>
  </si>
  <si>
    <t>http://snap.windin.com/ns/bulletin.php?id=1177441&amp;type=1</t>
  </si>
  <si>
    <t>http://snap.windin.com/ns/bulletin.php?id=168609&amp;type=1</t>
  </si>
  <si>
    <t>http://snap.windin.com/ns/bulletin.php?id=512426&amp;type=1</t>
  </si>
  <si>
    <t>http://snap.windin.com/ns/bulletin.php?id=1478961&amp;type=1</t>
  </si>
  <si>
    <t>http://snap.windin.com/ns/bulletin.php?id=1939482&amp;type=1</t>
  </si>
  <si>
    <t>http://snap.windin.com/ns/bulletin.php?id=1560155&amp;type=1</t>
  </si>
  <si>
    <t>http://snap.windin.com/ns/bulletin.php?id=464202&amp;type=1</t>
  </si>
  <si>
    <t>http://snap.windin.com/ns/bulletin.php?id=1405364&amp;type=1</t>
  </si>
  <si>
    <t>http://snap.windin.com/ns/bulletin.php?id=633808&amp;type=1</t>
  </si>
  <si>
    <t>http://snap.windin.com/ns/bulletin.php?id=1641545&amp;type=1</t>
  </si>
  <si>
    <t>http://snap.windin.com/ns/bulletin.php?id=585850&amp;type=1</t>
  </si>
  <si>
    <t>http://snap.windin.com/ns/bulletin.php?id=1202846&amp;type=1</t>
  </si>
  <si>
    <t>http://snap.windin.com/ns/bulletin.php?id=1152701&amp;type=1</t>
  </si>
  <si>
    <t>http://snap.windin.com/ns/bulletin.php?id=1070443&amp;type=1</t>
  </si>
  <si>
    <t>http://snap.windin.com/ns/bulletin.php?id=1962108&amp;type=1</t>
  </si>
  <si>
    <t>http://snap.windin.com/ns/bulletin.php?id=1477342&amp;type=1</t>
  </si>
  <si>
    <t>http://snap.windin.com/ns/bulletin.php?id=634107&amp;type=1</t>
  </si>
  <si>
    <t>http://snap.windin.com/ns/bulletin.php?id=1476058&amp;type=1</t>
  </si>
  <si>
    <t>http://snap.windin.com/ns/bulletin.php?id=1026157&amp;type=1</t>
  </si>
  <si>
    <t>http://snap.windin.com/ns/bulletin.php?id=2014621&amp;type=1</t>
  </si>
  <si>
    <t>http://snap.windin.com/ns/bulletin.php?id=1046321&amp;type=1</t>
  </si>
  <si>
    <t>http://snap.windin.com/ns/bulletin.php?id=840484&amp;type=1</t>
  </si>
  <si>
    <t>http://snap.windin.com/ns/bulletin.php?id=1226954&amp;type=1</t>
  </si>
  <si>
    <t>http://snap.windin.com/ns/bulletin.php?id=1905853&amp;type=1</t>
  </si>
  <si>
    <t>http://snap.windin.com/ns/bulletin.php?id=942365&amp;type=1</t>
  </si>
  <si>
    <t>http://snap.windin.com/ns/bulletin.php?id=961904&amp;type=1</t>
  </si>
  <si>
    <t>http://snap.windin.com/ns/bulletin.php?id=1577543&amp;type=1</t>
  </si>
  <si>
    <t>http://snap.windin.com/ns/bulletin.php?id=779283&amp;type=1</t>
  </si>
  <si>
    <t>http://snap.windin.com/ns/bulletin.php?id=230537&amp;type=1</t>
  </si>
  <si>
    <t>http://snap.windin.com/ns/bulletin.php?id=947064&amp;type=1</t>
  </si>
  <si>
    <t>http://snap.windin.com/ns/bulletin.php?id=1706098&amp;type=1</t>
  </si>
  <si>
    <t>http://snap.windin.com/ns/bulletin.php?id=1697855&amp;type=1</t>
  </si>
  <si>
    <t>http://snap.windin.com/ns/bulletin.php?id=1754041&amp;type=1</t>
  </si>
  <si>
    <t>http://snap.windin.com/ns/bulletin.php?id=1321341&amp;type=1</t>
  </si>
  <si>
    <t>http://snap.windin.com/ns/bulletin.php?id=1825200&amp;type=1</t>
  </si>
  <si>
    <t>http://snap.windin.com/ns/bulletin.php?id=885978&amp;type=1</t>
  </si>
  <si>
    <t>http://snap.windin.com/ns/bulletin.php?id=1262754&amp;type=1</t>
  </si>
  <si>
    <t>http://snap.windin.com/ns/bulletin.php?id=829065&amp;type=1</t>
  </si>
  <si>
    <t>http://snap.windin.com/ns/bulletin.php?id=589673&amp;type=1</t>
  </si>
  <si>
    <t>http://snap.windin.com/ns/bulletin.php?id=1557557&amp;type=1</t>
  </si>
  <si>
    <t>http://snap.windin.com/ns/bulletin.php?id=119135&amp;type=1</t>
  </si>
  <si>
    <t>http://snap.windin.com/ns/bulletin.php?id=873433&amp;type=1</t>
  </si>
  <si>
    <t>http://snap.windin.com/ns/bulletin.php?id=950969&amp;type=1</t>
  </si>
  <si>
    <t>http://snap.windin.com/ns/bulletin.php?id=769625&amp;type=1</t>
  </si>
  <si>
    <t>http://snap.windin.com/ns/bulletin.php?id=1117410&amp;type=1</t>
  </si>
  <si>
    <t>http://snap.windin.com/ns/bulletin.php?id=1015760&amp;type=1</t>
  </si>
  <si>
    <t>http://snap.windin.com/ns/bulletin.php?id=912617&amp;type=1</t>
  </si>
  <si>
    <t>http://snap.windin.com/ns/bulletin.php?id=1712186&amp;type=1</t>
  </si>
  <si>
    <t>http://snap.windin.com/ns/bulletin.php?id=537669&amp;type=1</t>
  </si>
  <si>
    <t>http://snap.windin.com/ns/bulletin.php?id=1540041&amp;type=1</t>
  </si>
  <si>
    <t>http://snap.windin.com/ns/bulletin.php?id=1726583&amp;type=1</t>
  </si>
  <si>
    <t>http://snap.windin.com/ns/bulletin.php?id=1314590&amp;type=1</t>
  </si>
  <si>
    <t>http://snap.windin.com/ns/bulletin.php?id=1685455&amp;type=1</t>
  </si>
  <si>
    <t>http://snap.windin.com/ns/bulletin.php?id=1238050&amp;type=1</t>
  </si>
  <si>
    <t>http://snap.windin.com/ns/bulletin.php?id=2023507&amp;type=1</t>
  </si>
  <si>
    <t>http://snap.windin.com/ns/bulletin.php?id=1731350&amp;type=1</t>
  </si>
  <si>
    <t>http://snap.windin.com/ns/bulletin.php?id=1238052&amp;type=1</t>
  </si>
  <si>
    <t>http://snap.windin.com/ns/bulletin.php?id=2008389&amp;type=1</t>
  </si>
  <si>
    <t>http://snap.windin.com/ns/bulletin.php?id=89613&amp;type=1</t>
  </si>
  <si>
    <t>http://snap.windin.com/ns/bulletin.php?id=405704&amp;type=1</t>
  </si>
  <si>
    <t>http://snap.windin.com/ns/bulletin.php?id=1558468&amp;type=1</t>
  </si>
  <si>
    <t>http://snap.windin.com/ns/bulletin.php?id=597665&amp;type=1</t>
  </si>
  <si>
    <t>http://snap.windin.com/ns/bulletin.php?id=786236&amp;type=1</t>
  </si>
  <si>
    <t>http://snap.windin.com/ns/bulletin.php?id=566226&amp;type=1</t>
  </si>
  <si>
    <t>http://snap.windin.com/ns/bulletin.php?id=859228&amp;type=1</t>
  </si>
  <si>
    <t>http://snap.windin.com/ns/bulletin.php?id=445462&amp;type=1</t>
  </si>
  <si>
    <t>http://snap.windin.com/ns/bulletin.php?id=553357&amp;type=1</t>
  </si>
  <si>
    <t>http://snap.windin.com/ns/bulletin.php?id=1950050&amp;type=1</t>
  </si>
  <si>
    <t>http://snap.windin.com/ns/bulletin.php?id=2126810&amp;type=1</t>
  </si>
  <si>
    <t>http://snap.windin.com/ns/bulletin.php?id=417111&amp;type=1</t>
  </si>
  <si>
    <t>http://snap.windin.com/ns/bulletin.php?id=596802&amp;type=1</t>
  </si>
  <si>
    <t>http://snap.windin.com/ns/bulletin.php?id=448454&amp;type=1</t>
  </si>
  <si>
    <t>http://snap.windin.com/ns/bulletin.php?id=1745348&amp;type=1</t>
  </si>
  <si>
    <t>http://snap.windin.com/ns/bulletin.php?id=1246786&amp;type=1</t>
  </si>
  <si>
    <t>http://snap.windin.com/ns/bulletin.php?id=1130120&amp;type=1</t>
  </si>
  <si>
    <t>http://snap.windin.com/ns/bulletin.php?id=2122611&amp;type=1</t>
  </si>
  <si>
    <t>http://snap.windin.com/ns/bulletin.php?id=825182&amp;type=1</t>
  </si>
  <si>
    <t>http://snap.windin.com/ns/bulletin.php?id=686279&amp;type=1</t>
  </si>
  <si>
    <t>http://snap.windin.com/ns/bulletin.php?id=1846756&amp;type=1</t>
  </si>
  <si>
    <t>http://snap.windin.com/ns/bulletin.php?id=172409&amp;type=1</t>
  </si>
  <si>
    <t>http://snap.windin.com/ns/bulletin.php?id=1237230&amp;type=1</t>
  </si>
  <si>
    <t>http://snap.windin.com/ns/bulletin.php?id=1461048&amp;type=1</t>
  </si>
  <si>
    <t>http://snap.windin.com/ns/bulletin.php?id=1257592&amp;type=1</t>
  </si>
  <si>
    <t>http://snap.windin.com/ns/bulletin.php?id=1261651&amp;type=1</t>
  </si>
  <si>
    <t>http://snap.windin.com/ns/bulletin.php?id=770532&amp;type=1</t>
  </si>
  <si>
    <t>http://snap.windin.com/ns/bulletin.php?id=1621306&amp;type=1</t>
  </si>
  <si>
    <t>http://snap.windin.com/ns/bulletin.php?id=638187&amp;type=1</t>
  </si>
  <si>
    <t>http://snap.windin.com/ns/bulletin.php?id=810903&amp;type=1</t>
  </si>
  <si>
    <t>http://snap.windin.com/ns/bulletin.php?id=658585&amp;type=1</t>
  </si>
  <si>
    <t>http://snap.windin.com/ns/bulletin.php?id=1545908&amp;type=1</t>
  </si>
  <si>
    <t>http://snap.windin.com/ns/bulletin.php?id=772982&amp;type=1</t>
  </si>
  <si>
    <t>http://snap.windin.com/ns/bulletin.php?id=827302&amp;type=1</t>
  </si>
  <si>
    <t>http://snap.windin.com/ns/bulletin.php?id=1469354&amp;type=1</t>
  </si>
  <si>
    <t>http://snap.windin.com/ns/bulletin.php?id=1123827&amp;type=1</t>
  </si>
  <si>
    <t>http://snap.windin.com/ns/bulletin.php?id=1256841&amp;type=1</t>
  </si>
  <si>
    <t>http://snap.windin.com/ns/bulletin.php?id=2116741&amp;type=1</t>
  </si>
  <si>
    <t>http://snap.windin.com/ns/bulletin.php?id=1324011&amp;type=1</t>
  </si>
  <si>
    <t>http://snap.windin.com/ns/bulletin.php?id=583662&amp;type=1</t>
  </si>
  <si>
    <t>http://snap.windin.com/ns/bulletin.php?id=1646327&amp;type=1</t>
  </si>
  <si>
    <t>http://snap.windin.com/ns/bulletin.php?id=86856&amp;type=1</t>
  </si>
  <si>
    <t>http://snap.windin.com/ns/bulletin.php?id=145325&amp;type=1</t>
  </si>
  <si>
    <t>http://snap.windin.com/ns/bulletin.php?id=1390051&amp;type=1</t>
  </si>
  <si>
    <t>http://snap.windin.com/ns/bulletin.php?id=898337&amp;type=1</t>
  </si>
  <si>
    <t>http://snap.windin.com/ns/bulletin.php?id=1411800&amp;type=1</t>
  </si>
  <si>
    <t>http://snap.windin.com/ns/bulletin.php?id=1481370&amp;type=1</t>
  </si>
  <si>
    <t>http://snap.windin.com/ns/bulletin.php?id=1645386&amp;type=1</t>
  </si>
  <si>
    <t>http://snap.windin.com/ns/bulletin.php?id=463765&amp;type=1</t>
  </si>
  <si>
    <t>http://snap.windin.com/ns/bulletin.php?id=1241947&amp;type=1</t>
  </si>
  <si>
    <t>http://snap.windin.com/ns/bulletin.php?id=1978912&amp;type=1</t>
  </si>
  <si>
    <t>http://snap.windin.com/ns/bulletin.php?id=956285&amp;type=1</t>
  </si>
  <si>
    <t>http://snap.windin.com/ns/bulletin.php?id=1668612&amp;type=1</t>
  </si>
  <si>
    <t>http://snap.windin.com/ns/bulletin.php?id=1566981&amp;type=1</t>
  </si>
  <si>
    <t>http://snap.windin.com/ns/bulletin.php?id=793692&amp;type=1</t>
  </si>
  <si>
    <t>http://snap.windin.com/ns/bulletin.php?id=1859166&amp;type=1</t>
  </si>
  <si>
    <t>http://snap.windin.com/ns/bulletin.php?id=1653201&amp;type=1</t>
  </si>
  <si>
    <t>http://snap.windin.com/ns/bulletin.php?id=1856930&amp;type=1</t>
  </si>
  <si>
    <t>http://snap.windin.com/ns/bulletin.php?id=98345&amp;type=1</t>
  </si>
  <si>
    <t>http://snap.windin.com/ns/bulletin.php?id=721983&amp;type=1</t>
  </si>
  <si>
    <t>http://snap.windin.com/ns/bulletin.php?id=962018&amp;type=1</t>
  </si>
  <si>
    <t>http://snap.windin.com/ns/bulletin.php?id=1180315&amp;type=1</t>
  </si>
  <si>
    <t>http://snap.windin.com/ns/bulletin.php?id=1600571&amp;type=1</t>
  </si>
  <si>
    <t>http://snap.windin.com/ns/bulletin.php?id=1718893&amp;type=1</t>
  </si>
  <si>
    <t>http://snap.windin.com/ns/bulletin.php?id=153854&amp;type=1</t>
  </si>
  <si>
    <t>http://snap.windin.com/ns/bulletin.php?id=2041383&amp;type=1</t>
  </si>
  <si>
    <t>http://snap.windin.com/ns/bulletin.php?id=930220&amp;type=1</t>
  </si>
  <si>
    <t>http://snap.windin.com/ns/bulletin.php?id=1650660&amp;type=1</t>
  </si>
  <si>
    <t>http://snap.windin.com/ns/bulletin.php?id=1056256&amp;type=1</t>
  </si>
  <si>
    <t>http://snap.windin.com/ns/bulletin.php?id=810171&amp;type=1</t>
  </si>
  <si>
    <t>http://snap.windin.com/ns/bulletin.php?id=1343380&amp;type=1</t>
  </si>
  <si>
    <t>http://snap.windin.com/ns/bulletin.php?id=1844495&amp;type=1</t>
  </si>
  <si>
    <t>http://snap.windin.com/ns/bulletin.php?id=1563343&amp;type=1</t>
  </si>
  <si>
    <t>http://snap.windin.com/ns/bulletin.php?id=429834&amp;type=1</t>
  </si>
  <si>
    <t>http://snap.windin.com/ns/bulletin.php?id=1720342&amp;type=1</t>
  </si>
  <si>
    <t>http://snap.windin.com/ns/bulletin.php?id=1929989&amp;type=1</t>
  </si>
  <si>
    <t>http://snap.windin.com/ns/bulletin.php?id=936104&amp;type=1</t>
  </si>
  <si>
    <t>http://snap.windin.com/ns/bulletin.php?id=495008&amp;type=1</t>
  </si>
  <si>
    <t>http://snap.windin.com/ns/bulletin.php?id=236429&amp;type=1</t>
  </si>
  <si>
    <t>http://snap.windin.com/ns/bulletin.php?id=1182468&amp;type=1</t>
  </si>
  <si>
    <t>http://snap.windin.com/ns/bulletin.php?id=756936&amp;type=1</t>
  </si>
  <si>
    <t>http://snap.windin.com/ns/bulletin.php?id=952687&amp;type=1</t>
  </si>
  <si>
    <t>http://snap.windin.com/ns/bulletin.php?id=546153&amp;type=1</t>
  </si>
  <si>
    <t>http://snap.windin.com/ns/bulletin.php?id=80429&amp;type=1</t>
  </si>
  <si>
    <t>http://snap.windin.com/ns/bulletin.php?id=1982435&amp;type=1</t>
  </si>
  <si>
    <t>http://snap.windin.com/ns/bulletin.php?id=402282&amp;type=1</t>
  </si>
  <si>
    <t>http://snap.windin.com/ns/bulletin.php?id=1861113&amp;type=1</t>
  </si>
  <si>
    <t>http://snap.windin.com/ns/bulletin.php?id=1945413&amp;type=1</t>
  </si>
  <si>
    <t>http://snap.windin.com/ns/bulletin.php?id=1319567&amp;type=1</t>
  </si>
  <si>
    <t>http://snap.windin.com/ns/bulletin.php?id=2129163&amp;type=1</t>
  </si>
  <si>
    <t>http://snap.windin.com/ns/bulletin.php?id=1665642&amp;type=1</t>
  </si>
  <si>
    <t>http://snap.windin.com/ns/bulletin.php?id=187465&amp;type=1</t>
  </si>
  <si>
    <t>http://snap.windin.com/ns/bulletin.php?id=221991&amp;type=1</t>
  </si>
  <si>
    <t>http://snap.windin.com/ns/bulletin.php?id=1859881&amp;type=1</t>
  </si>
  <si>
    <t>http://snap.windin.com/ns/bulletin.php?id=1747454&amp;type=1</t>
  </si>
  <si>
    <t>http://snap.windin.com/ns/bulletin.php?id=1895377&amp;type=1</t>
  </si>
  <si>
    <t>http://snap.windin.com/ns/bulletin.php?id=596556&amp;type=1</t>
  </si>
  <si>
    <t>http://snap.windin.com/ns/bulletin.php?id=1384412&amp;type=1</t>
  </si>
  <si>
    <t>http://snap.windin.com/ns/bulletin.php?id=809275&amp;type=1</t>
  </si>
  <si>
    <t>http://snap.windin.com/ns/bulletin.php?id=1895154&amp;type=1</t>
  </si>
  <si>
    <t>http://snap.windin.com/ns/bulletin.php?id=1653520&amp;type=1</t>
  </si>
  <si>
    <t>http://snap.windin.com/ns/bulletin.php?id=1643509&amp;type=1</t>
  </si>
  <si>
    <t>http://snap.windin.com/ns/bulletin.php?id=1070721&amp;type=1</t>
  </si>
  <si>
    <t>http://snap.windin.com/ns/bulletin.php?id=1223566&amp;type=1</t>
  </si>
  <si>
    <t>http://snap.windin.com/ns/bulletin.php?id=211157&amp;type=1</t>
  </si>
  <si>
    <t>http://snap.windin.com/ns/bulletin.php?id=1704740&amp;type=1</t>
  </si>
  <si>
    <t>http://snap.windin.com/ns/bulletin.php?id=1650755&amp;type=1</t>
  </si>
  <si>
    <t>http://snap.windin.com/ns/bulletin.php?id=903387&amp;type=1</t>
  </si>
  <si>
    <t>http://snap.windin.com/ns/bulletin.php?id=712023&amp;type=1</t>
  </si>
  <si>
    <t>http://snap.windin.com/ns/bulletin.php?id=2055436&amp;type=1</t>
  </si>
  <si>
    <t>http://snap.windin.com/ns/bulletin.php?id=2003338&amp;type=1</t>
  </si>
  <si>
    <t>http://snap.windin.com/ns/bulletin.php?id=1465438&amp;type=1</t>
  </si>
  <si>
    <t>http://snap.windin.com/ns/bulletin.php?id=1234872&amp;type=1</t>
  </si>
  <si>
    <t>http://snap.windin.com/ns/bulletin.php?id=1397163&amp;type=1</t>
  </si>
  <si>
    <t>http://snap.windin.com/ns/bulletin.php?id=1541196&amp;type=1</t>
  </si>
  <si>
    <t>http://snap.windin.com/ns/bulletin.php?id=1990294&amp;type=1</t>
  </si>
  <si>
    <t>http://snap.windin.com/ns/bulletin.php?id=1964210&amp;type=1</t>
  </si>
  <si>
    <t>http://snap.windin.com/ns/bulletin.php?id=1917782&amp;type=1</t>
  </si>
  <si>
    <t>http://snap.windin.com/ns/bulletin.php?id=1530321&amp;type=1</t>
  </si>
  <si>
    <t>http://snap.windin.com/ns/bulletin.php?id=681323&amp;type=1</t>
  </si>
  <si>
    <t>http://snap.windin.com/ns/bulletin.php?id=874578&amp;type=1</t>
  </si>
  <si>
    <t>http://snap.windin.com/ns/bulletin.php?id=706408&amp;type=1</t>
  </si>
  <si>
    <t>http://snap.windin.com/ns/bulletin.php?id=587732&amp;type=1</t>
  </si>
  <si>
    <t>http://snap.windin.com/ns/bulletin.php?id=1843114&amp;type=1</t>
  </si>
  <si>
    <t>http://snap.windin.com/ns/bulletin.php?id=1848191&amp;type=1</t>
  </si>
  <si>
    <t>http://snap.windin.com/ns/bulletin.php?id=1889378&amp;type=1</t>
  </si>
  <si>
    <t>http://snap.windin.com/ns/bulletin.php?id=2077331&amp;type=1</t>
  </si>
  <si>
    <t>http://snap.windin.com/ns/bulletin.php?id=801656&amp;type=1</t>
  </si>
  <si>
    <t>http://snap.windin.com/ns/bulletin.php?id=1553528&amp;type=1</t>
  </si>
  <si>
    <t>http://snap.windin.com/ns/bulletin.php?id=797632&amp;type=1</t>
  </si>
  <si>
    <t>http://snap.windin.com/ns/bulletin.php?id=1427167&amp;type=1</t>
  </si>
  <si>
    <t>http://snap.windin.com/ns/bulletin.php?id=1010185&amp;type=1</t>
  </si>
  <si>
    <t>http://snap.windin.com/ns/bulletin.php?id=1284411&amp;type=1</t>
  </si>
  <si>
    <t>http://snap.windin.com/ns/bulletin.php?id=239871&amp;type=1</t>
  </si>
  <si>
    <t>http://snap.windin.com/ns/bulletin.php?id=1568933&amp;type=1</t>
  </si>
  <si>
    <t>http://snap.windin.com/ns/bulletin.php?id=211329&amp;type=1</t>
  </si>
  <si>
    <t>http://snap.windin.com/ns/bulletin.php?id=2066791&amp;type=1</t>
  </si>
  <si>
    <t>http://snap.windin.com/ns/bulletin.php?id=771743&amp;type=1</t>
  </si>
  <si>
    <t>http://snap.windin.com/ns/bulletin.php?id=1078538&amp;type=1</t>
  </si>
  <si>
    <t>http://snap.windin.com/ns/bulletin.php?id=517883&amp;type=1</t>
  </si>
  <si>
    <t>http://snap.windin.com/ns/bulletin.php?id=1687107&amp;type=1</t>
  </si>
  <si>
    <t>http://snap.windin.com/ns/bulletin.php?id=1758090&amp;type=1</t>
  </si>
  <si>
    <t>http://snap.windin.com/ns/bulletin.php?id=418069&amp;type=1</t>
  </si>
  <si>
    <t>http://snap.windin.com/ns/bulletin.php?id=1910652&amp;type=1</t>
  </si>
  <si>
    <t>http://snap.windin.com/ns/bulletin.php?id=1767873&amp;type=1</t>
  </si>
  <si>
    <t>http://snap.windin.com/ns/bulletin.php?id=1333612&amp;type=1</t>
  </si>
  <si>
    <t>http://snap.windin.com/ns/bulletin.php?id=1312354&amp;type=1</t>
  </si>
  <si>
    <t>http://snap.windin.com/ns/bulletin.php?id=2112950&amp;type=1</t>
  </si>
  <si>
    <t>http://snap.windin.com/ns/bulletin.php?id=1949764&amp;type=1</t>
  </si>
  <si>
    <t>http://snap.windin.com/ns/bulletin.php?id=798147&amp;type=1</t>
  </si>
  <si>
    <t>http://snap.windin.com/ns/bulletin.php?id=1137988&amp;type=1</t>
  </si>
  <si>
    <t>http://snap.windin.com/ns/bulletin.php?id=943442&amp;type=1</t>
  </si>
  <si>
    <t>http://snap.windin.com/ns/bulletin.php?id=95685&amp;type=1</t>
  </si>
  <si>
    <t>http://snap.windin.com/ns/bulletin.php?id=1835225&amp;type=1</t>
  </si>
  <si>
    <t>http://snap.windin.com/ns/bulletin.php?id=1877438&amp;type=1</t>
  </si>
  <si>
    <t>http://snap.windin.com/ns/bulletin.php?id=795832&amp;type=1</t>
  </si>
  <si>
    <t>http://snap.windin.com/ns/bulletin.php?id=899324&amp;type=1</t>
  </si>
  <si>
    <t>http://snap.windin.com/ns/bulletin.php?id=438790&amp;type=1</t>
  </si>
  <si>
    <t>http://snap.windin.com/ns/bulletin.php?id=2040084&amp;type=1</t>
  </si>
  <si>
    <t>http://snap.windin.com/ns/bulletin.php?id=2050736&amp;type=1</t>
  </si>
  <si>
    <t>http://snap.windin.com/ns/bulletin.php?id=1743000&amp;type=1</t>
  </si>
  <si>
    <t>http://snap.windin.com/ns/bulletin.php?id=1988196&amp;type=1</t>
  </si>
  <si>
    <t>http://snap.windin.com/ns/bulletin.php?id=1309508&amp;type=1</t>
  </si>
  <si>
    <t>http://snap.windin.com/ns/bulletin.php?id=1869459&amp;type=1</t>
  </si>
  <si>
    <t>http://snap.windin.com/ns/bulletin.php?id=1773091&amp;type=1</t>
  </si>
  <si>
    <t>http://snap.windin.com/ns/bulletin.php?id=200130&amp;type=1</t>
  </si>
  <si>
    <t>http://snap.windin.com/ns/bulletin.php?id=1993097&amp;type=1</t>
  </si>
  <si>
    <t>http://snap.windin.com/ns/bulletin.php?id=1498537&amp;type=1</t>
  </si>
  <si>
    <t>http://snap.windin.com/ns/bulletin.php?id=920613&amp;type=1</t>
  </si>
  <si>
    <t>http://snap.windin.com/ns/bulletin.php?id=577567&amp;type=1</t>
  </si>
  <si>
    <t>http://snap.windin.com/ns/bulletin.php?id=645778&amp;type=1</t>
  </si>
  <si>
    <t>http://snap.windin.com/ns/bulletin.php?id=566447&amp;type=1</t>
  </si>
  <si>
    <t>http://snap.windin.com/ns/bulletin.php?id=1508349&amp;type=1</t>
  </si>
  <si>
    <t>http://snap.windin.com/ns/bulletin.php?id=905550&amp;type=1</t>
  </si>
  <si>
    <t>http://snap.windin.com/ns/bulletin.php?id=198758&amp;type=1</t>
  </si>
  <si>
    <t>http://snap.windin.com/ns/bulletin.php?id=710181&amp;type=1</t>
  </si>
  <si>
    <t>http://snap.windin.com/ns/bulletin.php?id=131753&amp;type=1</t>
  </si>
  <si>
    <t>http://snap.windin.com/ns/bulletin.php?id=901768&amp;type=1</t>
  </si>
  <si>
    <t>http://snap.windin.com/ns/bulletin.php?id=966529&amp;type=1</t>
  </si>
  <si>
    <t>http://snap.windin.com/ns/bulletin.php?id=813325&amp;type=1</t>
  </si>
  <si>
    <t>http://snap.windin.com/ns/bulletin.php?id=1853386&amp;type=1</t>
  </si>
  <si>
    <t>http://snap.windin.com/ns/bulletin.php?id=1249606&amp;type=1</t>
  </si>
  <si>
    <t>http://snap.windin.com/ns/bulletin.php?id=1971984&amp;type=1</t>
  </si>
  <si>
    <t>http://snap.windin.com/ns/bulletin.php?id=222040&amp;type=1</t>
  </si>
  <si>
    <t>http://snap.windin.com/ns/bulletin.php?id=1964750&amp;type=1</t>
  </si>
  <si>
    <t>http://snap.windin.com/ns/bulletin.php?id=1047204&amp;type=1</t>
  </si>
  <si>
    <t>http://snap.windin.com/ns/bulletin.php?id=1197774&amp;type=1</t>
  </si>
  <si>
    <t>http://snap.windin.com/ns/bulletin.php?id=522579&amp;type=1</t>
  </si>
  <si>
    <t>http://snap.windin.com/ns/bulletin.php?id=2067749&amp;type=1</t>
  </si>
  <si>
    <t>http://snap.windin.com/ns/bulletin.php?id=1690613&amp;type=1</t>
  </si>
  <si>
    <t>http://snap.windin.com/ns/bulletin.php?id=1595228&amp;type=1</t>
  </si>
  <si>
    <t>http://snap.windin.com/ns/bulletin.php?id=124037&amp;type=1</t>
  </si>
  <si>
    <t>http://snap.windin.com/ns/bulletin.php?id=1693066&amp;type=1</t>
  </si>
  <si>
    <t>http://snap.windin.com/ns/bulletin.php?id=1591260&amp;type=1</t>
  </si>
  <si>
    <t>http://snap.windin.com/ns/bulletin.php?id=140589&amp;type=1</t>
  </si>
  <si>
    <t>http://snap.windin.com/ns/bulletin.php?id=1587453&amp;type=1</t>
  </si>
  <si>
    <t>http://snap.windin.com/ns/bulletin.php?id=1660314&amp;type=1</t>
  </si>
  <si>
    <t>http://snap.windin.com/ns/bulletin.php?id=107815&amp;type=1</t>
  </si>
  <si>
    <t>http://snap.windin.com/ns/bulletin.php?id=701334&amp;type=1</t>
  </si>
  <si>
    <t>http://snap.windin.com/ns/bulletin.php?id=1927910&amp;type=1</t>
  </si>
  <si>
    <t>http://snap.windin.com/ns/bulletin.php?id=1195872&amp;type=1</t>
  </si>
  <si>
    <t>http://snap.windin.com/ns/bulletin.php?id=1735832&amp;type=1</t>
  </si>
  <si>
    <t>http://snap.windin.com/ns/bulletin.php?id=2116234&amp;type=1</t>
  </si>
  <si>
    <t>http://snap.windin.com/ns/bulletin.php?id=1599269&amp;type=1</t>
  </si>
  <si>
    <t>http://snap.windin.com/ns/bulletin.php?id=1808594&amp;type=1</t>
  </si>
  <si>
    <t>http://snap.windin.com/ns/bulletin.php?id=2069131&amp;type=1</t>
  </si>
  <si>
    <t>http://snap.windin.com/ns/bulletin.php?id=1722103&amp;type=1</t>
  </si>
  <si>
    <t>http://snap.windin.com/ns/bulletin.php?id=1626463&amp;type=1</t>
  </si>
  <si>
    <t>http://snap.windin.com/ns/bulletin.php?id=1571369&amp;type=1</t>
  </si>
  <si>
    <t>http://snap.windin.com/ns/bulletin.php?id=959182&amp;type=1</t>
  </si>
  <si>
    <t>http://snap.windin.com/ns/bulletin.php?id=125948&amp;type=1</t>
  </si>
  <si>
    <t>http://snap.windin.com/ns/bulletin.php?id=955409&amp;type=1</t>
  </si>
  <si>
    <t>http://snap.windin.com/ns/bulletin.php?id=587522&amp;type=1</t>
  </si>
  <si>
    <t>http://snap.windin.com/ns/bulletin.php?id=626317&amp;type=1</t>
  </si>
  <si>
    <t>http://snap.windin.com/ns/bulletin.php?id=2005801&amp;type=1</t>
  </si>
  <si>
    <t>http://snap.windin.com/ns/bulletin.php?id=212225&amp;type=1</t>
  </si>
  <si>
    <t>http://snap.windin.com/ns/bulletin.php?id=1315789&amp;type=1</t>
  </si>
  <si>
    <t>http://snap.windin.com/ns/bulletin.php?id=1619315&amp;type=1</t>
  </si>
  <si>
    <t>http://snap.windin.com/ns/bulletin.php?id=1426424&amp;type=1</t>
  </si>
  <si>
    <t>http://snap.windin.com/ns/bulletin.php?id=1735237&amp;type=1</t>
  </si>
  <si>
    <t>http://snap.windin.com/ns/bulletin.php?id=1426090&amp;type=1</t>
  </si>
  <si>
    <t>http://snap.windin.com/ns/bulletin.php?id=1761238&amp;type=1</t>
  </si>
  <si>
    <t>http://snap.windin.com/ns/bulletin.php?id=410016&amp;type=1</t>
  </si>
  <si>
    <t>http://snap.windin.com/ns/bulletin.php?id=1668245&amp;type=1</t>
  </si>
  <si>
    <t>http://snap.windin.com/ns/bulletin.php?id=632522&amp;type=1</t>
  </si>
  <si>
    <t>http://snap.windin.com/ns/bulletin.php?id=1947992&amp;type=1</t>
  </si>
  <si>
    <t>http://snap.windin.com/ns/bulletin.php?id=1986848&amp;type=1</t>
  </si>
  <si>
    <t>http://snap.windin.com/ns/bulletin.php?id=1312048&amp;type=1</t>
  </si>
  <si>
    <t>http://snap.windin.com/ns/bulletin.php?id=1794178&amp;type=1</t>
  </si>
  <si>
    <t>http://snap.windin.com/ns/bulletin.php?id=415575&amp;type=1</t>
  </si>
  <si>
    <t>http://snap.windin.com/ns/bulletin.php?id=955278&amp;type=1</t>
  </si>
  <si>
    <t>http://snap.windin.com/ns/bulletin.php?id=1106102&amp;type=1</t>
  </si>
  <si>
    <t>http://snap.windin.com/ns/bulletin.php?id=1868865&amp;type=1</t>
  </si>
  <si>
    <t>http://snap.windin.com/ns/bulletin.php?id=1505115&amp;type=1</t>
  </si>
  <si>
    <t>http://snap.windin.com/ns/bulletin.php?id=96466&amp;type=1</t>
  </si>
  <si>
    <t>http://snap.windin.com/ns/bulletin.php?id=1919638&amp;type=1</t>
  </si>
  <si>
    <t>http://snap.windin.com/ns/bulletin.php?id=2080367&amp;type=1</t>
  </si>
  <si>
    <t>http://snap.windin.com/ns/bulletin.php?id=185052&amp;type=1</t>
  </si>
  <si>
    <t>http://snap.windin.com/ns/bulletin.php?id=1410079&amp;type=1</t>
  </si>
  <si>
    <t>http://snap.windin.com/ns/bulletin.php?id=1952470&amp;type=1</t>
  </si>
  <si>
    <t>http://snap.windin.com/ns/bulletin.php?id=1616942&amp;type=1</t>
  </si>
  <si>
    <t>http://snap.windin.com/ns/bulletin.php?id=758834&amp;type=1</t>
  </si>
  <si>
    <t>http://snap.windin.com/ns/bulletin.php?id=463850&amp;type=1</t>
  </si>
  <si>
    <t>http://snap.windin.com/ns/bulletin.php?id=984053&amp;type=1</t>
  </si>
  <si>
    <t>http://snap.windin.com/ns/bulletin.php?id=2036918&amp;type=1</t>
  </si>
  <si>
    <t>http://snap.windin.com/ns/bulletin.php?id=588532&amp;type=1</t>
  </si>
  <si>
    <t>http://snap.windin.com/ns/bulletin.php?id=1707287&amp;type=1</t>
  </si>
  <si>
    <t>http://snap.windin.com/ns/bulletin.php?id=1733963&amp;type=1</t>
  </si>
  <si>
    <t>http://snap.windin.com/ns/bulletin.php?id=2103150&amp;type=1</t>
  </si>
  <si>
    <t>http://snap.windin.com/ns/bulletin.php?id=1589909&amp;type=1</t>
  </si>
  <si>
    <t>http://snap.windin.com/ns/bulletin.php?id=1104507&amp;type=1</t>
  </si>
  <si>
    <t>http://snap.windin.com/ns/bulletin.php?id=1170456&amp;type=1</t>
  </si>
  <si>
    <t>http://snap.windin.com/ns/bulletin.php?id=1720764&amp;type=1</t>
  </si>
  <si>
    <t>http://snap.windin.com/ns/bulletin.php?id=961376&amp;type=1</t>
  </si>
  <si>
    <t>http://snap.windin.com/ns/bulletin.php?id=1758192&amp;type=1</t>
  </si>
  <si>
    <t>http://snap.windin.com/ns/bulletin.php?id=456555&amp;type=1</t>
  </si>
  <si>
    <t>http://snap.windin.com/ns/bulletin.php?id=1210478&amp;type=1</t>
  </si>
  <si>
    <t>http://snap.windin.com/ns/bulletin.php?id=1685491&amp;type=1</t>
  </si>
  <si>
    <t>http://snap.windin.com/ns/bulletin.php?id=1452264&amp;type=1</t>
  </si>
  <si>
    <t>http://snap.windin.com/ns/bulletin.php?id=1545031&amp;type=1</t>
  </si>
  <si>
    <t>http://snap.windin.com/ns/bulletin.php?id=1901813&amp;type=1</t>
  </si>
  <si>
    <t>http://snap.windin.com/ns/bulletin.php?id=782973&amp;type=1</t>
  </si>
  <si>
    <t>http://snap.windin.com/ns/bulletin.php?id=766025&amp;type=1</t>
  </si>
  <si>
    <t>http://snap.windin.com/ns/bulletin.php?id=1660331&amp;type=1</t>
  </si>
  <si>
    <t>http://snap.windin.com/ns/bulletin.php?id=1580343&amp;type=1</t>
  </si>
  <si>
    <t>http://snap.windin.com/ns/bulletin.php?id=993513&amp;type=1</t>
  </si>
  <si>
    <t>http://snap.windin.com/ns/bulletin.php?id=2071928&amp;type=1</t>
  </si>
  <si>
    <t>http://snap.windin.com/ns/bulletin.php?id=1910377&amp;type=1</t>
  </si>
  <si>
    <t>http://snap.windin.com/ns/bulletin.php?id=1162823&amp;type=1</t>
  </si>
  <si>
    <t>http://snap.windin.com/ns/bulletin.php?id=1058858&amp;type=1</t>
  </si>
  <si>
    <t>http://snap.windin.com/ns/bulletin.php?id=1259369&amp;type=1</t>
  </si>
  <si>
    <t>http://snap.windin.com/ns/bulletin.php?id=594797&amp;type=1</t>
  </si>
  <si>
    <t>http://snap.windin.com/ns/bulletin.php?id=941104&amp;type=1</t>
  </si>
  <si>
    <t>http://snap.windin.com/ns/bulletin.php?id=1764024&amp;type=1</t>
  </si>
  <si>
    <t>http://snap.windin.com/ns/bulletin.php?id=774634&amp;type=1</t>
  </si>
  <si>
    <t>http://snap.windin.com/ns/bulletin.php?id=959114&amp;type=1</t>
  </si>
  <si>
    <t>http://snap.windin.com/ns/bulletin.php?id=408058&amp;type=1</t>
  </si>
  <si>
    <t>http://snap.windin.com/ns/bulletin.php?id=1246470&amp;type=1</t>
  </si>
  <si>
    <t>http://snap.windin.com/ns/bulletin.php?id=2091862&amp;type=1</t>
  </si>
  <si>
    <t>http://snap.windin.com/ns/bulletin.php?id=1538077&amp;type=1</t>
  </si>
  <si>
    <t>http://snap.windin.com/ns/bulletin.php?id=1609938&amp;type=1</t>
  </si>
  <si>
    <t>http://snap.windin.com/ns/bulletin.php?id=2108015&amp;type=1</t>
  </si>
  <si>
    <t>http://snap.windin.com/ns/bulletin.php?id=219030&amp;type=1</t>
  </si>
  <si>
    <t>http://snap.windin.com/ns/bulletin.php?id=720646&amp;type=1</t>
  </si>
  <si>
    <t>http://snap.windin.com/ns/bulletin.php?id=1350277&amp;type=1</t>
  </si>
  <si>
    <t>http://snap.windin.com/ns/bulletin.php?id=1258801&amp;type=1</t>
  </si>
  <si>
    <t>http://snap.windin.com/ns/bulletin.php?id=743175&amp;type=1</t>
  </si>
  <si>
    <t>http://snap.windin.com/ns/bulletin.php?id=1031907&amp;type=1</t>
  </si>
  <si>
    <t>http://snap.windin.com/ns/bulletin.php?id=2002321&amp;type=1</t>
  </si>
  <si>
    <t>http://snap.windin.com/ns/bulletin.php?id=1400084&amp;type=1</t>
  </si>
  <si>
    <t>http://snap.windin.com/ns/bulletin.php?id=579985&amp;type=1</t>
  </si>
  <si>
    <t>http://snap.windin.com/ns/bulletin.php?id=2126116&amp;type=1</t>
  </si>
  <si>
    <t>http://snap.windin.com/ns/bulletin.php?id=2114514&amp;type=1</t>
  </si>
  <si>
    <t>http://snap.windin.com/ns/bulletin.php?id=865947&amp;type=1</t>
  </si>
  <si>
    <t>http://snap.windin.com/ns/bulletin.php?id=446282&amp;type=1</t>
  </si>
  <si>
    <t>http://snap.windin.com/ns/bulletin.php?id=908298&amp;type=1</t>
  </si>
  <si>
    <t>http://snap.windin.com/ns/bulletin.php?id=1200694&amp;type=1</t>
  </si>
  <si>
    <t>http://snap.windin.com/ns/bulletin.php?id=1638064&amp;type=1</t>
  </si>
  <si>
    <t>http://snap.windin.com/ns/bulletin.php?id=796506&amp;type=1</t>
  </si>
  <si>
    <t>http://snap.windin.com/ns/bulletin.php?id=416852&amp;type=1</t>
  </si>
  <si>
    <t>http://snap.windin.com/ns/bulletin.php?id=405030&amp;type=1</t>
  </si>
  <si>
    <t>http://snap.windin.com/ns/bulletin.php?id=556073&amp;type=1</t>
  </si>
  <si>
    <t>http://snap.windin.com/ns/bulletin.php?id=1629707&amp;type=1</t>
  </si>
  <si>
    <t>http://snap.windin.com/ns/bulletin.php?id=183871&amp;type=1</t>
  </si>
  <si>
    <t>http://snap.windin.com/ns/bulletin.php?id=578672&amp;type=1</t>
  </si>
  <si>
    <t>http://snap.windin.com/ns/bulletin.php?id=1523870&amp;type=1</t>
  </si>
  <si>
    <t>http://snap.windin.com/ns/bulletin.php?id=805072&amp;type=1</t>
  </si>
  <si>
    <t>http://snap.windin.com/ns/bulletin.php?id=1895490&amp;type=1</t>
  </si>
  <si>
    <t>http://snap.windin.com/ns/bulletin.php?id=1771087&amp;type=1</t>
  </si>
  <si>
    <t>http://snap.windin.com/ns/bulletin.php?id=1637477&amp;type=1</t>
  </si>
  <si>
    <t>http://snap.windin.com/ns/bulletin.php?id=1831128&amp;type=1</t>
  </si>
  <si>
    <t>http://snap.windin.com/ns/bulletin.php?id=949278&amp;type=1</t>
  </si>
  <si>
    <t>http://snap.windin.com/ns/bulletin.php?id=1584686&amp;type=1</t>
  </si>
  <si>
    <t>http://snap.windin.com/ns/bulletin.php?id=1485622&amp;type=1</t>
  </si>
  <si>
    <t>http://snap.windin.com/ns/bulletin.php?id=1726917&amp;type=1</t>
  </si>
  <si>
    <t>http://snap.windin.com/ns/bulletin.php?id=1842539&amp;type=1</t>
  </si>
  <si>
    <t>http://snap.windin.com/ns/bulletin.php?id=1529043&amp;type=1</t>
  </si>
  <si>
    <t>http://snap.windin.com/ns/bulletin.php?id=1448773&amp;type=1</t>
  </si>
  <si>
    <t>http://snap.windin.com/ns/bulletin.php?id=1152585&amp;type=1</t>
  </si>
  <si>
    <t>http://snap.windin.com/ns/bulletin.php?id=227437&amp;type=1</t>
  </si>
  <si>
    <t>http://snap.windin.com/ns/bulletin.php?id=1270038&amp;type=1</t>
  </si>
  <si>
    <t>http://snap.windin.com/ns/bulletin.php?id=444129&amp;type=1</t>
  </si>
  <si>
    <t>http://snap.windin.com/ns/bulletin.php?id=1808953&amp;type=1</t>
  </si>
  <si>
    <t>http://snap.windin.com/ns/bulletin.php?id=1222231&amp;type=1</t>
  </si>
  <si>
    <t>http://snap.windin.com/ns/bulletin.php?id=1980393&amp;type=1</t>
  </si>
  <si>
    <t>http://snap.windin.com/ns/bulletin.php?id=199449&amp;type=1</t>
  </si>
  <si>
    <t>http://snap.windin.com/ns/bulletin.php?id=1408253&amp;type=1</t>
  </si>
  <si>
    <t>http://snap.windin.com/ns/bulletin.php?id=418193&amp;type=1</t>
  </si>
  <si>
    <t>http://snap.windin.com/ns/bulletin.php?id=2075674&amp;type=1</t>
  </si>
  <si>
    <t>http://snap.windin.com/ns/bulletin.php?id=221766&amp;type=1</t>
  </si>
  <si>
    <t>http://snap.windin.com/ns/bulletin.php?id=1018461&amp;type=1</t>
  </si>
  <si>
    <t>http://snap.windin.com/ns/bulletin.php?id=2012696&amp;type=1</t>
  </si>
  <si>
    <t>http://snap.windin.com/ns/bulletin.php?id=1099662&amp;type=1</t>
  </si>
  <si>
    <t>http://snap.windin.com/ns/bulletin.php?id=483077&amp;type=1</t>
  </si>
  <si>
    <t>http://snap.windin.com/ns/bulletin.php?id=142223&amp;type=1</t>
  </si>
  <si>
    <t>http://snap.windin.com/ns/bulletin.php?id=1902215&amp;type=1</t>
  </si>
  <si>
    <t>http://snap.windin.com/ns/bulletin.php?id=1689605&amp;type=1</t>
  </si>
  <si>
    <t>http://snap.windin.com/ns/bulletin.php?id=625393&amp;type=1</t>
  </si>
  <si>
    <t>http://snap.windin.com/ns/bulletin.php?id=1206626&amp;type=1</t>
  </si>
  <si>
    <t>http://snap.windin.com/ns/bulletin.php?id=1609215&amp;type=1</t>
  </si>
  <si>
    <t>http://snap.windin.com/ns/bulletin.php?id=685324&amp;type=1</t>
  </si>
  <si>
    <t>http://snap.windin.com/ns/bulletin.php?id=1557502&amp;type=1</t>
  </si>
  <si>
    <t>http://snap.windin.com/ns/bulletin.php?id=594027&amp;type=1</t>
  </si>
  <si>
    <t>http://snap.windin.com/ns/bulletin.php?id=1177237&amp;type=1</t>
  </si>
  <si>
    <t>http://snap.windin.com/ns/bulletin.php?id=731558&amp;type=1</t>
  </si>
  <si>
    <t>http://snap.windin.com/ns/bulletin.php?id=1695182&amp;type=1</t>
  </si>
  <si>
    <t>http://snap.windin.com/ns/bulletin.php?id=1527100&amp;type=1</t>
  </si>
  <si>
    <t>http://snap.windin.com/ns/bulletin.php?id=1423370&amp;type=1</t>
  </si>
  <si>
    <t>http://snap.windin.com/ns/bulletin.php?id=1557274&amp;type=1</t>
  </si>
  <si>
    <t>http://snap.windin.com/ns/bulletin.php?id=1891649&amp;type=1</t>
  </si>
  <si>
    <t>http://snap.windin.com/ns/bulletin.php?id=2024476&amp;type=1</t>
  </si>
  <si>
    <t>http://snap.windin.com/ns/bulletin.php?id=987445&amp;type=1</t>
  </si>
  <si>
    <t>http://snap.windin.com/ns/bulletin.php?id=1553936&amp;type=1</t>
  </si>
  <si>
    <t>http://snap.windin.com/ns/bulletin.php?id=172158&amp;type=1</t>
  </si>
  <si>
    <t>http://snap.windin.com/ns/bulletin.php?id=1755755&amp;type=1</t>
  </si>
  <si>
    <t>http://snap.windin.com/ns/bulletin.php?id=545053&amp;type=1</t>
  </si>
  <si>
    <t>http://snap.windin.com/ns/bulletin.php?id=1506378&amp;type=1</t>
  </si>
  <si>
    <t>http://snap.windin.com/ns/bulletin.php?id=1418989&amp;type=1</t>
  </si>
  <si>
    <t>http://snap.windin.com/ns/bulletin.php?id=454129&amp;type=1</t>
  </si>
  <si>
    <t>http://snap.windin.com/ns/bulletin.php?id=1719107&amp;type=1</t>
  </si>
  <si>
    <t>http://snap.windin.com/ns/bulletin.php?id=1905355&amp;type=1</t>
  </si>
  <si>
    <t>http://snap.windin.com/ns/bulletin.php?id=1791051&amp;type=1</t>
  </si>
  <si>
    <t>http://snap.windin.com/ns/bulletin.php?id=1949128&amp;type=1</t>
  </si>
  <si>
    <t>http://snap.windin.com/ns/bulletin.php?id=1580860&amp;type=1</t>
  </si>
  <si>
    <t>http://snap.windin.com/ns/bulletin.php?id=1022479&amp;type=1</t>
  </si>
  <si>
    <t>http://snap.windin.com/ns/bulletin.php?id=110807&amp;type=1</t>
  </si>
  <si>
    <t>http://snap.windin.com/ns/bulletin.php?id=1579620&amp;type=1</t>
  </si>
  <si>
    <t>http://snap.windin.com/ns/bulletin.php?id=905620&amp;type=1</t>
  </si>
  <si>
    <t>http://snap.windin.com/ns/bulletin.php?id=1332226&amp;type=1</t>
  </si>
  <si>
    <t>http://snap.windin.com/ns/bulletin.php?id=966585&amp;type=1</t>
  </si>
  <si>
    <t>http://snap.windin.com/ns/bulletin.php?id=204280&amp;type=1</t>
  </si>
  <si>
    <t>http://snap.windin.com/ns/bulletin.php?id=2018764&amp;type=1</t>
  </si>
  <si>
    <t>http://snap.windin.com/ns/bulletin.php?id=83991&amp;type=1</t>
  </si>
  <si>
    <t>http://snap.windin.com/ns/bulletin.php?id=1716166&amp;type=1</t>
  </si>
  <si>
    <t>http://snap.windin.com/ns/bulletin.php?id=480332&amp;type=1</t>
  </si>
  <si>
    <t>http://snap.windin.com/ns/bulletin.php?id=1387274&amp;type=1</t>
  </si>
  <si>
    <t>http://snap.windin.com/ns/bulletin.php?id=1264431&amp;type=1</t>
  </si>
  <si>
    <t>http://snap.windin.com/ns/bulletin.php?id=1131998&amp;type=1</t>
  </si>
  <si>
    <t>http://snap.windin.com/ns/bulletin.php?id=1446704&amp;type=1</t>
  </si>
  <si>
    <t>http://snap.windin.com/ns/bulletin.php?id=1942780&amp;type=1</t>
  </si>
  <si>
    <t>http://snap.windin.com/ns/bulletin.php?id=1474369&amp;type=1</t>
  </si>
  <si>
    <t>http://snap.windin.com/ns/bulletin.php?id=93554&amp;type=1</t>
  </si>
  <si>
    <t>http://snap.windin.com/ns/bulletin.php?id=765580&amp;type=1</t>
  </si>
  <si>
    <t>http://snap.windin.com/ns/bulletin.php?id=601650&amp;type=1</t>
  </si>
  <si>
    <t>http://snap.windin.com/ns/bulletin.php?id=486658&amp;type=1</t>
  </si>
  <si>
    <t>http://snap.windin.com/ns/bulletin.php?id=1119169&amp;type=1</t>
  </si>
  <si>
    <t>http://snap.windin.com/ns/bulletin.php?id=836847&amp;type=1</t>
  </si>
  <si>
    <t>http://snap.windin.com/ns/bulletin.php?id=1369920&amp;type=1</t>
  </si>
  <si>
    <t>http://snap.windin.com/ns/bulletin.php?id=1987326&amp;type=1</t>
  </si>
  <si>
    <t>http://snap.windin.com/ns/bulletin.php?id=1113195&amp;type=1</t>
  </si>
  <si>
    <t>http://snap.windin.com/ns/bulletin.php?id=466962&amp;type=1</t>
  </si>
  <si>
    <t>http://snap.windin.com/ns/bulletin.php?id=18458320&amp;type=1</t>
  </si>
  <si>
    <t>http://snap.windin.com/ns/bulletin.php?id=1587575&amp;type=1</t>
  </si>
  <si>
    <t>http://snap.windin.com/ns/bulletin.php?id=97786&amp;type=1</t>
  </si>
  <si>
    <t>http://snap.windin.com/ns/bulletin.php?id=1235639&amp;type=1</t>
  </si>
  <si>
    <t>http://snap.windin.com/ns/bulletin.php?id=172334&amp;type=1</t>
  </si>
  <si>
    <t>http://snap.windin.com/ns/bulletin.php?id=1907360&amp;type=1</t>
  </si>
  <si>
    <t>http://snap.windin.com/ns/bulletin.php?id=439662&amp;type=1</t>
  </si>
  <si>
    <t>http://snap.windin.com/ns/bulletin.php?id=716758&amp;type=1</t>
  </si>
  <si>
    <t>http://snap.windin.com/ns/bulletin.php?id=785586&amp;type=1</t>
  </si>
  <si>
    <t>http://snap.windin.com/ns/bulletin.php?id=467037&amp;type=1</t>
  </si>
  <si>
    <t>http://snap.windin.com/ns/bulletin.php?id=1121298&amp;type=1</t>
  </si>
  <si>
    <t>http://snap.windin.com/ns/bulletin.php?id=649198&amp;type=1</t>
  </si>
  <si>
    <t>http://snap.windin.com/ns/bulletin.php?id=1753132&amp;type=1</t>
  </si>
  <si>
    <t>http://snap.windin.com/ns/bulletin.php?id=210321&amp;type=1</t>
  </si>
  <si>
    <t>http://snap.windin.com/ns/bulletin.php?id=404886&amp;type=1</t>
  </si>
  <si>
    <t>http://snap.windin.com/ns/bulletin.php?id=571469&amp;type=1</t>
  </si>
  <si>
    <t>http://snap.windin.com/ns/bulletin.php?id=490100&amp;type=1</t>
  </si>
  <si>
    <t>http://snap.windin.com/ns/bulletin.php?id=1919133&amp;type=1</t>
  </si>
  <si>
    <t>http://snap.windin.com/ns/bulletin.php?id=1871172&amp;type=1</t>
  </si>
  <si>
    <t>http://snap.windin.com/ns/bulletin.php?id=76296&amp;type=1</t>
  </si>
  <si>
    <t>http://snap.windin.com/ns/bulletin.php?id=130554&amp;type=1</t>
  </si>
  <si>
    <t>http://snap.windin.com/ns/bulletin.php?id=759004&amp;type=1</t>
  </si>
  <si>
    <t>http://snap.windin.com/ns/bulletin.php?id=228690&amp;type=1</t>
  </si>
  <si>
    <t>http://snap.windin.com/ns/bulletin.php?id=1139954&amp;type=1</t>
  </si>
  <si>
    <t>http://snap.windin.com/ns/bulletin.php?id=18494364&amp;type=1</t>
  </si>
  <si>
    <t>http://snap.windin.com/ns/bulletin.php?id=1651636&amp;type=1</t>
  </si>
  <si>
    <t>http://snap.windin.com/ns/bulletin.php?id=152786&amp;type=1</t>
  </si>
  <si>
    <t>http://snap.windin.com/ns/bulletin.php?id=1058020&amp;type=1</t>
  </si>
  <si>
    <t>http://snap.windin.com/ns/bulletin.php?id=150973&amp;type=1</t>
  </si>
  <si>
    <t>http://snap.windin.com/ns/bulletin.php?id=862184&amp;type=1</t>
  </si>
  <si>
    <t>http://snap.windin.com/ns/bulletin.php?id=1904214&amp;type=1</t>
  </si>
  <si>
    <t>http://snap.windin.com/ns/bulletin.php?id=1909989&amp;type=1</t>
  </si>
  <si>
    <t>http://snap.windin.com/ns/bulletin.php?id=1685005&amp;type=1</t>
  </si>
  <si>
    <t>http://snap.windin.com/ns/bulletin.php?id=639486&amp;type=1</t>
  </si>
  <si>
    <t>http://snap.windin.com/ns/bulletin.php?id=1963799&amp;type=1</t>
  </si>
  <si>
    <t>http://snap.windin.com/ns/bulletin.php?id=1094065&amp;type=1</t>
  </si>
  <si>
    <t>http://snap.windin.com/ns/bulletin.php?id=1743625&amp;type=1</t>
  </si>
  <si>
    <t>http://snap.windin.com/ns/bulletin.php?id=1820492&amp;type=1</t>
  </si>
  <si>
    <t>http://snap.windin.com/ns/bulletin.php?id=1423273&amp;type=1</t>
  </si>
  <si>
    <t>http://snap.windin.com/ns/bulletin.php?id=1769069&amp;type=1</t>
  </si>
  <si>
    <t>http://snap.windin.com/ns/bulletin.php?id=1160528&amp;type=1</t>
  </si>
  <si>
    <t>http://snap.windin.com/ns/bulletin.php?id=2026587&amp;type=1</t>
  </si>
  <si>
    <t>http://snap.windin.com/ns/bulletin.php?id=1186395&amp;type=1</t>
  </si>
  <si>
    <t>http://snap.windin.com/ns/bulletin.php?id=1538305&amp;type=1</t>
  </si>
  <si>
    <t>http://snap.windin.com/ns/bulletin.php?id=1043351&amp;type=1</t>
  </si>
  <si>
    <t>http://snap.windin.com/ns/bulletin.php?id=1796955&amp;type=1</t>
  </si>
  <si>
    <t>http://snap.windin.com/ns/bulletin.php?id=978478&amp;type=1</t>
  </si>
  <si>
    <t>http://snap.windin.com/ns/bulletin.php?id=1364721&amp;type=1</t>
  </si>
  <si>
    <t>http://snap.windin.com/ns/bulletin.php?id=775844&amp;type=1</t>
  </si>
  <si>
    <t>http://snap.windin.com/ns/bulletin.php?id=1761299&amp;type=1</t>
  </si>
  <si>
    <t>http://snap.windin.com/ns/bulletin.php?id=18462512&amp;type=1</t>
  </si>
  <si>
    <t>http://snap.windin.com/ns/bulletin.php?id=1492686&amp;type=1</t>
  </si>
  <si>
    <t>http://snap.windin.com/ns/bulletin.php?id=706509&amp;type=1</t>
  </si>
  <si>
    <t>http://snap.windin.com/ns/bulletin.php?id=18485678&amp;type=1</t>
  </si>
  <si>
    <t>http://snap.windin.com/ns/bulletin.php?id=1804777&amp;type=1</t>
  </si>
  <si>
    <t>http://snap.windin.com/ns/bulletin.php?id=100861&amp;type=1</t>
  </si>
  <si>
    <t>http://snap.windin.com/ns/bulletin.php?id=787086&amp;type=1</t>
  </si>
  <si>
    <t>http://snap.windin.com/ns/bulletin.php?id=1182520&amp;type=1</t>
  </si>
  <si>
    <t>http://snap.windin.com/ns/bulletin.php?id=1914860&amp;type=1</t>
  </si>
  <si>
    <t>http://snap.windin.com/ns/bulletin.php?id=127295&amp;type=1</t>
  </si>
  <si>
    <t>http://snap.windin.com/ns/bulletin.php?id=1726792&amp;type=1</t>
  </si>
  <si>
    <t>http://snap.windin.com/ns/bulletin.php?id=1849380&amp;type=1</t>
  </si>
  <si>
    <t>http://snap.windin.com/ns/bulletin.php?id=1660067&amp;type=1</t>
  </si>
  <si>
    <t>http://snap.windin.com/ns/bulletin.php?id=236580&amp;type=1</t>
  </si>
  <si>
    <t>http://snap.windin.com/ns/bulletin.php?id=1932938&amp;type=1</t>
  </si>
  <si>
    <t>http://snap.windin.com/ns/bulletin.php?id=1046299&amp;type=1</t>
  </si>
  <si>
    <t>http://snap.windin.com/ns/bulletin.php?id=1853362&amp;type=1</t>
  </si>
  <si>
    <t>http://snap.windin.com/ns/bulletin.php?id=182533&amp;type=1</t>
  </si>
  <si>
    <t>http://snap.windin.com/ns/bulletin.php?id=1402984&amp;type=1</t>
  </si>
  <si>
    <t>http://snap.windin.com/ns/bulletin.php?id=1307392&amp;type=1</t>
  </si>
  <si>
    <t>http://snap.windin.com/ns/bulletin.php?id=565040&amp;type=1</t>
  </si>
  <si>
    <t>http://snap.windin.com/ns/bulletin.php?id=88545&amp;type=1</t>
  </si>
  <si>
    <t>http://snap.windin.com/ns/bulletin.php?id=2070632&amp;type=1</t>
  </si>
  <si>
    <t>http://snap.windin.com/ns/bulletin.php?id=474141&amp;type=1</t>
  </si>
  <si>
    <t>http://snap.windin.com/ns/bulletin.php?id=494164&amp;type=1</t>
  </si>
  <si>
    <t>http://snap.windin.com/ns/bulletin.php?id=1371883&amp;type=1</t>
  </si>
  <si>
    <t>http://snap.windin.com/ns/bulletin.php?id=2095606&amp;type=1</t>
  </si>
  <si>
    <t>http://snap.windin.com/ns/bulletin.php?id=2063769&amp;type=1</t>
  </si>
  <si>
    <t>http://snap.windin.com/ns/bulletin.php?id=2011855&amp;type=1</t>
  </si>
  <si>
    <t>http://snap.windin.com/ns/bulletin.php?id=127243&amp;type=1</t>
  </si>
  <si>
    <t>http://snap.windin.com/ns/bulletin.php?id=605896&amp;type=1</t>
  </si>
  <si>
    <t>http://snap.windin.com/ns/bulletin.php?id=630566&amp;type=1</t>
  </si>
  <si>
    <t>http://snap.windin.com/ns/bulletin.php?id=622063&amp;type=1</t>
  </si>
  <si>
    <t>http://snap.windin.com/ns/bulletin.php?id=127899&amp;type=1</t>
  </si>
  <si>
    <t>http://snap.windin.com/ns/bulletin.php?id=1154228&amp;type=1</t>
  </si>
  <si>
    <t>http://snap.windin.com/ns/bulletin.php?id=786181&amp;type=1</t>
  </si>
  <si>
    <t>http://snap.windin.com/ns/bulletin.php?id=739142&amp;type=1</t>
  </si>
  <si>
    <t>http://snap.windin.com/ns/bulletin.php?id=129376&amp;type=1</t>
  </si>
  <si>
    <t>http://snap.windin.com/ns/bulletin.php?id=1311208&amp;type=1</t>
  </si>
  <si>
    <t>http://snap.windin.com/ns/bulletin.php?id=920133&amp;type=1</t>
  </si>
  <si>
    <t>http://snap.windin.com/ns/bulletin.php?id=1754400&amp;type=1</t>
  </si>
  <si>
    <t>http://snap.windin.com/ns/bulletin.php?id=946483&amp;type=1</t>
  </si>
  <si>
    <t>http://snap.windin.com/ns/bulletin.php?id=18451546&amp;type=1</t>
  </si>
  <si>
    <t>http://snap.windin.com/ns/bulletin.php?id=145724&amp;type=1</t>
  </si>
  <si>
    <t>http://snap.windin.com/ns/bulletin.php?id=1289601&amp;type=1</t>
  </si>
  <si>
    <t>http://snap.windin.com/ns/bulletin.php?id=1659543&amp;type=1</t>
  </si>
  <si>
    <t>http://snap.windin.com/ns/bulletin.php?id=1377231&amp;type=1</t>
  </si>
  <si>
    <t>http://snap.windin.com/ns/bulletin.php?id=1696997&amp;type=1</t>
  </si>
  <si>
    <t>http://snap.windin.com/ns/bulletin.php?id=1664340&amp;type=1</t>
  </si>
  <si>
    <t>http://snap.windin.com/ns/bulletin.php?id=203938&amp;type=1</t>
  </si>
  <si>
    <t>http://snap.windin.com/ns/bulletin.php?id=480902&amp;type=1</t>
  </si>
  <si>
    <t>http://snap.windin.com/ns/bulletin.php?id=2040801&amp;type=1</t>
  </si>
  <si>
    <t>http://snap.windin.com/ns/bulletin.php?id=1755566&amp;type=1</t>
  </si>
  <si>
    <t>http://snap.windin.com/ns/bulletin.php?id=970232&amp;type=1</t>
  </si>
  <si>
    <t>http://snap.windin.com/ns/bulletin.php?id=1982406&amp;type=1</t>
  </si>
  <si>
    <t>http://snap.windin.com/ns/bulletin.php?id=1641200&amp;type=1</t>
  </si>
  <si>
    <t>http://snap.windin.com/ns/bulletin.php?id=1953525&amp;type=1</t>
  </si>
  <si>
    <t>http://snap.windin.com/ns/bulletin.php?id=1345555&amp;type=1</t>
  </si>
  <si>
    <t>http://snap.windin.com/ns/bulletin.php?id=1076590&amp;type=1</t>
  </si>
  <si>
    <t>http://snap.windin.com/ns/bulletin.php?id=1594359&amp;type=1</t>
  </si>
  <si>
    <t>http://snap.windin.com/ns/bulletin.php?id=2053043&amp;type=1</t>
  </si>
  <si>
    <t>http://snap.windin.com/ns/bulletin.php?id=182784&amp;type=1</t>
  </si>
  <si>
    <t>http://snap.windin.com/ns/bulletin.php?id=1799191&amp;type=1</t>
  </si>
  <si>
    <t>http://snap.windin.com/ns/bulletin.php?id=468349&amp;type=1</t>
  </si>
  <si>
    <t>http://snap.windin.com/ns/bulletin.php?id=1897307&amp;type=1</t>
  </si>
  <si>
    <t>http://snap.windin.com/ns/bulletin.php?id=1520199&amp;type=1</t>
  </si>
  <si>
    <t>http://snap.windin.com/ns/bulletin.php?id=18490860&amp;type=1</t>
  </si>
  <si>
    <t>http://snap.windin.com/ns/bulletin.php?id=635406&amp;type=1</t>
  </si>
  <si>
    <t>http://snap.windin.com/ns/bulletin.php?id=1028294&amp;type=1</t>
  </si>
  <si>
    <t>http://snap.windin.com/ns/bulletin.php?id=1320832&amp;type=1</t>
  </si>
  <si>
    <t>http://snap.windin.com/ns/bulletin.php?id=1909173&amp;type=1</t>
  </si>
  <si>
    <t>http://snap.windin.com/ns/bulletin.php?id=109433&amp;type=1</t>
  </si>
  <si>
    <t>http://snap.windin.com/ns/bulletin.php?id=431186&amp;type=1</t>
  </si>
  <si>
    <t>http://snap.windin.com/ns/bulletin.php?id=435647&amp;type=1</t>
  </si>
  <si>
    <t>http://snap.windin.com/ns/bulletin.php?id=733272&amp;type=1</t>
  </si>
  <si>
    <t>http://snap.windin.com/ns/bulletin.php?id=1319415&amp;type=1</t>
  </si>
  <si>
    <t>http://snap.windin.com/ns/bulletin.php?id=527142&amp;type=1</t>
  </si>
  <si>
    <t>http://snap.windin.com/ns/bulletin.php?id=629737&amp;type=1</t>
  </si>
  <si>
    <t>http://snap.windin.com/ns/bulletin.php?id=1131265&amp;type=1</t>
  </si>
  <si>
    <t>http://snap.windin.com/ns/bulletin.php?id=1495988&amp;type=1</t>
  </si>
  <si>
    <t>http://snap.windin.com/ns/bulletin.php?id=107929&amp;type=1</t>
  </si>
  <si>
    <t>http://snap.windin.com/ns/bulletin.php?id=878163&amp;type=1</t>
  </si>
  <si>
    <t>http://snap.windin.com/ns/bulletin.php?id=113580&amp;type=1</t>
  </si>
  <si>
    <t>http://snap.windin.com/ns/bulletin.php?id=2069591&amp;type=1</t>
  </si>
  <si>
    <t>http://snap.windin.com/ns/bulletin.php?id=882519&amp;type=1</t>
  </si>
  <si>
    <t>http://snap.windin.com/ns/bulletin.php?id=1506141&amp;type=1</t>
  </si>
  <si>
    <t>http://snap.windin.com/ns/bulletin.php?id=515454&amp;type=1</t>
  </si>
  <si>
    <t>http://snap.windin.com/ns/bulletin.php?id=119294&amp;type=1</t>
  </si>
  <si>
    <t>http://snap.windin.com/ns/bulletin.php?id=2013624&amp;type=1</t>
  </si>
  <si>
    <t>http://snap.windin.com/ns/bulletin.php?id=1277602&amp;type=1</t>
  </si>
  <si>
    <t>http://snap.windin.com/ns/bulletin.php?id=1521479&amp;type=1</t>
  </si>
  <si>
    <t>http://snap.windin.com/ns/bulletin.php?id=1882812&amp;type=1</t>
  </si>
  <si>
    <t>http://snap.windin.com/ns/bulletin.php?id=820726&amp;type=1</t>
  </si>
  <si>
    <t>http://snap.windin.com/ns/bulletin.php?id=1594534&amp;type=1</t>
  </si>
  <si>
    <t>http://snap.windin.com/ns/bulletin.php?id=555080&amp;type=1</t>
  </si>
  <si>
    <t>http://snap.windin.com/ns/bulletin.php?id=500507&amp;type=1</t>
  </si>
  <si>
    <t>http://snap.windin.com/ns/bulletin.php?id=1733209&amp;type=1</t>
  </si>
  <si>
    <t>http://snap.windin.com/ns/bulletin.php?id=1674187&amp;type=1</t>
  </si>
  <si>
    <t>http://snap.windin.com/ns/bulletin.php?id=1255043&amp;type=1</t>
  </si>
  <si>
    <t>http://snap.windin.com/ns/bulletin.php?id=1153582&amp;type=1</t>
  </si>
  <si>
    <t>http://snap.windin.com/ns/bulletin.php?id=987367&amp;type=1</t>
  </si>
  <si>
    <t>http://snap.windin.com/ns/bulletin.php?id=102328&amp;type=1</t>
  </si>
  <si>
    <t>http://snap.windin.com/ns/bulletin.php?id=79293&amp;type=1</t>
  </si>
  <si>
    <t>http://snap.windin.com/ns/bulletin.php?id=1355773&amp;type=1</t>
  </si>
  <si>
    <t>http://snap.windin.com/ns/bulletin.php?id=1730445&amp;type=1</t>
  </si>
  <si>
    <t>http://snap.windin.com/ns/bulletin.php?id=174622&amp;type=1</t>
  </si>
  <si>
    <t>http://snap.windin.com/ns/bulletin.php?id=1050403&amp;type=1</t>
  </si>
  <si>
    <t>http://snap.windin.com/ns/bulletin.php?id=1892287&amp;type=1</t>
  </si>
  <si>
    <t>http://snap.windin.com/ns/bulletin.php?id=111930&amp;type=1</t>
  </si>
  <si>
    <t>http://snap.windin.com/ns/bulletin.php?id=742783&amp;type=1</t>
  </si>
  <si>
    <t>http://snap.windin.com/ns/bulletin.php?id=849497&amp;type=1</t>
  </si>
  <si>
    <t>http://snap.windin.com/ns/bulletin.php?id=2100547&amp;type=1</t>
  </si>
  <si>
    <t>http://snap.windin.com/ns/bulletin.php?id=18534764&amp;type=1</t>
  </si>
  <si>
    <t>http://snap.windin.com/ns/bulletin.php?id=1586827&amp;type=1</t>
  </si>
  <si>
    <t>http://snap.windin.com/ns/bulletin.php?id=704285&amp;type=1</t>
  </si>
  <si>
    <t>http://snap.windin.com/ns/bulletin.php?id=1905165&amp;type=1</t>
  </si>
  <si>
    <t>http://snap.windin.com/ns/bulletin.php?id=1900793&amp;type=1</t>
  </si>
  <si>
    <t>http://snap.windin.com/ns/bulletin.php?id=1266951&amp;type=1</t>
  </si>
  <si>
    <t>http://snap.windin.com/ns/bulletin.php?id=763907&amp;type=1</t>
  </si>
  <si>
    <t>http://snap.windin.com/ns/bulletin.php?id=1118441&amp;type=1</t>
  </si>
  <si>
    <t>http://snap.windin.com/ns/bulletin.php?id=2032525&amp;type=1</t>
  </si>
  <si>
    <t>http://snap.windin.com/ns/bulletin.php?id=594954&amp;type=1</t>
  </si>
  <si>
    <t>http://snap.windin.com/ns/bulletin.php?id=944233&amp;type=1</t>
  </si>
  <si>
    <t>http://snap.windin.com/ns/bulletin.php?id=2114189&amp;type=1</t>
  </si>
  <si>
    <t>http://snap.windin.com/ns/bulletin.php?id=904119&amp;type=1</t>
  </si>
  <si>
    <t>http://snap.windin.com/ns/bulletin.php?id=829064&amp;type=1</t>
  </si>
  <si>
    <t>http://snap.windin.com/ns/bulletin.php?id=216518&amp;type=1</t>
  </si>
  <si>
    <t>http://snap.windin.com/ns/bulletin.php?id=1317906&amp;type=1</t>
  </si>
  <si>
    <t>http://snap.windin.com/ns/bulletin.php?id=1784557&amp;type=1</t>
  </si>
  <si>
    <t>http://snap.windin.com/ns/bulletin.php?id=1633155&amp;type=1</t>
  </si>
  <si>
    <t>http://snap.windin.com/ns/bulletin.php?id=1931236&amp;type=1</t>
  </si>
  <si>
    <t>http://snap.windin.com/ns/bulletin.php?id=666057&amp;type=1</t>
  </si>
  <si>
    <t>http://snap.windin.com/ns/bulletin.php?id=417137&amp;type=1</t>
  </si>
  <si>
    <t>http://snap.windin.com/ns/bulletin.php?id=571084&amp;type=1</t>
  </si>
  <si>
    <t>http://snap.windin.com/ns/bulletin.php?id=1850020&amp;type=1</t>
  </si>
  <si>
    <t>http://snap.windin.com/ns/bulletin.php?id=87754&amp;type=1</t>
  </si>
  <si>
    <t>http://snap.windin.com/ns/bulletin.php?id=407131&amp;type=1</t>
  </si>
  <si>
    <t>http://snap.windin.com/ns/bulletin.php?id=1666187&amp;type=1</t>
  </si>
  <si>
    <t>http://snap.windin.com/ns/bulletin.php?id=1755283&amp;type=1</t>
  </si>
  <si>
    <t>http://snap.windin.com/ns/bulletin.php?id=18535574&amp;type=1</t>
  </si>
  <si>
    <t>http://snap.windin.com/ns/bulletin.php?id=18518646&amp;type=1</t>
  </si>
  <si>
    <t>http://snap.windin.com/ns/bulletin.php?id=2034365&amp;type=1</t>
  </si>
  <si>
    <t>http://snap.windin.com/ns/bulletin.php?id=869197&amp;type=1</t>
  </si>
  <si>
    <t>http://snap.windin.com/ns/bulletin.php?id=491244&amp;type=1</t>
  </si>
  <si>
    <t>http://snap.windin.com/ns/bulletin.php?id=501775&amp;type=1</t>
  </si>
  <si>
    <t>http://snap.windin.com/ns/bulletin.php?id=906995&amp;type=1</t>
  </si>
  <si>
    <t>http://snap.windin.com/ns/bulletin.php?id=769519&amp;type=1</t>
  </si>
  <si>
    <t>http://snap.windin.com/ns/bulletin.php?id=108972&amp;type=1</t>
  </si>
  <si>
    <t>http://snap.windin.com/ns/bulletin.php?id=219400&amp;type=1</t>
  </si>
  <si>
    <t>http://snap.windin.com/ns/bulletin.php?id=1821239&amp;type=1</t>
  </si>
  <si>
    <t>http://snap.windin.com/ns/bulletin.php?id=1697705&amp;type=1</t>
  </si>
  <si>
    <t>http://snap.windin.com/ns/bulletin.php?id=2017634&amp;type=1</t>
  </si>
  <si>
    <t>http://snap.windin.com/ns/bulletin.php?id=86890&amp;type=1</t>
  </si>
  <si>
    <t>http://snap.windin.com/ns/bulletin.php?id=459789&amp;type=1</t>
  </si>
  <si>
    <t>http://snap.windin.com/ns/bulletin.php?id=1610736&amp;type=1</t>
  </si>
  <si>
    <t>http://snap.windin.com/ns/bulletin.php?id=942499&amp;type=1</t>
  </si>
  <si>
    <t>http://snap.windin.com/ns/bulletin.php?id=158660&amp;type=1</t>
  </si>
  <si>
    <t>http://snap.windin.com/ns/bulletin.php?id=1532549&amp;type=1</t>
  </si>
  <si>
    <t>http://snap.windin.com/ns/bulletin.php?id=18483558&amp;type=1</t>
  </si>
  <si>
    <t>http://snap.windin.com/ns/bulletin.php?id=1130084&amp;type=1</t>
  </si>
  <si>
    <t>http://snap.windin.com/ns/bulletin.php?id=1791991&amp;type=1</t>
  </si>
  <si>
    <t>http://snap.windin.com/ns/bulletin.php?id=891127&amp;type=1</t>
  </si>
  <si>
    <t>http://snap.windin.com/ns/bulletin.php?id=512036&amp;type=1</t>
  </si>
  <si>
    <t>http://snap.windin.com/ns/bulletin.php?id=115615&amp;type=1</t>
  </si>
  <si>
    <t>http://snap.windin.com/ns/bulletin.php?id=1974585&amp;type=1</t>
  </si>
  <si>
    <t>http://snap.windin.com/ns/bulletin.php?id=1578670&amp;type=1</t>
  </si>
  <si>
    <t>http://snap.windin.com/ns/bulletin.php?id=1193012&amp;type=1</t>
  </si>
  <si>
    <t>http://snap.windin.com/ns/bulletin.php?id=1297268&amp;type=1</t>
  </si>
  <si>
    <t>http://snap.windin.com/ns/bulletin.php?id=1900986&amp;type=1</t>
  </si>
  <si>
    <t>http://snap.windin.com/ns/bulletin.php?id=1407506&amp;type=1</t>
  </si>
  <si>
    <t>http://snap.windin.com/ns/bulletin.php?id=1404494&amp;type=1</t>
  </si>
  <si>
    <t>http://snap.windin.com/ns/bulletin.php?id=812963&amp;type=1</t>
  </si>
  <si>
    <t>http://snap.windin.com/ns/bulletin.php?id=18401540&amp;type=1</t>
  </si>
  <si>
    <t>http://snap.windin.com/ns/bulletin.php?id=1484190&amp;type=1</t>
  </si>
  <si>
    <t>http://snap.windin.com/ns/bulletin.php?id=2091414&amp;type=1</t>
  </si>
  <si>
    <t>http://snap.windin.com/ns/bulletin.php?id=979251&amp;type=1</t>
  </si>
  <si>
    <t>http://snap.windin.com/ns/bulletin.php?id=2033528&amp;type=1</t>
  </si>
  <si>
    <t>http://snap.windin.com/ns/bulletin.php?id=1701486&amp;type=1</t>
  </si>
  <si>
    <t>http://snap.windin.com/ns/bulletin.php?id=1609465&amp;type=1</t>
  </si>
  <si>
    <t>http://snap.windin.com/ns/bulletin.php?id=1022362&amp;type=1</t>
  </si>
  <si>
    <t>http://snap.windin.com/ns/bulletin.php?id=674117&amp;type=1</t>
  </si>
  <si>
    <t>http://snap.windin.com/ns/bulletin.php?id=1688059&amp;type=1</t>
  </si>
  <si>
    <t>http://snap.windin.com/ns/bulletin.php?id=811762&amp;type=1</t>
  </si>
  <si>
    <t>http://snap.windin.com/ns/bulletin.php?id=1340245&amp;type=1</t>
  </si>
  <si>
    <t>http://snap.windin.com/ns/bulletin.php?id=1819498&amp;type=1</t>
  </si>
  <si>
    <t>http://snap.windin.com/ns/bulletin.php?id=19054738&amp;type=1</t>
  </si>
  <si>
    <t>http://snap.windin.com/ns/bulletin.php?id=18523528&amp;type=1</t>
  </si>
  <si>
    <t>http://snap.windin.com/ns/bulletin.php?id=2026804&amp;type=1</t>
  </si>
  <si>
    <t>http://snap.windin.com/ns/bulletin.php?id=164726&amp;type=1</t>
  </si>
  <si>
    <t>http://snap.windin.com/ns/bulletin.php?id=1509406&amp;type=1</t>
  </si>
  <si>
    <t>http://snap.windin.com/ns/bulletin.php?id=556638&amp;type=1</t>
  </si>
  <si>
    <t>http://snap.windin.com/ns/bulletin.php?id=128630&amp;type=1</t>
  </si>
  <si>
    <t>http://snap.windin.com/ns/bulletin.php?id=1744752&amp;type=1</t>
  </si>
  <si>
    <t>http://snap.windin.com/ns/bulletin.php?id=170224&amp;type=1</t>
  </si>
  <si>
    <t>http://snap.windin.com/ns/bulletin.php?id=1144734&amp;type=1</t>
  </si>
  <si>
    <t>http://snap.windin.com/ns/bulletin.php?id=480865&amp;type=1</t>
  </si>
  <si>
    <t>http://snap.windin.com/ns/bulletin.php?id=515909&amp;type=1</t>
  </si>
  <si>
    <t>http://snap.windin.com/ns/bulletin.php?id=1315591&amp;type=1</t>
  </si>
  <si>
    <t>http://snap.windin.com/ns/bulletin.php?id=1631954&amp;type=1</t>
  </si>
  <si>
    <t>http://snap.windin.com/ns/bulletin.php?id=2006928&amp;type=1</t>
  </si>
  <si>
    <t>http://snap.windin.com/ns/bulletin.php?id=1609196&amp;type=1</t>
  </si>
  <si>
    <t>http://snap.windin.com/ns/bulletin.php?id=1696996&amp;type=1</t>
  </si>
  <si>
    <t>http://snap.windin.com/ns/bulletin.php?id=1102303&amp;type=1</t>
  </si>
  <si>
    <t>http://snap.windin.com/ns/bulletin.php?id=102761&amp;type=1</t>
  </si>
  <si>
    <t>http://snap.windin.com/ns/bulletin.php?id=1358087&amp;type=1</t>
  </si>
  <si>
    <t>http://snap.windin.com/ns/bulletin.php?id=1094287&amp;type=1</t>
  </si>
  <si>
    <t>http://snap.windin.com/ns/bulletin.php?id=1539852&amp;type=1</t>
  </si>
  <si>
    <t>http://snap.windin.com/ns/bulletin.php?id=1517738&amp;type=1</t>
  </si>
  <si>
    <t>http://snap.windin.com/ns/bulletin.php?id=509266&amp;type=1</t>
  </si>
  <si>
    <t>http://snap.windin.com/ns/bulletin.php?id=2011154&amp;type=1</t>
  </si>
  <si>
    <t>http://snap.windin.com/ns/bulletin.php?id=1354080&amp;type=1</t>
  </si>
  <si>
    <t>http://snap.windin.com/ns/bulletin.php?id=857418&amp;type=1</t>
  </si>
  <si>
    <t>http://snap.windin.com/ns/bulletin.php?id=695306&amp;type=1</t>
  </si>
  <si>
    <t>http://snap.windin.com/ns/bulletin.php?id=1562800&amp;type=1</t>
  </si>
  <si>
    <t>http://snap.windin.com/ns/bulletin.php?id=638618&amp;type=1</t>
  </si>
  <si>
    <t>http://snap.windin.com/ns/bulletin.php?id=739251&amp;type=1</t>
  </si>
  <si>
    <t>http://snap.windin.com/ns/bulletin.php?id=2112100&amp;type=1</t>
  </si>
  <si>
    <t>http://snap.windin.com/ns/bulletin.php?id=130822&amp;type=1</t>
  </si>
  <si>
    <t>http://snap.windin.com/ns/bulletin.php?id=228534&amp;type=1</t>
  </si>
  <si>
    <t>http://snap.windin.com/ns/bulletin.php?id=1561496&amp;type=1</t>
  </si>
  <si>
    <t>http://snap.windin.com/ns/bulletin.php?id=1918626&amp;type=1</t>
  </si>
  <si>
    <t>http://snap.windin.com/ns/bulletin.php?id=519949&amp;type=1</t>
  </si>
  <si>
    <t>http://snap.windin.com/ns/bulletin.php?id=2053644&amp;type=1</t>
  </si>
  <si>
    <t>http://snap.windin.com/ns/bulletin.php?id=18906470&amp;type=1</t>
  </si>
  <si>
    <t>http://snap.windin.com/ns/bulletin.php?id=2017825&amp;type=1</t>
  </si>
  <si>
    <t>http://snap.windin.com/ns/bulletin.php?id=2072732&amp;type=1</t>
  </si>
  <si>
    <t>http://snap.windin.com/ns/bulletin.php?id=19218370&amp;type=1</t>
  </si>
  <si>
    <t>http://snap.windin.com/ns/bulletin.php?id=85726&amp;type=1</t>
  </si>
  <si>
    <t>http://snap.windin.com/ns/bulletin.php?id=1959977&amp;type=1</t>
  </si>
  <si>
    <t>http://snap.windin.com/ns/bulletin.php?id=410238&amp;type=1</t>
  </si>
  <si>
    <t>http://snap.windin.com/ns/bulletin.php?id=202351&amp;type=1</t>
  </si>
  <si>
    <t>http://snap.windin.com/ns/bulletin.php?id=524131&amp;type=1</t>
  </si>
  <si>
    <t>http://snap.windin.com/ns/bulletin.php?id=2067163&amp;type=1</t>
  </si>
  <si>
    <t>http://snap.windin.com/ns/bulletin.php?id=2016726&amp;type=1</t>
  </si>
  <si>
    <t>http://snap.windin.com/ns/bulletin.php?id=1333006&amp;type=1</t>
  </si>
  <si>
    <t>http://snap.windin.com/ns/bulletin.php?id=651543&amp;type=1</t>
  </si>
  <si>
    <t>http://snap.windin.com/ns/bulletin.php?id=906354&amp;type=1</t>
  </si>
  <si>
    <t>http://snap.windin.com/ns/bulletin.php?id=1763642&amp;type=1</t>
  </si>
  <si>
    <t>http://snap.windin.com/ns/bulletin.php?id=1553275&amp;type=1</t>
  </si>
  <si>
    <t>http://snap.windin.com/ns/bulletin.php?id=19126762&amp;type=1</t>
  </si>
  <si>
    <t>http://snap.windin.com/ns/bulletin.php?id=18471196&amp;type=1</t>
  </si>
  <si>
    <t>http://snap.windin.com/ns/bulletin.php?id=208208&amp;type=1</t>
  </si>
  <si>
    <t>http://snap.windin.com/ns/bulletin.php?id=99665&amp;type=1</t>
  </si>
  <si>
    <t>http://snap.windin.com/ns/bulletin.php?id=580464&amp;type=1</t>
  </si>
  <si>
    <t>http://snap.windin.com/ns/bulletin.php?id=719299&amp;type=1</t>
  </si>
  <si>
    <t>http://snap.windin.com/ns/bulletin.php?id=495901&amp;type=1</t>
  </si>
  <si>
    <t>http://snap.windin.com/ns/bulletin.php?id=2114976&amp;type=1</t>
  </si>
  <si>
    <t>http://snap.windin.com/ns/bulletin.php?id=1782579&amp;type=1</t>
  </si>
  <si>
    <t>http://snap.windin.com/ns/bulletin.php?id=18607422&amp;type=1</t>
  </si>
  <si>
    <t>http://snap.windin.com/ns/bulletin.php?id=18497762&amp;type=1</t>
  </si>
  <si>
    <t>http://snap.windin.com/ns/bulletin.php?id=1775353&amp;type=1</t>
  </si>
  <si>
    <t>http://snap.windin.com/ns/bulletin.php?id=1698740&amp;type=1</t>
  </si>
  <si>
    <t>http://snap.windin.com/ns/bulletin.php?id=18591320&amp;type=1</t>
  </si>
  <si>
    <t>http://snap.windin.com/ns/bulletin.php?id=1441481&amp;type=1</t>
  </si>
  <si>
    <t>http://snap.windin.com/ns/bulletin.php?id=80254&amp;type=1</t>
  </si>
  <si>
    <t>http://snap.windin.com/ns/bulletin.php?id=2046336&amp;type=1</t>
  </si>
  <si>
    <t>http://snap.windin.com/ns/bulletin.php?id=1244614&amp;type=1</t>
  </si>
  <si>
    <t>http://snap.windin.com/ns/bulletin.php?id=1414135&amp;type=1</t>
  </si>
  <si>
    <t>http://snap.windin.com/ns/bulletin.php?id=664175&amp;type=1</t>
  </si>
  <si>
    <t>http://snap.windin.com/ns/bulletin.php?id=1022507&amp;type=1</t>
  </si>
  <si>
    <t>http://snap.windin.com/ns/bulletin.php?id=710465&amp;type=1</t>
  </si>
  <si>
    <t>http://snap.windin.com/ns/bulletin.php?id=1021429&amp;type=1</t>
  </si>
  <si>
    <t>http://snap.windin.com/ns/bulletin.php?id=446269&amp;type=1</t>
  </si>
  <si>
    <t>http://snap.windin.com/ns/bulletin.php?id=18839676&amp;type=1</t>
  </si>
  <si>
    <t>http://snap.windin.com/ns/bulletin.php?id=460511&amp;type=1</t>
  </si>
  <si>
    <t>http://snap.windin.com/ns/bulletin.php?id=18488594&amp;type=1</t>
  </si>
  <si>
    <t>http://snap.windin.com/ns/bulletin.php?id=915477&amp;type=1</t>
  </si>
  <si>
    <t>http://snap.windin.com/ns/bulletin.php?id=19474380&amp;type=1</t>
  </si>
  <si>
    <t>http://snap.windin.com/ns/bulletin.php?id=2009170&amp;type=1</t>
  </si>
  <si>
    <t>http://snap.windin.com/ns/bulletin.php?id=1637266&amp;type=1</t>
  </si>
  <si>
    <t>http://snap.windin.com/ns/bulletin.php?id=1779732&amp;type=1</t>
  </si>
  <si>
    <t>http://snap.windin.com/ns/bulletin.php?id=174355&amp;type=1</t>
  </si>
  <si>
    <t>http://snap.windin.com/ns/bulletin.php?id=2107598&amp;type=1</t>
  </si>
  <si>
    <t>http://snap.windin.com/ns/bulletin.php?id=781196&amp;type=1</t>
  </si>
  <si>
    <t>http://snap.windin.com/ns/bulletin.php?id=2010126&amp;type=1</t>
  </si>
  <si>
    <t>http://snap.windin.com/ns/bulletin.php?id=1081630&amp;type=1</t>
  </si>
  <si>
    <t>http://snap.windin.com/ns/bulletin.php?id=779184&amp;type=1</t>
  </si>
  <si>
    <t>http://snap.windin.com/ns/bulletin.php?id=1844732&amp;type=1</t>
  </si>
  <si>
    <t>http://snap.windin.com/ns/bulletin.php?id=509588&amp;type=1</t>
  </si>
  <si>
    <t>http://snap.windin.com/ns/bulletin.php?id=903941&amp;type=1</t>
  </si>
  <si>
    <t>http://snap.windin.com/ns/bulletin.php?id=1705119&amp;type=1</t>
  </si>
  <si>
    <t>http://snap.windin.com/ns/bulletin.php?id=1717545&amp;type=1</t>
  </si>
  <si>
    <t>http://snap.windin.com/ns/bulletin.php?id=1992315&amp;type=1</t>
  </si>
  <si>
    <t>http://snap.windin.com/ns/bulletin.php?id=159860&amp;type=1</t>
  </si>
  <si>
    <t>http://snap.windin.com/ns/bulletin.php?id=216080&amp;type=1</t>
  </si>
  <si>
    <t>http://snap.windin.com/ns/bulletin.php?id=18513478&amp;type=1</t>
  </si>
  <si>
    <t>http://snap.windin.com/ns/bulletin.php?id=2090718&amp;type=1</t>
  </si>
  <si>
    <t>http://snap.windin.com/ns/bulletin.php?id=663523&amp;type=1</t>
  </si>
  <si>
    <t>http://snap.windin.com/ns/bulletin.php?id=490012&amp;type=1</t>
  </si>
  <si>
    <t>http://snap.windin.com/ns/bulletin.php?id=764216&amp;type=1</t>
  </si>
  <si>
    <t>http://snap.windin.com/ns/bulletin.php?id=1529740&amp;type=1</t>
  </si>
  <si>
    <t>http://snap.windin.com/ns/bulletin.php?id=1433490&amp;type=1</t>
  </si>
  <si>
    <t>http://snap.windin.com/ns/bulletin.php?id=1722196&amp;type=1</t>
  </si>
  <si>
    <t>http://snap.windin.com/ns/bulletin.php?id=1316227&amp;type=1</t>
  </si>
  <si>
    <t>http://snap.windin.com/ns/bulletin.php?id=1857020&amp;type=1</t>
  </si>
  <si>
    <t>http://snap.windin.com/ns/bulletin.php?id=1654963&amp;type=1</t>
  </si>
  <si>
    <t>http://snap.windin.com/ns/bulletin.php?id=1861689&amp;type=1</t>
  </si>
  <si>
    <t>http://snap.windin.com/ns/bulletin.php?id=1942571&amp;type=1</t>
  </si>
  <si>
    <t>http://snap.windin.com/ns/bulletin.php?id=1823620&amp;type=1</t>
  </si>
  <si>
    <t>http://snap.windin.com/ns/bulletin.php?id=121053&amp;type=1</t>
  </si>
  <si>
    <t>http://snap.windin.com/ns/bulletin.php?id=1771989&amp;type=1</t>
  </si>
  <si>
    <t>http://snap.windin.com/ns/bulletin.php?id=1931453&amp;type=1</t>
  </si>
  <si>
    <t>http://snap.windin.com/ns/bulletin.php?id=1932664&amp;type=1</t>
  </si>
  <si>
    <t>http://snap.windin.com/ns/bulletin.php?id=167046&amp;type=1</t>
  </si>
  <si>
    <t>http://snap.windin.com/ns/bulletin.php?id=492895&amp;type=1</t>
  </si>
  <si>
    <t>http://snap.windin.com/ns/bulletin.php?id=18448542&amp;type=1</t>
  </si>
  <si>
    <t>http://snap.windin.com/ns/bulletin.php?id=459626&amp;type=1</t>
  </si>
  <si>
    <t>http://snap.windin.com/ns/bulletin.php?id=457272&amp;type=1</t>
  </si>
  <si>
    <t>http://snap.windin.com/ns/bulletin.php?id=233970&amp;type=1</t>
  </si>
  <si>
    <t>http://snap.windin.com/ns/bulletin.php?id=1100918&amp;type=1</t>
  </si>
  <si>
    <t>http://snap.windin.com/ns/bulletin.php?id=986199&amp;type=1</t>
  </si>
  <si>
    <t>http://snap.windin.com/ns/bulletin.php?id=1039117&amp;type=1</t>
  </si>
  <si>
    <t>http://snap.windin.com/ns/bulletin.php?id=1463873&amp;type=1</t>
  </si>
  <si>
    <t>http://snap.windin.com/ns/bulletin.php?id=18439130&amp;type=1</t>
  </si>
  <si>
    <t>http://snap.windin.com/ns/bulletin.php?id=197394&amp;type=1</t>
  </si>
  <si>
    <t>http://snap.windin.com/ns/bulletin.php?id=418594&amp;type=1</t>
  </si>
  <si>
    <t>http://snap.windin.com/ns/bulletin.php?id=1976109&amp;type=1</t>
  </si>
  <si>
    <t>http://snap.windin.com/ns/bulletin.php?id=160393&amp;type=1</t>
  </si>
  <si>
    <t>http://snap.windin.com/ns/bulletin.php?id=768710&amp;type=1</t>
  </si>
  <si>
    <t>http://snap.windin.com/ns/bulletin.php?id=2109245&amp;type=1</t>
  </si>
  <si>
    <t>http://snap.windin.com/ns/bulletin.php?id=1012548&amp;type=1</t>
  </si>
  <si>
    <t>http://snap.windin.com/ns/bulletin.php?id=19405586&amp;type=1</t>
  </si>
  <si>
    <t>http://snap.windin.com/ns/bulletin.php?id=1484036&amp;type=1</t>
  </si>
  <si>
    <t>http://snap.windin.com/ns/bulletin.php?id=1654071&amp;type=1</t>
  </si>
  <si>
    <t>http://snap.windin.com/ns/bulletin.php?id=1802947&amp;type=1</t>
  </si>
  <si>
    <t>http://snap.windin.com/ns/bulletin.php?id=1958563&amp;type=1</t>
  </si>
  <si>
    <t>http://snap.windin.com/ns/bulletin.php?id=1454749&amp;type=1</t>
  </si>
  <si>
    <t>http://snap.windin.com/ns/bulletin.php?id=1484847&amp;type=1</t>
  </si>
  <si>
    <t>http://snap.windin.com/ns/bulletin.php?id=1083088&amp;type=1</t>
  </si>
  <si>
    <t>http://snap.windin.com/ns/bulletin.php?id=732563&amp;type=1</t>
  </si>
  <si>
    <t>http://snap.windin.com/ns/bulletin.php?id=412735&amp;type=1</t>
  </si>
  <si>
    <t>http://snap.windin.com/ns/bulletin.php?id=733466&amp;type=1</t>
  </si>
  <si>
    <t>http://snap.windin.com/ns/bulletin.php?id=1948283&amp;type=1</t>
  </si>
  <si>
    <t>http://snap.windin.com/ns/bulletin.php?id=757834&amp;type=1</t>
  </si>
  <si>
    <t>http://snap.windin.com/ns/bulletin.php?id=1969779&amp;type=1</t>
  </si>
  <si>
    <t>http://snap.windin.com/ns/bulletin.php?id=1999300&amp;type=1</t>
  </si>
  <si>
    <t>http://snap.windin.com/ns/bulletin.php?id=1473471&amp;type=1</t>
  </si>
  <si>
    <t>http://snap.windin.com/ns/bulletin.php?id=2016831&amp;type=1</t>
  </si>
  <si>
    <t>http://snap.windin.com/ns/bulletin.php?id=504358&amp;type=1</t>
  </si>
  <si>
    <t>http://snap.windin.com/ns/bulletin.php?id=834511&amp;type=1</t>
  </si>
  <si>
    <t>http://snap.windin.com/ns/bulletin.php?id=1142277&amp;type=1</t>
  </si>
  <si>
    <t>http://snap.windin.com/ns/bulletin.php?id=479905&amp;type=1</t>
  </si>
  <si>
    <t>http://snap.windin.com/ns/bulletin.php?id=192868&amp;type=1</t>
  </si>
  <si>
    <t>http://snap.windin.com/ns/bulletin.php?id=1150762&amp;type=1</t>
  </si>
  <si>
    <t>http://snap.windin.com/ns/bulletin.php?id=1553493&amp;type=1</t>
  </si>
  <si>
    <t>http://snap.windin.com/ns/bulletin.php?id=1574061&amp;type=1</t>
  </si>
  <si>
    <t>http://snap.windin.com/ns/bulletin.php?id=1714058&amp;type=1</t>
  </si>
  <si>
    <t>http://snap.windin.com/ns/bulletin.php?id=713781&amp;type=1</t>
  </si>
  <si>
    <t>http://snap.windin.com/ns/bulletin.php?id=541030&amp;type=1</t>
  </si>
  <si>
    <t>http://snap.windin.com/ns/bulletin.php?id=18642594&amp;type=1</t>
  </si>
  <si>
    <t>http://snap.windin.com/ns/bulletin.php?id=1836843&amp;type=1</t>
  </si>
  <si>
    <t>http://snap.windin.com/ns/bulletin.php?id=1588546&amp;type=1</t>
  </si>
  <si>
    <t>http://snap.windin.com/ns/bulletin.php?id=18862768&amp;type=1</t>
  </si>
  <si>
    <t>http://snap.windin.com/ns/bulletin.php?id=96084&amp;type=1</t>
  </si>
  <si>
    <t>http://snap.windin.com/ns/bulletin.php?id=207086&amp;type=1</t>
  </si>
  <si>
    <t>http://snap.windin.com/ns/bulletin.php?id=714899&amp;type=1</t>
  </si>
  <si>
    <t>http://snap.windin.com/ns/bulletin.php?id=1499455&amp;type=1</t>
  </si>
  <si>
    <t>http://snap.windin.com/ns/bulletin.php?id=96903&amp;type=1</t>
  </si>
  <si>
    <t>http://snap.windin.com/ns/bulletin.php?id=19375290&amp;type=1</t>
  </si>
  <si>
    <t>http://snap.windin.com/ns/bulletin.php?id=497868&amp;type=1</t>
  </si>
  <si>
    <t>http://snap.windin.com/ns/bulletin.php?id=669958&amp;type=1</t>
  </si>
  <si>
    <t>http://snap.windin.com/ns/bulletin.php?id=486071&amp;type=1</t>
  </si>
  <si>
    <t>http://snap.windin.com/ns/bulletin.php?id=1060328&amp;type=1</t>
  </si>
  <si>
    <t>http://snap.windin.com/ns/bulletin.php?id=1300533&amp;type=1</t>
  </si>
  <si>
    <t>http://snap.windin.com/ns/bulletin.php?id=1044488&amp;type=1</t>
  </si>
  <si>
    <t>http://snap.windin.com/ns/bulletin.php?id=1273270&amp;type=1</t>
  </si>
  <si>
    <t>http://snap.windin.com/ns/bulletin.php?id=572488&amp;type=1</t>
  </si>
  <si>
    <t>http://snap.windin.com/ns/bulletin.php?id=202751&amp;type=1</t>
  </si>
  <si>
    <t>http://snap.windin.com/ns/bulletin.php?id=605341&amp;type=1</t>
  </si>
  <si>
    <t>http://snap.windin.com/ns/bulletin.php?id=929637&amp;type=1</t>
  </si>
  <si>
    <t>http://snap.windin.com/ns/bulletin.php?id=488897&amp;type=1</t>
  </si>
  <si>
    <t>http://snap.windin.com/ns/bulletin.php?id=850186&amp;type=1</t>
  </si>
  <si>
    <t>http://snap.windin.com/ns/bulletin.php?id=1140891&amp;type=1</t>
  </si>
  <si>
    <t>http://snap.windin.com/ns/bulletin.php?id=1884331&amp;type=1</t>
  </si>
  <si>
    <t>http://snap.windin.com/ns/bulletin.php?id=1268789&amp;type=1</t>
  </si>
  <si>
    <t>http://snap.windin.com/ns/bulletin.php?id=1001075&amp;type=1</t>
  </si>
  <si>
    <t>http://snap.windin.com/ns/bulletin.php?id=120708&amp;type=1</t>
  </si>
  <si>
    <t>http://snap.windin.com/ns/bulletin.php?id=2102786&amp;type=1</t>
  </si>
  <si>
    <t>http://snap.windin.com/ns/bulletin.php?id=1276011&amp;type=1</t>
  </si>
  <si>
    <t>http://snap.windin.com/ns/bulletin.php?id=459752&amp;type=1</t>
  </si>
  <si>
    <t>http://snap.windin.com/ns/bulletin.php?id=103760&amp;type=1</t>
  </si>
  <si>
    <t>http://snap.windin.com/ns/bulletin.php?id=1869753&amp;type=1</t>
  </si>
  <si>
    <t>http://snap.windin.com/ns/bulletin.php?id=1845971&amp;type=1</t>
  </si>
  <si>
    <t>http://snap.windin.com/ns/bulletin.php?id=479801&amp;type=1</t>
  </si>
  <si>
    <t>http://snap.windin.com/ns/bulletin.php?id=2058050&amp;type=1</t>
  </si>
  <si>
    <t>http://snap.windin.com/ns/bulletin.php?id=1056485&amp;type=1</t>
  </si>
  <si>
    <t>http://snap.windin.com/ns/bulletin.php?id=1715272&amp;type=1</t>
  </si>
  <si>
    <t>http://snap.windin.com/ns/bulletin.php?id=597191&amp;type=1</t>
  </si>
  <si>
    <t>http://snap.windin.com/ns/bulletin.php?id=181049&amp;type=1</t>
  </si>
  <si>
    <t>http://snap.windin.com/ns/bulletin.php?id=414930&amp;type=1</t>
  </si>
  <si>
    <t>http://snap.windin.com/ns/bulletin.php?id=18569520&amp;type=1</t>
  </si>
  <si>
    <t>http://snap.windin.com/ns/bulletin.php?id=18553784&amp;type=1</t>
  </si>
  <si>
    <t>http://snap.windin.com/ns/bulletin.php?id=2019206&amp;type=1</t>
  </si>
  <si>
    <t>http://snap.windin.com/ns/bulletin.php?id=19289808&amp;type=1</t>
  </si>
  <si>
    <t>http://snap.windin.com/ns/bulletin.php?id=585067&amp;type=1</t>
  </si>
  <si>
    <t>http://snap.windin.com/ns/bulletin.php?id=18594632&amp;type=1</t>
  </si>
  <si>
    <t>http://snap.windin.com/ns/bulletin.php?id=1418790&amp;type=1</t>
  </si>
  <si>
    <t>http://snap.windin.com/ns/bulletin.php?id=18546682&amp;type=1</t>
  </si>
  <si>
    <t>http://snap.windin.com/ns/bulletin.php?id=846483&amp;type=1</t>
  </si>
  <si>
    <t>http://snap.windin.com/ns/bulletin.php?id=1210201&amp;type=1</t>
  </si>
  <si>
    <t>http://snap.windin.com/ns/bulletin.php?id=579993&amp;type=1</t>
  </si>
  <si>
    <t>http://snap.windin.com/ns/bulletin.php?id=1320470&amp;type=1</t>
  </si>
  <si>
    <t>http://snap.windin.com/ns/bulletin.php?id=1719973&amp;type=1</t>
  </si>
  <si>
    <t>http://snap.windin.com/ns/bulletin.php?id=1154885&amp;type=1</t>
  </si>
  <si>
    <t>http://snap.windin.com/ns/bulletin.php?id=1431168&amp;type=1</t>
  </si>
  <si>
    <t>http://snap.windin.com/ns/bulletin.php?id=1812628&amp;type=1</t>
  </si>
  <si>
    <t>http://snap.windin.com/ns/bulletin.php?id=1301296&amp;type=1</t>
  </si>
  <si>
    <t>http://snap.windin.com/ns/bulletin.php?id=1136947&amp;type=1</t>
  </si>
  <si>
    <t>http://snap.windin.com/ns/bulletin.php?id=2123644&amp;type=1</t>
  </si>
  <si>
    <t>http://snap.windin.com/ns/bulletin.php?id=149384&amp;type=1</t>
  </si>
  <si>
    <t>http://snap.windin.com/ns/bulletin.php?id=488527&amp;type=1</t>
  </si>
  <si>
    <t>http://snap.windin.com/ns/bulletin.php?id=1136036&amp;type=1</t>
  </si>
  <si>
    <t>http://snap.windin.com/ns/bulletin.php?id=1390923&amp;type=1</t>
  </si>
  <si>
    <t>http://snap.windin.com/ns/bulletin.php?id=139219&amp;type=1</t>
  </si>
  <si>
    <t>http://snap.windin.com/ns/bulletin.php?id=1693119&amp;type=1</t>
  </si>
  <si>
    <t>http://snap.windin.com/ns/bulletin.php?id=658459&amp;type=1</t>
  </si>
  <si>
    <t>http://snap.windin.com/ns/bulletin.php?id=436663&amp;type=1</t>
  </si>
  <si>
    <t>http://snap.windin.com/ns/bulletin.php?id=18807672&amp;type=1</t>
  </si>
  <si>
    <t>http://snap.windin.com/ns/bulletin.php?id=962103&amp;type=1</t>
  </si>
  <si>
    <t>http://snap.windin.com/ns/bulletin.php?id=2113685&amp;type=1</t>
  </si>
  <si>
    <t>http://snap.windin.com/ns/bulletin.php?id=463564&amp;type=1</t>
  </si>
  <si>
    <t>http://snap.windin.com/ns/bulletin.php?id=1658817&amp;type=1</t>
  </si>
  <si>
    <t>http://snap.windin.com/ns/bulletin.php?id=1865842&amp;type=1</t>
  </si>
  <si>
    <t>http://snap.windin.com/ns/bulletin.php?id=1818716&amp;type=1</t>
  </si>
  <si>
    <t>http://snap.windin.com/ns/bulletin.php?id=18663600&amp;type=1</t>
  </si>
  <si>
    <t>http://snap.windin.com/ns/bulletin.php?id=1069847&amp;type=1</t>
  </si>
  <si>
    <t>http://snap.windin.com/ns/bulletin.php?id=589575&amp;type=1</t>
  </si>
  <si>
    <t>http://snap.windin.com/ns/bulletin.php?id=1370662&amp;type=1</t>
  </si>
  <si>
    <t>http://snap.windin.com/ns/bulletin.php?id=468105&amp;type=1</t>
  </si>
  <si>
    <t>http://snap.windin.com/ns/bulletin.php?id=2101087&amp;type=1</t>
  </si>
  <si>
    <t>http://snap.windin.com/ns/bulletin.php?id=479594&amp;type=1</t>
  </si>
  <si>
    <t>http://snap.windin.com/ns/bulletin.php?id=18694800&amp;type=1</t>
  </si>
  <si>
    <t>http://snap.windin.com/ns/bulletin.php?id=548367&amp;type=1</t>
  </si>
  <si>
    <t>http://snap.windin.com/ns/bulletin.php?id=2077301&amp;type=1</t>
  </si>
  <si>
    <t>http://snap.windin.com/ns/bulletin.php?id=19172020&amp;type=1</t>
  </si>
  <si>
    <t>http://snap.windin.com/ns/bulletin.php?id=927635&amp;type=1</t>
  </si>
  <si>
    <t>http://snap.windin.com/ns/bulletin.php?id=1708787&amp;type=1</t>
  </si>
  <si>
    <t>http://snap.windin.com/ns/bulletin.php?id=1160669&amp;type=1</t>
  </si>
  <si>
    <t>http://snap.windin.com/ns/bulletin.php?id=18533640&amp;type=1</t>
  </si>
  <si>
    <t>http://snap.windin.com/ns/bulletin.php?id=1802323&amp;type=1</t>
  </si>
  <si>
    <t>http://snap.windin.com/ns/bulletin.php?id=800070&amp;type=1</t>
  </si>
  <si>
    <t>http://snap.windin.com/ns/bulletin.php?id=1771394&amp;type=1</t>
  </si>
  <si>
    <t>http://snap.windin.com/ns/bulletin.php?id=1265060&amp;type=1</t>
  </si>
  <si>
    <t>http://snap.windin.com/ns/bulletin.php?id=1461233&amp;type=1</t>
  </si>
  <si>
    <t>http://snap.windin.com/ns/bulletin.php?id=1173339&amp;type=1</t>
  </si>
  <si>
    <t>http://snap.windin.com/ns/bulletin.php?id=1501852&amp;type=1</t>
  </si>
  <si>
    <t>http://snap.windin.com/ns/bulletin.php?id=85748&amp;type=1</t>
  </si>
  <si>
    <t>http://snap.windin.com/ns/bulletin.php?id=91317&amp;type=1</t>
  </si>
  <si>
    <t>http://snap.windin.com/ns/bulletin.php?id=514012&amp;type=1</t>
  </si>
  <si>
    <t>http://snap.windin.com/ns/bulletin.php?id=1516834&amp;type=1</t>
  </si>
  <si>
    <t>http://snap.windin.com/ns/bulletin.php?id=976917&amp;type=1</t>
  </si>
  <si>
    <t>http://snap.windin.com/ns/bulletin.php?id=1662088&amp;type=1</t>
  </si>
  <si>
    <t>http://snap.windin.com/ns/bulletin.php?id=1684979&amp;type=1</t>
  </si>
  <si>
    <t>http://snap.windin.com/ns/bulletin.php?id=133222&amp;type=1</t>
  </si>
  <si>
    <t>http://snap.windin.com/ns/bulletin.php?id=2079212&amp;type=1</t>
  </si>
  <si>
    <t>http://snap.windin.com/ns/bulletin.php?id=1966035&amp;type=1</t>
  </si>
  <si>
    <t>http://snap.windin.com/ns/bulletin.php?id=408982&amp;type=1</t>
  </si>
  <si>
    <t>http://snap.windin.com/ns/bulletin.php?id=431455&amp;type=1</t>
  </si>
  <si>
    <t>http://snap.windin.com/ns/bulletin.php?id=1332365&amp;type=1</t>
  </si>
  <si>
    <t>http://snap.windin.com/ns/bulletin.php?id=566695&amp;type=1</t>
  </si>
  <si>
    <t>http://snap.windin.com/ns/bulletin.php?id=459279&amp;type=1</t>
  </si>
  <si>
    <t>http://snap.windin.com/ns/bulletin.php?id=18561106&amp;type=1</t>
  </si>
  <si>
    <t>http://snap.windin.com/ns/bulletin.php?id=18494774&amp;type=1</t>
  </si>
  <si>
    <t>http://snap.windin.com/ns/bulletin.php?id=1156695&amp;type=1</t>
  </si>
  <si>
    <t>http://snap.windin.com/ns/bulletin.php?id=864667&amp;type=1</t>
  </si>
  <si>
    <t>http://snap.windin.com/ns/bulletin.php?id=1613556&amp;type=1</t>
  </si>
  <si>
    <t>http://snap.windin.com/ns/bulletin.php?id=243284&amp;type=1</t>
  </si>
  <si>
    <t>http://snap.windin.com/ns/bulletin.php?id=1627233&amp;type=1</t>
  </si>
  <si>
    <t>http://snap.windin.com/ns/bulletin.php?id=186311&amp;type=1</t>
  </si>
  <si>
    <t>http://snap.windin.com/ns/bulletin.php?id=18409718&amp;type=1</t>
  </si>
  <si>
    <t>http://snap.windin.com/ns/bulletin.php?id=18408030&amp;type=1</t>
  </si>
  <si>
    <t>http://snap.windin.com/ns/bulletin.php?id=1336874&amp;type=1</t>
  </si>
  <si>
    <t>http://snap.windin.com/ns/bulletin.php?id=19027610&amp;type=1</t>
  </si>
  <si>
    <t>http://snap.windin.com/ns/bulletin.php?id=18567946&amp;type=1</t>
  </si>
  <si>
    <t>http://snap.windin.com/ns/bulletin.php?id=1988773&amp;type=1</t>
  </si>
  <si>
    <t>http://snap.windin.com/ns/bulletin.php?id=18398712&amp;type=1</t>
  </si>
  <si>
    <t>http://snap.windin.com/ns/bulletin.php?id=1382635&amp;type=1</t>
  </si>
  <si>
    <t>http://snap.windin.com/ns/bulletin.php?id=2116583&amp;type=1</t>
  </si>
  <si>
    <t>http://snap.windin.com/ns/bulletin.php?id=509760&amp;type=1</t>
  </si>
  <si>
    <t>http://snap.windin.com/ns/bulletin.php?id=1448798&amp;type=1</t>
  </si>
  <si>
    <t>http://snap.windin.com/ns/bulletin.php?id=425089&amp;type=1</t>
  </si>
  <si>
    <t>http://snap.windin.com/ns/bulletin.php?id=2077087&amp;type=1</t>
  </si>
  <si>
    <t>http://snap.windin.com/ns/bulletin.php?id=2029605&amp;type=1</t>
  </si>
  <si>
    <t>http://snap.windin.com/ns/bulletin.php?id=2006246&amp;type=1</t>
  </si>
  <si>
    <t>http://snap.windin.com/ns/bulletin.php?id=2087729&amp;type=1</t>
  </si>
  <si>
    <t>http://snap.windin.com/ns/bulletin.php?id=1553073&amp;type=1</t>
  </si>
  <si>
    <t>http://snap.windin.com/ns/bulletin.php?id=1382955&amp;type=1</t>
  </si>
  <si>
    <t>http://snap.windin.com/ns/bulletin.php?id=606780&amp;type=1</t>
  </si>
  <si>
    <t>http://snap.windin.com/ns/bulletin.php?id=1819521&amp;type=1</t>
  </si>
  <si>
    <t>http://snap.windin.com/ns/bulletin.php?id=583332&amp;type=1</t>
  </si>
  <si>
    <t>http://snap.windin.com/ns/bulletin.php?id=406216&amp;type=1</t>
  </si>
  <si>
    <t>http://snap.windin.com/ns/bulletin.php?id=19310568&amp;type=1</t>
  </si>
  <si>
    <t>http://snap.windin.com/ns/bulletin.php?id=1132480&amp;type=1</t>
  </si>
  <si>
    <t>http://snap.windin.com/ns/bulletin.php?id=1598866&amp;type=1</t>
  </si>
  <si>
    <t>http://snap.windin.com/ns/bulletin.php?id=567194&amp;type=1</t>
  </si>
  <si>
    <t>http://snap.windin.com/ns/bulletin.php?id=1260607&amp;type=1</t>
  </si>
  <si>
    <t>http://snap.windin.com/ns/bulletin.php?id=19259332&amp;type=1</t>
  </si>
  <si>
    <t>http://snap.windin.com/ns/bulletin.php?id=1202516&amp;type=1</t>
  </si>
  <si>
    <t>http://snap.windin.com/ns/bulletin.php?id=18847344&amp;type=1</t>
  </si>
  <si>
    <t>http://snap.windin.com/ns/bulletin.php?id=1576192&amp;type=1</t>
  </si>
  <si>
    <t>http://snap.windin.com/ns/bulletin.php?id=1695196&amp;type=1</t>
  </si>
  <si>
    <t>http://snap.windin.com/ns/bulletin.php?id=406116&amp;type=1</t>
  </si>
  <si>
    <t>http://snap.windin.com/ns/bulletin.php?id=1355562&amp;type=1</t>
  </si>
  <si>
    <t>http://snap.windin.com/ns/bulletin.php?id=1839669&amp;type=1</t>
  </si>
  <si>
    <t>http://snap.windin.com/ns/bulletin.php?id=2055177&amp;type=1</t>
  </si>
  <si>
    <t>http://snap.windin.com/ns/bulletin.php?id=186579&amp;type=1</t>
  </si>
  <si>
    <t>http://snap.windin.com/ns/bulletin.php?id=600457&amp;type=1</t>
  </si>
  <si>
    <t>http://snap.windin.com/ns/bulletin.php?id=1632875&amp;type=1</t>
  </si>
  <si>
    <t>http://snap.windin.com/ns/bulletin.php?id=1585030&amp;type=1</t>
  </si>
  <si>
    <t>http://snap.windin.com/ns/bulletin.php?id=586086&amp;type=1</t>
  </si>
  <si>
    <t>http://snap.windin.com/ns/bulletin.php?id=2121252&amp;type=1</t>
  </si>
  <si>
    <t>http://snap.windin.com/ns/bulletin.php?id=1954024&amp;type=1</t>
  </si>
  <si>
    <t>http://snap.windin.com/ns/bulletin.php?id=19267638&amp;type=1</t>
  </si>
  <si>
    <t>http://snap.windin.com/ns/bulletin.php?id=18487742&amp;type=1</t>
  </si>
  <si>
    <t>http://snap.windin.com/ns/bulletin.php?id=2120970&amp;type=1</t>
  </si>
  <si>
    <t>http://snap.windin.com/ns/bulletin.php?id=1892418&amp;type=1</t>
  </si>
  <si>
    <t>http://snap.windin.com/ns/bulletin.php?id=2019338&amp;type=1</t>
  </si>
  <si>
    <t>http://snap.windin.com/ns/bulletin.php?id=1110139&amp;type=1</t>
  </si>
  <si>
    <t>http://snap.windin.com/ns/bulletin.php?id=1815597&amp;type=1</t>
  </si>
  <si>
    <t>http://snap.windin.com/ns/bulletin.php?id=197878&amp;type=1</t>
  </si>
  <si>
    <t>http://snap.windin.com/ns/bulletin.php?id=527532&amp;type=1</t>
  </si>
  <si>
    <t>http://snap.windin.com/ns/bulletin.php?id=1652455&amp;type=1</t>
  </si>
  <si>
    <t>http://snap.windin.com/ns/bulletin.php?id=18846082&amp;type=1</t>
  </si>
  <si>
    <t>http://snap.windin.com/ns/bulletin.php?id=1427607&amp;type=1</t>
  </si>
  <si>
    <t>http://snap.windin.com/ns/bulletin.php?id=18557752&amp;type=1</t>
  </si>
  <si>
    <t>http://snap.windin.com/ns/bulletin.php?id=522494&amp;type=1</t>
  </si>
  <si>
    <t>http://snap.windin.com/ns/bulletin.php?id=19185208&amp;type=1</t>
  </si>
  <si>
    <t>http://snap.windin.com/ns/bulletin.php?id=18535422&amp;type=1</t>
  </si>
  <si>
    <t>http://snap.windin.com/ns/bulletin.php?id=922036&amp;type=1</t>
  </si>
  <si>
    <t>http://snap.windin.com/ns/bulletin.php?id=1390101&amp;type=1</t>
  </si>
  <si>
    <t>http://snap.windin.com/ns/bulletin.php?id=1508990&amp;type=1</t>
  </si>
  <si>
    <t>http://snap.windin.com/ns/bulletin.php?id=1169257&amp;type=1</t>
  </si>
  <si>
    <t>http://snap.windin.com/ns/bulletin.php?id=1735789&amp;type=1</t>
  </si>
  <si>
    <t>http://snap.windin.com/ns/bulletin.php?id=2083826&amp;type=1</t>
  </si>
  <si>
    <t>http://snap.windin.com/ns/bulletin.php?id=542649&amp;type=1</t>
  </si>
  <si>
    <t>http://snap.windin.com/ns/bulletin.php?id=1097160&amp;type=1</t>
  </si>
  <si>
    <t>http://snap.windin.com/ns/bulletin.php?id=1101578&amp;type=1</t>
  </si>
  <si>
    <t>http://snap.windin.com/ns/bulletin.php?id=1364164&amp;type=1</t>
  </si>
  <si>
    <t>http://snap.windin.com/ns/bulletin.php?id=1044530&amp;type=1</t>
  </si>
  <si>
    <t>http://snap.windin.com/ns/bulletin.php?id=1206585&amp;type=1</t>
  </si>
  <si>
    <t>http://snap.windin.com/ns/bulletin.php?id=1142714&amp;type=1</t>
  </si>
  <si>
    <t>http://snap.windin.com/ns/bulletin.php?id=18516138&amp;type=1</t>
  </si>
  <si>
    <t>http://snap.windin.com/ns/bulletin.php?id=18428632&amp;type=1</t>
  </si>
  <si>
    <t>http://snap.windin.com/ns/bulletin.php?id=1427303&amp;type=1</t>
  </si>
  <si>
    <t>http://snap.windin.com/ns/bulletin.php?id=1658270&amp;type=1</t>
  </si>
  <si>
    <t>http://snap.windin.com/ns/bulletin.php?id=19138148&amp;type=1</t>
  </si>
  <si>
    <t>http://snap.windin.com/ns/bulletin.php?id=160022&amp;type=1</t>
  </si>
  <si>
    <t>http://snap.windin.com/ns/bulletin.php?id=1536747&amp;type=1</t>
  </si>
  <si>
    <t>http://snap.windin.com/ns/bulletin.php?id=19282754&amp;type=1</t>
  </si>
  <si>
    <t>http://snap.windin.com/ns/bulletin.php?id=18564364&amp;type=1</t>
  </si>
  <si>
    <t>http://snap.windin.com/ns/bulletin.php?id=1959010&amp;type=1</t>
  </si>
  <si>
    <t>http://snap.windin.com/ns/bulletin.php?id=1478449&amp;type=1</t>
  </si>
  <si>
    <t>http://snap.windin.com/ns/bulletin.php?id=946238&amp;type=1</t>
  </si>
  <si>
    <t>http://snap.windin.com/ns/bulletin.php?id=1837193&amp;type=1</t>
  </si>
  <si>
    <t>http://snap.windin.com/ns/bulletin.php?id=147273&amp;type=1</t>
  </si>
  <si>
    <t>http://snap.windin.com/ns/bulletin.php?id=1992114&amp;type=1</t>
  </si>
  <si>
    <t>http://snap.windin.com/ns/bulletin.php?id=1247280&amp;type=1</t>
  </si>
  <si>
    <t>http://snap.windin.com/ns/bulletin.php?id=1090362&amp;type=1</t>
  </si>
  <si>
    <t>http://snap.windin.com/ns/bulletin.php?id=2017348&amp;type=1</t>
  </si>
  <si>
    <t>http://snap.windin.com/ns/bulletin.php?id=1934948&amp;type=1</t>
  </si>
  <si>
    <t>http://snap.windin.com/ns/bulletin.php?id=18535990&amp;type=1</t>
  </si>
  <si>
    <t>http://snap.windin.com/ns/bulletin.php?id=2108326&amp;type=1</t>
  </si>
  <si>
    <t>http://snap.windin.com/ns/bulletin.php?id=1556743&amp;type=1</t>
  </si>
  <si>
    <t>http://snap.windin.com/ns/bulletin.php?id=1697923&amp;type=1</t>
  </si>
  <si>
    <t>http://snap.windin.com/ns/bulletin.php?id=822610&amp;type=1</t>
  </si>
  <si>
    <t>http://snap.windin.com/ns/bulletin.php?id=84360&amp;type=1</t>
  </si>
  <si>
    <t>http://snap.windin.com/ns/bulletin.php?id=185586&amp;type=1</t>
  </si>
  <si>
    <t>http://snap.windin.com/ns/bulletin.php?id=1726713&amp;type=1</t>
  </si>
  <si>
    <t>http://snap.windin.com/ns/bulletin.php?id=72972&amp;type=1</t>
  </si>
  <si>
    <t>http://snap.windin.com/ns/bulletin.php?id=718731&amp;type=1</t>
  </si>
  <si>
    <t>http://snap.windin.com/ns/bulletin.php?id=2115011&amp;type=1</t>
  </si>
  <si>
    <t>http://snap.windin.com/ns/bulletin.php?id=760218&amp;type=1</t>
  </si>
  <si>
    <t>http://snap.windin.com/ns/bulletin.php?id=18963028&amp;type=1</t>
  </si>
  <si>
    <t>http://snap.windin.com/ns/bulletin.php?id=1726210&amp;type=1</t>
  </si>
  <si>
    <t>http://snap.windin.com/ns/bulletin.php?id=932434&amp;type=1</t>
  </si>
  <si>
    <t>http://snap.windin.com/ns/bulletin.php?id=19376000&amp;type=1</t>
  </si>
  <si>
    <t>http://snap.windin.com/ns/bulletin.php?id=1509130&amp;type=1</t>
  </si>
  <si>
    <t>http://snap.windin.com/ns/bulletin.php?id=1924335&amp;type=1</t>
  </si>
  <si>
    <t>http://snap.windin.com/ns/bulletin.php?id=1628809&amp;type=1</t>
  </si>
  <si>
    <t>http://snap.windin.com/ns/bulletin.php?id=1151915&amp;type=1</t>
  </si>
  <si>
    <t>http://snap.windin.com/ns/bulletin.php?id=827024&amp;type=1</t>
  </si>
  <si>
    <t>http://snap.windin.com/ns/bulletin.php?id=837078&amp;type=1</t>
  </si>
  <si>
    <t>http://snap.windin.com/ns/bulletin.php?id=1070956&amp;type=1</t>
  </si>
  <si>
    <t>http://snap.windin.com/ns/bulletin.php?id=18448490&amp;type=1</t>
  </si>
  <si>
    <t>http://snap.windin.com/ns/bulletin.php?id=211920&amp;type=1</t>
  </si>
  <si>
    <t>http://snap.windin.com/ns/bulletin.php?id=19458224&amp;type=1</t>
  </si>
  <si>
    <t>http://snap.windin.com/ns/bulletin.php?id=1955830&amp;type=1</t>
  </si>
  <si>
    <t>http://snap.windin.com/ns/bulletin.php?id=18445460&amp;type=1</t>
  </si>
  <si>
    <t>http://snap.windin.com/ns/bulletin.php?id=502344&amp;type=1</t>
  </si>
  <si>
    <t>http://snap.windin.com/ns/bulletin.php?id=1729975&amp;type=1</t>
  </si>
  <si>
    <t>http://snap.windin.com/ns/bulletin.php?id=1460276&amp;type=1</t>
  </si>
  <si>
    <t>http://snap.windin.com/ns/bulletin.php?id=629806&amp;type=1</t>
  </si>
  <si>
    <t>http://snap.windin.com/ns/bulletin.php?id=1689746&amp;type=1</t>
  </si>
  <si>
    <t>http://snap.windin.com/ns/bulletin.php?id=113609&amp;type=1</t>
  </si>
  <si>
    <t>http://snap.windin.com/ns/bulletin.php?id=436397&amp;type=1</t>
  </si>
  <si>
    <t>http://snap.windin.com/ns/bulletin.php?id=2067236&amp;type=1</t>
  </si>
  <si>
    <t>http://snap.windin.com/ns/bulletin.php?id=1069197&amp;type=1</t>
  </si>
  <si>
    <t>http://snap.windin.com/ns/bulletin.php?id=1197831&amp;type=1</t>
  </si>
  <si>
    <t>http://snap.windin.com/ns/bulletin.php?id=541051&amp;type=1</t>
  </si>
  <si>
    <t>http://snap.windin.com/ns/bulletin.php?id=913609&amp;type=1</t>
  </si>
  <si>
    <t>http://snap.windin.com/ns/bulletin.php?id=151447&amp;type=1</t>
  </si>
  <si>
    <t>http://snap.windin.com/ns/bulletin.php?id=1816031&amp;type=1</t>
  </si>
  <si>
    <t>http://snap.windin.com/ns/bulletin.php?id=1147338&amp;type=1</t>
  </si>
  <si>
    <t>http://snap.windin.com/ns/bulletin.php?id=1060780&amp;type=1</t>
  </si>
  <si>
    <t>http://snap.windin.com/ns/bulletin.php?id=1361611&amp;type=1</t>
  </si>
  <si>
    <t>http://snap.windin.com/ns/bulletin.php?id=1718760&amp;type=1</t>
  </si>
  <si>
    <t>http://snap.windin.com/ns/bulletin.php?id=1845919&amp;type=1</t>
  </si>
  <si>
    <t>http://snap.windin.com/ns/bulletin.php?id=199794&amp;type=1</t>
  </si>
  <si>
    <t>http://snap.windin.com/ns/bulletin.php?id=678738&amp;type=1</t>
  </si>
  <si>
    <t>http://snap.windin.com/ns/bulletin.php?id=1809121&amp;type=1</t>
  </si>
  <si>
    <t>http://snap.windin.com/ns/bulletin.php?id=425700&amp;type=1</t>
  </si>
  <si>
    <t>http://snap.windin.com/ns/bulletin.php?id=2100102&amp;type=1</t>
  </si>
  <si>
    <t>http://snap.windin.com/ns/bulletin.php?id=1798726&amp;type=1</t>
  </si>
  <si>
    <t>http://snap.windin.com/ns/bulletin.php?id=1577941&amp;type=1</t>
  </si>
  <si>
    <t>http://snap.windin.com/ns/bulletin.php?id=1960959&amp;type=1</t>
  </si>
  <si>
    <t>http://snap.windin.com/ns/bulletin.php?id=925986&amp;type=1</t>
  </si>
  <si>
    <t>http://snap.windin.com/ns/bulletin.php?id=225561&amp;type=1</t>
  </si>
  <si>
    <t>http://snap.windin.com/ns/bulletin.php?id=1848525&amp;type=1</t>
  </si>
  <si>
    <t>http://snap.windin.com/ns/bulletin.php?id=717972&amp;type=1</t>
  </si>
  <si>
    <t>http://snap.windin.com/ns/bulletin.php?id=402199&amp;type=1</t>
  </si>
  <si>
    <t>http://snap.windin.com/ns/bulletin.php?id=1686780&amp;type=1</t>
  </si>
  <si>
    <t>http://snap.windin.com/ns/bulletin.php?id=455526&amp;type=1</t>
  </si>
  <si>
    <t>http://snap.windin.com/ns/bulletin.php?id=809272&amp;type=1</t>
  </si>
  <si>
    <t>http://snap.windin.com/ns/bulletin.php?id=1199807&amp;type=1</t>
  </si>
  <si>
    <t>http://snap.windin.com/ns/bulletin.php?id=1462830&amp;type=1</t>
  </si>
  <si>
    <t>http://snap.windin.com/ns/bulletin.php?id=456262&amp;type=1</t>
  </si>
  <si>
    <t>http://snap.windin.com/ns/bulletin.php?id=1747288&amp;type=1</t>
  </si>
  <si>
    <t>http://snap.windin.com/ns/bulletin.php?id=1512404&amp;type=1</t>
  </si>
  <si>
    <t>http://snap.windin.com/ns/bulletin.php?id=1527680&amp;type=1</t>
  </si>
  <si>
    <t>http://snap.windin.com/ns/bulletin.php?id=1908975&amp;type=1</t>
  </si>
  <si>
    <t>http://snap.windin.com/ns/bulletin.php?id=1970909&amp;type=1</t>
  </si>
  <si>
    <t>http://snap.windin.com/ns/bulletin.php?id=1134062&amp;type=1</t>
  </si>
  <si>
    <t>http://snap.windin.com/ns/bulletin.php?id=1387158&amp;type=1</t>
  </si>
  <si>
    <t>http://snap.windin.com/ns/bulletin.php?id=578904&amp;type=1</t>
  </si>
  <si>
    <t>http://snap.windin.com/ns/bulletin.php?id=1161844&amp;type=1</t>
  </si>
  <si>
    <t>http://snap.windin.com/ns/bulletin.php?id=840943&amp;type=1</t>
  </si>
  <si>
    <t>http://snap.windin.com/ns/bulletin.php?id=795638&amp;type=1</t>
  </si>
  <si>
    <t>http://snap.windin.com/ns/bulletin.php?id=1182589&amp;type=1</t>
  </si>
  <si>
    <t>http://snap.windin.com/ns/bulletin.php?id=1416081&amp;type=1</t>
  </si>
  <si>
    <t>http://snap.windin.com/ns/bulletin.php?id=217755&amp;type=1</t>
  </si>
  <si>
    <t>http://snap.windin.com/ns/bulletin.php?id=526072&amp;type=1</t>
  </si>
  <si>
    <t>http://snap.windin.com/ns/bulletin.php?id=2034848&amp;type=1</t>
  </si>
  <si>
    <t>http://snap.windin.com/ns/bulletin.php?id=728031&amp;type=1</t>
  </si>
  <si>
    <t>http://snap.windin.com/ns/bulletin.php?id=1179097&amp;type=1</t>
  </si>
  <si>
    <t>http://snap.windin.com/ns/bulletin.php?id=2013053&amp;type=1</t>
  </si>
  <si>
    <t>http://snap.windin.com/ns/bulletin.php?id=1393299&amp;type=1</t>
  </si>
  <si>
    <t>http://snap.windin.com/ns/bulletin.php?id=1088942&amp;type=1</t>
  </si>
  <si>
    <t>http://snap.windin.com/ns/bulletin.php?id=902932&amp;type=1</t>
  </si>
  <si>
    <t>http://snap.windin.com/ns/bulletin.php?id=1742165&amp;type=1</t>
  </si>
  <si>
    <t>http://snap.windin.com/ns/bulletin.php?id=1891894&amp;type=1</t>
  </si>
  <si>
    <t>http://snap.windin.com/ns/bulletin.php?id=1911565&amp;type=1</t>
  </si>
  <si>
    <t>http://snap.windin.com/ns/bulletin.php?id=815609&amp;type=1</t>
  </si>
  <si>
    <t>http://snap.windin.com/ns/bulletin.php?id=2089312&amp;type=1</t>
  </si>
  <si>
    <t>http://snap.windin.com/ns/bulletin.php?id=1181814&amp;type=1</t>
  </si>
  <si>
    <t>http://snap.windin.com/ns/bulletin.php?id=1228098&amp;type=1</t>
  </si>
  <si>
    <t>http://snap.windin.com/ns/bulletin.php?id=1992099&amp;type=1</t>
  </si>
  <si>
    <t>http://snap.windin.com/ns/bulletin.php?id=1541665&amp;type=1</t>
  </si>
  <si>
    <t>http://snap.windin.com/ns/bulletin.php?id=561006&amp;type=1</t>
  </si>
  <si>
    <t>http://snap.windin.com/ns/bulletin.php?id=530804&amp;type=1</t>
  </si>
  <si>
    <t>http://snap.windin.com/ns/bulletin.php?id=559190&amp;type=1</t>
  </si>
  <si>
    <t>http://snap.windin.com/ns/bulletin.php?id=1214600&amp;type=1</t>
  </si>
  <si>
    <t>http://snap.windin.com/ns/bulletin.php?id=1847265&amp;type=1</t>
  </si>
  <si>
    <t>http://snap.windin.com/ns/bulletin.php?id=129055&amp;type=1</t>
  </si>
  <si>
    <t>http://snap.windin.com/ns/bulletin.php?id=528892&amp;type=1</t>
  </si>
  <si>
    <t>http://snap.windin.com/ns/bulletin.php?id=491900&amp;type=1</t>
  </si>
  <si>
    <t>http://snap.windin.com/ns/bulletin.php?id=1715458&amp;type=1</t>
  </si>
  <si>
    <t>http://snap.windin.com/ns/bulletin.php?id=1074764&amp;type=1</t>
  </si>
  <si>
    <t>http://snap.windin.com/ns/bulletin.php?id=953185&amp;type=1</t>
  </si>
  <si>
    <t>http://snap.windin.com/ns/bulletin.php?id=1787744&amp;type=1</t>
  </si>
  <si>
    <t>http://snap.windin.com/ns/bulletin.php?id=18562374&amp;type=1</t>
  </si>
  <si>
    <t>http://snap.windin.com/ns/bulletin.php?id=81394&amp;type=1</t>
  </si>
  <si>
    <t>http://snap.windin.com/ns/bulletin.php?id=808835&amp;type=1</t>
  </si>
  <si>
    <t>http://snap.windin.com/ns/bulletin.php?id=187065&amp;type=1</t>
  </si>
  <si>
    <t>http://snap.windin.com/ns/bulletin.php?id=1331821&amp;type=1</t>
  </si>
  <si>
    <t>http://snap.windin.com/ns/bulletin.php?id=1896710&amp;type=1</t>
  </si>
  <si>
    <t>http://snap.windin.com/ns/bulletin.php?id=1643645&amp;type=1</t>
  </si>
  <si>
    <t>http://snap.windin.com/ns/bulletin.php?id=1273806&amp;type=1</t>
  </si>
  <si>
    <t>http://snap.windin.com/ns/bulletin.php?id=1784883&amp;type=1</t>
  </si>
  <si>
    <t>http://snap.windin.com/ns/bulletin.php?id=808941&amp;type=1</t>
  </si>
  <si>
    <t>http://snap.windin.com/ns/bulletin.php?id=827290&amp;type=1</t>
  </si>
  <si>
    <t>http://snap.windin.com/ns/bulletin.php?id=1852895&amp;type=1</t>
  </si>
  <si>
    <t>http://snap.windin.com/ns/bulletin.php?id=1387403&amp;type=1</t>
  </si>
  <si>
    <t>http://snap.windin.com/ns/bulletin.php?id=1377319&amp;type=1</t>
  </si>
  <si>
    <t>http://snap.windin.com/ns/bulletin.php?id=1799583&amp;type=1</t>
  </si>
  <si>
    <t>http://snap.windin.com/ns/bulletin.php?id=475862&amp;type=1</t>
  </si>
  <si>
    <t>http://snap.windin.com/ns/bulletin.php?id=1696198&amp;type=1</t>
  </si>
  <si>
    <t>http://snap.windin.com/ns/bulletin.php?id=1697633&amp;type=1</t>
  </si>
  <si>
    <t>http://snap.windin.com/ns/bulletin.php?id=1145216&amp;type=1</t>
  </si>
  <si>
    <t>http://snap.windin.com/ns/bulletin.php?id=2020445&amp;type=1</t>
  </si>
  <si>
    <t>http://snap.windin.com/ns/bulletin.php?id=895006&amp;type=1</t>
  </si>
  <si>
    <t>http://snap.windin.com/ns/bulletin.php?id=1501608&amp;type=1</t>
  </si>
  <si>
    <t>http://snap.windin.com/ns/bulletin.php?id=633778&amp;type=1</t>
  </si>
  <si>
    <t>http://snap.windin.com/ns/bulletin.php?id=1845554&amp;type=1</t>
  </si>
  <si>
    <t>http://snap.windin.com/ns/bulletin.php?id=659662&amp;type=1</t>
  </si>
  <si>
    <t>http://snap.windin.com/ns/bulletin.php?id=18401412&amp;type=1</t>
  </si>
  <si>
    <t>http://snap.windin.com/ns/bulletin.php?id=2004437&amp;type=1</t>
  </si>
  <si>
    <t>http://snap.windin.com/ns/bulletin.php?id=1250344&amp;type=1</t>
  </si>
  <si>
    <t>http://snap.windin.com/ns/bulletin.php?id=715322&amp;type=1</t>
  </si>
  <si>
    <t>http://snap.windin.com/ns/bulletin.php?id=894932&amp;type=1</t>
  </si>
  <si>
    <t>http://snap.windin.com/ns/bulletin.php?id=1150739&amp;type=1</t>
  </si>
  <si>
    <t>http://snap.windin.com/ns/bulletin.php?id=1709824&amp;type=1</t>
  </si>
  <si>
    <t>http://snap.windin.com/ns/bulletin.php?id=1014932&amp;type=1</t>
  </si>
  <si>
    <t>http://snap.windin.com/ns/bulletin.php?id=946296&amp;type=1</t>
  </si>
  <si>
    <t>http://snap.windin.com/ns/bulletin.php?id=1842695&amp;type=1</t>
  </si>
  <si>
    <t>http://snap.windin.com/ns/bulletin.php?id=1087719&amp;type=1</t>
  </si>
  <si>
    <t>http://snap.windin.com/ns/bulletin.php?id=18993544&amp;type=1</t>
  </si>
  <si>
    <t>http://snap.windin.com/ns/bulletin.php?id=1496092&amp;type=1</t>
  </si>
  <si>
    <t>http://snap.windin.com/ns/bulletin.php?id=19387662&amp;type=1</t>
  </si>
  <si>
    <t>http://snap.windin.com/ns/bulletin.php?id=1804896&amp;type=1</t>
  </si>
  <si>
    <t>http://snap.windin.com/ns/bulletin.php?id=18913844&amp;type=1</t>
  </si>
  <si>
    <t>http://snap.windin.com/ns/bulletin.php?id=558255&amp;type=1</t>
  </si>
  <si>
    <t>http://snap.windin.com/ns/bulletin.php?id=791183&amp;type=1</t>
  </si>
  <si>
    <t>http://snap.windin.com/ns/bulletin.php?id=987096&amp;type=1</t>
  </si>
  <si>
    <t>http://snap.windin.com/ns/bulletin.php?id=1423047&amp;type=1</t>
  </si>
  <si>
    <t>http://snap.windin.com/ns/bulletin.php?id=227916&amp;type=1</t>
  </si>
  <si>
    <t>http://snap.windin.com/ns/bulletin.php?id=1439461&amp;type=1</t>
  </si>
  <si>
    <t>http://snap.windin.com/ns/bulletin.php?id=787441&amp;type=1</t>
  </si>
  <si>
    <t>http://snap.windin.com/ns/bulletin.php?id=573339&amp;type=1</t>
  </si>
  <si>
    <t>http://snap.windin.com/ns/bulletin.php?id=1346829&amp;type=1</t>
  </si>
  <si>
    <t>http://snap.windin.com/ns/bulletin.php?id=1005781&amp;type=1</t>
  </si>
  <si>
    <t>http://snap.windin.com/ns/bulletin.php?id=1854296&amp;type=1</t>
  </si>
  <si>
    <t>http://snap.windin.com/ns/bulletin.php?id=579740&amp;type=1</t>
  </si>
  <si>
    <t>http://snap.windin.com/ns/bulletin.php?id=1889919&amp;type=1</t>
  </si>
  <si>
    <t>http://snap.windin.com/ns/bulletin.php?id=184827&amp;type=1</t>
  </si>
  <si>
    <t>http://snap.windin.com/ns/bulletin.php?id=1350421&amp;type=1</t>
  </si>
  <si>
    <t>http://snap.windin.com/ns/bulletin.php?id=1041827&amp;type=1</t>
  </si>
  <si>
    <t>http://snap.windin.com/ns/bulletin.php?id=1926715&amp;type=1</t>
  </si>
  <si>
    <t>http://snap.windin.com/ns/bulletin.php?id=1688957&amp;type=1</t>
  </si>
  <si>
    <t>http://snap.windin.com/ns/bulletin.php?id=480083&amp;type=1</t>
  </si>
  <si>
    <t>http://snap.windin.com/ns/bulletin.php?id=577431&amp;type=1</t>
  </si>
  <si>
    <t>http://snap.windin.com/ns/bulletin.php?id=2112024&amp;type=1</t>
  </si>
  <si>
    <t>http://snap.windin.com/ns/bulletin.php?id=897682&amp;type=1</t>
  </si>
  <si>
    <t>http://snap.windin.com/ns/bulletin.php?id=605180&amp;type=1</t>
  </si>
  <si>
    <t>http://snap.windin.com/ns/bulletin.php?id=1872668&amp;type=1</t>
  </si>
  <si>
    <t>http://snap.windin.com/ns/bulletin.php?id=18534648&amp;type=1</t>
  </si>
  <si>
    <t>http://snap.windin.com/ns/bulletin.php?id=1887277&amp;type=1</t>
  </si>
  <si>
    <t>http://snap.windin.com/ns/bulletin.php?id=882491&amp;type=1</t>
  </si>
  <si>
    <t>http://snap.windin.com/ns/bulletin.php?id=1088745&amp;type=1</t>
  </si>
  <si>
    <t>http://snap.windin.com/ns/bulletin.php?id=623858&amp;type=1</t>
  </si>
  <si>
    <t>http://snap.windin.com/ns/bulletin.php?id=651614&amp;type=1</t>
  </si>
  <si>
    <t>http://snap.windin.com/ns/bulletin.php?id=770312&amp;type=1</t>
  </si>
  <si>
    <t>http://snap.windin.com/ns/bulletin.php?id=894410&amp;type=1</t>
  </si>
  <si>
    <t>http://snap.windin.com/ns/bulletin.php?id=864381&amp;type=1</t>
  </si>
  <si>
    <t>http://snap.windin.com/ns/bulletin.php?id=19221742&amp;type=1</t>
  </si>
  <si>
    <t>http://snap.windin.com/ns/bulletin.php?id=696935&amp;type=1</t>
  </si>
  <si>
    <t>http://snap.windin.com/ns/bulletin.php?id=18534348&amp;type=1</t>
  </si>
  <si>
    <t>http://snap.windin.com/ns/bulletin.php?id=587612&amp;type=1</t>
  </si>
  <si>
    <t>http://snap.windin.com/ns/bulletin.php?id=18662508&amp;type=1</t>
  </si>
  <si>
    <t>http://snap.windin.com/ns/bulletin.php?id=200655&amp;type=1</t>
  </si>
  <si>
    <t>http://snap.windin.com/ns/bulletin.php?id=2009870&amp;type=1</t>
  </si>
  <si>
    <t>http://snap.windin.com/ns/bulletin.php?id=406138&amp;type=1</t>
  </si>
  <si>
    <t>http://snap.windin.com/ns/bulletin.php?id=546526&amp;type=1</t>
  </si>
  <si>
    <t>http://snap.windin.com/ns/bulletin.php?id=989626&amp;type=1</t>
  </si>
  <si>
    <t>http://snap.windin.com/ns/bulletin.php?id=235186&amp;type=1</t>
  </si>
  <si>
    <t>http://snap.windin.com/ns/bulletin.php?id=920736&amp;type=1</t>
  </si>
  <si>
    <t>http://snap.windin.com/ns/bulletin.php?id=1159807&amp;type=1</t>
  </si>
  <si>
    <t>http://snap.windin.com/ns/bulletin.php?id=233562&amp;type=1</t>
  </si>
  <si>
    <t>http://snap.windin.com/ns/bulletin.php?id=928125&amp;type=1</t>
  </si>
  <si>
    <t>http://snap.windin.com/ns/bulletin.php?id=1839425&amp;type=1</t>
  </si>
  <si>
    <t>http://snap.windin.com/ns/bulletin.php?id=1393474&amp;type=1</t>
  </si>
  <si>
    <t>http://snap.windin.com/ns/bulletin.php?id=1954106&amp;type=1</t>
  </si>
  <si>
    <t>http://snap.windin.com/ns/bulletin.php?id=1291371&amp;type=1</t>
  </si>
  <si>
    <t>http://snap.windin.com/ns/bulletin.php?id=465006&amp;type=1</t>
  </si>
  <si>
    <t>http://snap.windin.com/ns/bulletin.php?id=1304821&amp;type=1</t>
  </si>
  <si>
    <t>http://snap.windin.com/ns/bulletin.php?id=2089637&amp;type=1</t>
  </si>
  <si>
    <t>http://snap.windin.com/ns/bulletin.php?id=1546958&amp;type=1</t>
  </si>
  <si>
    <t>http://snap.windin.com/ns/bulletin.php?id=1409751&amp;type=1</t>
  </si>
  <si>
    <t>http://snap.windin.com/ns/bulletin.php?id=224666&amp;type=1</t>
  </si>
  <si>
    <t>http://snap.windin.com/ns/bulletin.php?id=417129&amp;type=1</t>
  </si>
  <si>
    <t>http://snap.windin.com/ns/bulletin.php?id=548604&amp;type=1</t>
  </si>
  <si>
    <t>http://snap.windin.com/ns/bulletin.php?id=901500&amp;type=1</t>
  </si>
  <si>
    <t>http://snap.windin.com/ns/bulletin.php?id=1996398&amp;type=1</t>
  </si>
  <si>
    <t>http://snap.windin.com/ns/bulletin.php?id=1629037&amp;type=1</t>
  </si>
  <si>
    <t>http://snap.windin.com/ns/bulletin.php?id=803555&amp;type=1</t>
  </si>
  <si>
    <t>http://snap.windin.com/ns/bulletin.php?id=1973229&amp;type=1</t>
  </si>
  <si>
    <t>http://snap.windin.com/ns/bulletin.php?id=439291&amp;type=1</t>
  </si>
  <si>
    <t>http://snap.windin.com/ns/bulletin.php?id=752607&amp;type=1</t>
  </si>
  <si>
    <t>http://snap.windin.com/ns/bulletin.php?id=1010855&amp;type=1</t>
  </si>
  <si>
    <t>http://snap.windin.com/ns/bulletin.php?id=19448058&amp;type=1</t>
  </si>
  <si>
    <t>http://snap.windin.com/ns/bulletin.php?id=1344170&amp;type=1</t>
  </si>
  <si>
    <t>http://snap.windin.com/ns/bulletin.php?id=599801&amp;type=1</t>
  </si>
  <si>
    <t>http://snap.windin.com/ns/bulletin.php?id=1586262&amp;type=1</t>
  </si>
  <si>
    <t>http://snap.windin.com/ns/bulletin.php?id=1859080&amp;type=1</t>
  </si>
  <si>
    <t>http://snap.windin.com/ns/bulletin.php?id=1597808&amp;type=1</t>
  </si>
  <si>
    <t>http://snap.windin.com/ns/bulletin.php?id=2075745&amp;type=1</t>
  </si>
  <si>
    <t>http://snap.windin.com/ns/bulletin.php?id=1458223&amp;type=1</t>
  </si>
  <si>
    <t>http://snap.windin.com/ns/bulletin.php?id=1928308&amp;type=1</t>
  </si>
  <si>
    <t>http://snap.windin.com/ns/bulletin.php?id=2007314&amp;type=1</t>
  </si>
  <si>
    <t>http://snap.windin.com/ns/bulletin.php?id=202024&amp;type=1</t>
  </si>
  <si>
    <t>http://snap.windin.com/ns/bulletin.php?id=172818&amp;type=1</t>
  </si>
  <si>
    <t>http://snap.windin.com/ns/bulletin.php?id=1702797&amp;type=1</t>
  </si>
  <si>
    <t>http://snap.windin.com/ns/bulletin.php?id=1055757&amp;type=1</t>
  </si>
  <si>
    <t>http://snap.windin.com/ns/bulletin.php?id=1452790&amp;type=1</t>
  </si>
  <si>
    <t>http://snap.windin.com/ns/bulletin.php?id=19147684&amp;type=1</t>
  </si>
  <si>
    <t>http://snap.windin.com/ns/bulletin.php?id=18539682&amp;type=1</t>
  </si>
  <si>
    <t>http://snap.windin.com/ns/bulletin.php?id=1966384&amp;type=1</t>
  </si>
  <si>
    <t>http://snap.windin.com/ns/bulletin.php?id=786860&amp;type=1</t>
  </si>
  <si>
    <t>http://snap.windin.com/ns/bulletin.php?id=852180&amp;type=1</t>
  </si>
  <si>
    <t>http://snap.windin.com/ns/bulletin.php?id=479183&amp;type=1</t>
  </si>
  <si>
    <t>http://snap.windin.com/ns/bulletin.php?id=18482076&amp;type=1</t>
  </si>
  <si>
    <t>http://snap.windin.com/ns/bulletin.php?id=2030801&amp;type=1</t>
  </si>
  <si>
    <t>A14631.SH</t>
  </si>
  <si>
    <t>A14173.SZ</t>
  </si>
  <si>
    <t>A14467.SZ</t>
  </si>
  <si>
    <t>A14398.SZ</t>
  </si>
  <si>
    <t>300393.SZ</t>
  </si>
  <si>
    <t>300396.SZ</t>
  </si>
  <si>
    <t>300392.SZ</t>
  </si>
  <si>
    <t>300397.SZ</t>
  </si>
  <si>
    <t>A14610.SZ</t>
  </si>
  <si>
    <t>A14466.SH</t>
  </si>
  <si>
    <t>A14473.SH</t>
  </si>
  <si>
    <t>A14167.SZ</t>
  </si>
  <si>
    <t>A14120.SH</t>
  </si>
  <si>
    <t>A14204.SH</t>
  </si>
  <si>
    <t>A14040.SH</t>
  </si>
  <si>
    <t>A14629.SZ</t>
  </si>
  <si>
    <t>A14630.SZ</t>
  </si>
  <si>
    <t>A14286.SH</t>
  </si>
  <si>
    <t>A14628.SZ</t>
  </si>
  <si>
    <t>A14355.SH</t>
  </si>
  <si>
    <t>A14015.SH</t>
  </si>
  <si>
    <t>603609.SH</t>
  </si>
  <si>
    <t>A14103.SZ</t>
  </si>
  <si>
    <t>A14416.SH</t>
  </si>
  <si>
    <t>300388.SZ</t>
  </si>
  <si>
    <t>300384.SZ</t>
  </si>
  <si>
    <t>300389.SZ</t>
  </si>
  <si>
    <t>300391.SZ</t>
  </si>
  <si>
    <t>601579.SH</t>
  </si>
  <si>
    <t>300390.SZ</t>
  </si>
  <si>
    <t>002728.SZ</t>
  </si>
  <si>
    <t>603126.SH</t>
  </si>
  <si>
    <t>603099.SH</t>
  </si>
  <si>
    <t>603111.SH</t>
  </si>
  <si>
    <t>603100.SH</t>
  </si>
  <si>
    <t>603306.SH</t>
  </si>
  <si>
    <t>A14621.SH</t>
  </si>
  <si>
    <t>A14618.SH</t>
  </si>
  <si>
    <t>A14619.SH</t>
  </si>
  <si>
    <t>A14615.SH</t>
  </si>
  <si>
    <t>A14607.SZ</t>
  </si>
  <si>
    <t>A14611.SH</t>
  </si>
  <si>
    <t>A14608.SZ</t>
  </si>
  <si>
    <t>A14617.SH</t>
  </si>
  <si>
    <t>A14606.SZ</t>
  </si>
  <si>
    <t>A14605.SZ</t>
  </si>
  <si>
    <t>A14625.SH</t>
  </si>
  <si>
    <t>A14623.SH</t>
  </si>
  <si>
    <t>A14626.SZ</t>
  </si>
  <si>
    <t>A14624.SH</t>
  </si>
  <si>
    <t>A14622.SH</t>
  </si>
  <si>
    <t>A14620.SZ</t>
  </si>
  <si>
    <t>A14613.SH</t>
  </si>
  <si>
    <t>A14614.SH</t>
  </si>
  <si>
    <t>A14612.SZ</t>
  </si>
  <si>
    <t>A14627.SZ</t>
  </si>
  <si>
    <t>A14609.SH</t>
  </si>
  <si>
    <t>A14616.SH</t>
  </si>
  <si>
    <t>A14574.SZ</t>
  </si>
  <si>
    <t>A14571.SZ</t>
  </si>
  <si>
    <t>A14566.SZ</t>
  </si>
  <si>
    <t>A14567.SH</t>
  </si>
  <si>
    <t>A14587.SZ</t>
  </si>
  <si>
    <t>A14588.SH</t>
  </si>
  <si>
    <t>A14580.SZ</t>
  </si>
  <si>
    <t>A14561.SZ</t>
  </si>
  <si>
    <t>A14563.SZ</t>
  </si>
  <si>
    <t>A14565.SH</t>
  </si>
  <si>
    <t>A14564.SZ</t>
  </si>
  <si>
    <t>A14584.SH</t>
  </si>
  <si>
    <t>A14583.SH</t>
  </si>
  <si>
    <t>A14582.SZ</t>
  </si>
  <si>
    <t>A14581.SH</t>
  </si>
  <si>
    <t>A14579.SZ</t>
  </si>
  <si>
    <t>A14578.SH</t>
  </si>
  <si>
    <t>A14577.SZ</t>
  </si>
  <si>
    <t>A14576.SH</t>
  </si>
  <si>
    <t>A14575.SH</t>
  </si>
  <si>
    <t>A14573.SH</t>
  </si>
  <si>
    <t>A14572.SZ</t>
  </si>
  <si>
    <t>A14570.SH</t>
  </si>
  <si>
    <t>A14569.SZ</t>
  </si>
  <si>
    <t>A14568.SH</t>
  </si>
  <si>
    <t>A14562.SH</t>
  </si>
  <si>
    <t>A14560.SH</t>
  </si>
  <si>
    <t>A14559.SH</t>
  </si>
  <si>
    <t>A14558.SZ</t>
  </si>
  <si>
    <t>A14557.SH</t>
  </si>
  <si>
    <t>A14556.SZ</t>
  </si>
  <si>
    <t>A14555.SZ</t>
  </si>
  <si>
    <t>A14554.SZ</t>
  </si>
  <si>
    <t>A14553.SZ</t>
  </si>
  <si>
    <t>A14552.SZ</t>
  </si>
  <si>
    <t>A14551.SZ</t>
  </si>
  <si>
    <t>A14550.SH</t>
  </si>
  <si>
    <t>A14549.SZ</t>
  </si>
  <si>
    <t>A14603.SZ</t>
  </si>
  <si>
    <t>A14602.SZ</t>
  </si>
  <si>
    <t>A14601.SZ</t>
  </si>
  <si>
    <t>A14600.SH</t>
  </si>
  <si>
    <t>A14599.SH</t>
  </si>
  <si>
    <t>A14598.SH</t>
  </si>
  <si>
    <t>A14597.SZ</t>
  </si>
  <si>
    <t>A14596.SZ</t>
  </si>
  <si>
    <t>A14595.SZ</t>
  </si>
  <si>
    <t>A14594.SZ</t>
  </si>
  <si>
    <t>A14593.SZ</t>
  </si>
  <si>
    <t>A14592.SZ</t>
  </si>
  <si>
    <t>A14591.SH</t>
  </si>
  <si>
    <t>A14590.SZ</t>
  </si>
  <si>
    <t>A14589.SZ</t>
  </si>
  <si>
    <t>A14586.SH</t>
  </si>
  <si>
    <t>A14585.SZ</t>
  </si>
  <si>
    <t>A14604.SZ</t>
  </si>
  <si>
    <t>A14540.SZ</t>
  </si>
  <si>
    <t>A14539.SZ</t>
  </si>
  <si>
    <t>A14542.SZ</t>
  </si>
  <si>
    <t>A14543.SZ</t>
  </si>
  <si>
    <t>A14544.SZ</t>
  </si>
  <si>
    <t>A14547.SZ</t>
  </si>
  <si>
    <t>A14548.SZ</t>
  </si>
  <si>
    <t>A14541.SZ</t>
  </si>
  <si>
    <t>A14546.SZ</t>
  </si>
  <si>
    <t>A14545.SH</t>
  </si>
  <si>
    <t>A14533.SH</t>
  </si>
  <si>
    <t>A14531.SH</t>
  </si>
  <si>
    <t>A14530.SZ</t>
  </si>
  <si>
    <t>A14532.SZ</t>
  </si>
  <si>
    <t>A14529.SZ</t>
  </si>
  <si>
    <t>A14528.SH</t>
  </si>
  <si>
    <t>A14538.SZ</t>
  </si>
  <si>
    <t>A14537.SZ</t>
  </si>
  <si>
    <t>A14536.SZ</t>
  </si>
  <si>
    <t>A14534.SH</t>
  </si>
  <si>
    <t>A14535.SH</t>
  </si>
  <si>
    <t>A14526.SZ</t>
  </si>
  <si>
    <t>A14525.SH</t>
  </si>
  <si>
    <t>A14524.SH</t>
  </si>
  <si>
    <t>A14527.SZ</t>
  </si>
  <si>
    <t>A14523.SH</t>
  </si>
  <si>
    <t>A14513.SZ</t>
  </si>
  <si>
    <t>A14522.SH</t>
  </si>
  <si>
    <t>A14518.SZ</t>
  </si>
  <si>
    <t>A14514.SH</t>
  </si>
  <si>
    <t>A14512.SZ</t>
  </si>
  <si>
    <t>A14521.SZ</t>
  </si>
  <si>
    <t>A14511.SH</t>
  </si>
  <si>
    <t>A14520.SH</t>
  </si>
  <si>
    <t>A14519.SZ</t>
  </si>
  <si>
    <t>A14516.SZ</t>
  </si>
  <si>
    <t>A14515.SZ</t>
  </si>
  <si>
    <t>A14517.SZ</t>
  </si>
  <si>
    <t>300387.SZ</t>
  </si>
  <si>
    <t>A14503.SH</t>
  </si>
  <si>
    <t>A14500.SZ</t>
  </si>
  <si>
    <t>A14502.SH</t>
  </si>
  <si>
    <t>A14506.SZ</t>
  </si>
  <si>
    <t>A14504.SH</t>
  </si>
  <si>
    <t>A14505.SZ</t>
  </si>
  <si>
    <t>A14507.SZ</t>
  </si>
  <si>
    <t>A14501.SH</t>
  </si>
  <si>
    <t>A14508.SH</t>
  </si>
  <si>
    <t>A14499.SZ</t>
  </si>
  <si>
    <t>002727.SZ</t>
  </si>
  <si>
    <t>603369.SH</t>
  </si>
  <si>
    <t>A14497.SZ</t>
  </si>
  <si>
    <t>A14498.SZ</t>
  </si>
  <si>
    <t>A14510.SZ</t>
  </si>
  <si>
    <t>A14509.SH</t>
  </si>
  <si>
    <t>603168.SH</t>
  </si>
  <si>
    <t>A14494.SZ</t>
  </si>
  <si>
    <t>A14495.SH</t>
  </si>
  <si>
    <t>A14496.SZ</t>
  </si>
  <si>
    <t>603328.SH</t>
  </si>
  <si>
    <t>603009.SH</t>
  </si>
  <si>
    <t>A14490.SZ</t>
  </si>
  <si>
    <t>A14489.SH</t>
  </si>
  <si>
    <t>A14493.SH</t>
  </si>
  <si>
    <t>A14492.SZ</t>
  </si>
  <si>
    <t>A14491.SZ</t>
  </si>
  <si>
    <t>A14488.SH</t>
  </si>
  <si>
    <t>002726.SZ</t>
  </si>
  <si>
    <t>A14309.SZ</t>
  </si>
  <si>
    <t>603006.SH</t>
  </si>
  <si>
    <t>300385.SZ</t>
  </si>
  <si>
    <t>A14485.SZ</t>
  </si>
  <si>
    <t>A14480.SH</t>
  </si>
  <si>
    <t>A14482.SZ</t>
  </si>
  <si>
    <t>A14487.SH</t>
  </si>
  <si>
    <t>A14483.SH</t>
  </si>
  <si>
    <t>A14481.SH</t>
  </si>
  <si>
    <t>A14484.SH</t>
  </si>
  <si>
    <t>A14486.SH</t>
  </si>
  <si>
    <t>A14479.SZ</t>
  </si>
  <si>
    <t>A14474.SZ</t>
  </si>
  <si>
    <t>A14469.SZ</t>
  </si>
  <si>
    <t>A14477.SZ</t>
  </si>
  <si>
    <t>A14471.SZ</t>
  </si>
  <si>
    <t>A14475.SZ</t>
  </si>
  <si>
    <t>A14472.SZ</t>
  </si>
  <si>
    <t>A14470.SZ</t>
  </si>
  <si>
    <t>A14476.SH</t>
  </si>
  <si>
    <t>A14478.SH</t>
  </si>
  <si>
    <t>A14468.SZ</t>
  </si>
  <si>
    <t>A14464.SZ</t>
  </si>
  <si>
    <t>A14463.SH</t>
  </si>
  <si>
    <t>A14465.SZ</t>
  </si>
  <si>
    <t>A14462.SH</t>
  </si>
  <si>
    <t>603188.SH</t>
  </si>
  <si>
    <t>A14461.SH</t>
  </si>
  <si>
    <t>A14458.SH</t>
  </si>
  <si>
    <t>A14457.SH</t>
  </si>
  <si>
    <t>A14459.SZ</t>
  </si>
  <si>
    <t>A14460.SZ</t>
  </si>
  <si>
    <t>002729.SZ</t>
  </si>
  <si>
    <t>A14452.SZ</t>
  </si>
  <si>
    <t>A14100.SH</t>
  </si>
  <si>
    <t>A14453.SZ</t>
  </si>
  <si>
    <t>A14105.SZ</t>
  </si>
  <si>
    <t>A14449.SZ</t>
  </si>
  <si>
    <t>A14454.SZ</t>
  </si>
  <si>
    <t>A14450.SH</t>
  </si>
  <si>
    <t>A14448.SZ</t>
  </si>
  <si>
    <t>A14451.SZ</t>
  </si>
  <si>
    <t>A14456.SZ</t>
  </si>
  <si>
    <t>A14455.SZ</t>
  </si>
  <si>
    <t>A14444.SH</t>
  </si>
  <si>
    <t>A14445.SH</t>
  </si>
  <si>
    <t>A14443.SH</t>
  </si>
  <si>
    <t>A14447.SH</t>
  </si>
  <si>
    <t>A14440.SZ</t>
  </si>
  <si>
    <t>A14441.SH</t>
  </si>
  <si>
    <t>A14442.SH</t>
  </si>
  <si>
    <t>A14439.SZ</t>
  </si>
  <si>
    <t>A14446.SZ</t>
  </si>
  <si>
    <t>A14143.SH</t>
  </si>
  <si>
    <t>A14437.SH</t>
  </si>
  <si>
    <t>A14436.SH</t>
  </si>
  <si>
    <t>A14431.SZ</t>
  </si>
  <si>
    <t>A14433.SH</t>
  </si>
  <si>
    <t>A14435.SH</t>
  </si>
  <si>
    <t>A14434.SH</t>
  </si>
  <si>
    <t>A14432.SZ</t>
  </si>
  <si>
    <t>A14427.SZ</t>
  </si>
  <si>
    <t>A14429.SH</t>
  </si>
  <si>
    <t>A14428.SH</t>
  </si>
  <si>
    <t>A14425.SZ</t>
  </si>
  <si>
    <t>A14426.SZ</t>
  </si>
  <si>
    <t>A14424.SZ</t>
  </si>
  <si>
    <t>A14430.SH</t>
  </si>
  <si>
    <t>A14423.SH</t>
  </si>
  <si>
    <t>A14405.SZ</t>
  </si>
  <si>
    <t>A14410.SZ</t>
  </si>
  <si>
    <t>A14412.SH</t>
  </si>
  <si>
    <t>A14408.SZ</t>
  </si>
  <si>
    <t>A14411.SH</t>
  </si>
  <si>
    <t>A14415.SZ</t>
  </si>
  <si>
    <t>A14422.SH</t>
  </si>
  <si>
    <t>A14409.SZ</t>
  </si>
  <si>
    <t>A14418.SH</t>
  </si>
  <si>
    <t>A14417.SZ</t>
  </si>
  <si>
    <t>A14407.SZ</t>
  </si>
  <si>
    <t>A14419.SH</t>
  </si>
  <si>
    <t>A14420.SZ</t>
  </si>
  <si>
    <t>A14406.SZ</t>
  </si>
  <si>
    <t>A14414.SH</t>
  </si>
  <si>
    <t>A14421.SZ</t>
  </si>
  <si>
    <t>A14404.SZ</t>
  </si>
  <si>
    <t>603303.SH</t>
  </si>
  <si>
    <t>A14402.SZ</t>
  </si>
  <si>
    <t>A14400.SH</t>
  </si>
  <si>
    <t>A14403.SZ</t>
  </si>
  <si>
    <t>A14401.SZ</t>
  </si>
  <si>
    <t>A14395.SH</t>
  </si>
  <si>
    <t>A14390.SZ</t>
  </si>
  <si>
    <t>A14396.SZ</t>
  </si>
  <si>
    <t>A14397.SH</t>
  </si>
  <si>
    <t>A14394.SH</t>
  </si>
  <si>
    <t>A14392.SH</t>
  </si>
  <si>
    <t>A14386.SZ</t>
  </si>
  <si>
    <t>A14389.SZ</t>
  </si>
  <si>
    <t>A14391.SH</t>
  </si>
  <si>
    <t>A14399.SH</t>
  </si>
  <si>
    <t>A14388.SZ</t>
  </si>
  <si>
    <t>A14393.SH</t>
  </si>
  <si>
    <t>A14387.SZ</t>
  </si>
  <si>
    <t>A14380.SH</t>
  </si>
  <si>
    <t>A14381.SZ</t>
  </si>
  <si>
    <t>A14385.SH</t>
  </si>
  <si>
    <t>A14384.SH</t>
  </si>
  <si>
    <t>A14382.SH</t>
  </si>
  <si>
    <t>A14378.SZ</t>
  </si>
  <si>
    <t>A14383.SH</t>
  </si>
  <si>
    <t>A14379.SH</t>
  </si>
  <si>
    <t>A14377.SH</t>
  </si>
  <si>
    <t>A14374.SZ</t>
  </si>
  <si>
    <t>A14375.SH</t>
  </si>
  <si>
    <t>A14376.SH</t>
  </si>
  <si>
    <t>A14369.SZ</t>
  </si>
  <si>
    <t>A14367.SZ</t>
  </si>
  <si>
    <t>A14368.SZ</t>
  </si>
  <si>
    <t>A14371.SZ</t>
  </si>
  <si>
    <t>A14372.SH</t>
  </si>
  <si>
    <t>A14366.SZ</t>
  </si>
  <si>
    <t>A14370.SZ</t>
  </si>
  <si>
    <t>A14373.SH</t>
  </si>
  <si>
    <t>A14363.SZ</t>
  </si>
  <si>
    <t>A14365.SZ</t>
  </si>
  <si>
    <t>A14364.SH</t>
  </si>
  <si>
    <t>A14129.SZ</t>
  </si>
  <si>
    <t>A14361.SH</t>
  </si>
  <si>
    <t>A14362.SH</t>
  </si>
  <si>
    <t>A14353.SZ</t>
  </si>
  <si>
    <t>A14354.SZ</t>
  </si>
  <si>
    <t>A14357.SZ</t>
  </si>
  <si>
    <t>A14358.SH</t>
  </si>
  <si>
    <t>A14356.SH</t>
  </si>
  <si>
    <t>A14359.SZ</t>
  </si>
  <si>
    <t>A14340.SH</t>
  </si>
  <si>
    <t>A14343.SH</t>
  </si>
  <si>
    <t>A14344.SH</t>
  </si>
  <si>
    <t>A14345.SH</t>
  </si>
  <si>
    <t>A14346.SH</t>
  </si>
  <si>
    <t>A14347.SZ</t>
  </si>
  <si>
    <t>A14348.SZ</t>
  </si>
  <si>
    <t>A14349.SZ</t>
  </si>
  <si>
    <t>A14350.SZ</t>
  </si>
  <si>
    <t>A14351.SZ</t>
  </si>
  <si>
    <t>A14352.SZ</t>
  </si>
  <si>
    <t>A14341.SH</t>
  </si>
  <si>
    <t>A14342.SZ</t>
  </si>
  <si>
    <t>A14338.SH</t>
  </si>
  <si>
    <t>A14339.SH</t>
  </si>
  <si>
    <t>A14322.SZ</t>
  </si>
  <si>
    <t>A14334.SH</t>
  </si>
  <si>
    <t>A14332.SH</t>
  </si>
  <si>
    <t>A14336.SZ</t>
  </si>
  <si>
    <t>A14335.SZ</t>
  </si>
  <si>
    <t>A14337.SZ</t>
  </si>
  <si>
    <t>A14333.SH</t>
  </si>
  <si>
    <t>A14326.SH</t>
  </si>
  <si>
    <t>A14324.SH</t>
  </si>
  <si>
    <t>A14328.SZ</t>
  </si>
  <si>
    <t>A14331.SZ</t>
  </si>
  <si>
    <t>A14325.SH</t>
  </si>
  <si>
    <t>A14330.SZ</t>
  </si>
  <si>
    <t>A14329.SZ</t>
  </si>
  <si>
    <t>A14327.SH</t>
  </si>
  <si>
    <t>A14320.SZ</t>
  </si>
  <si>
    <t>A14321.SZ</t>
  </si>
  <si>
    <t>A14323.SH</t>
  </si>
  <si>
    <t>A14317.SH</t>
  </si>
  <si>
    <t>A14318.SH</t>
  </si>
  <si>
    <t>A14319.SH</t>
  </si>
  <si>
    <t>A14315.SZ</t>
  </si>
  <si>
    <t>A14316.SH</t>
  </si>
  <si>
    <t>A14310.SZ</t>
  </si>
  <si>
    <t>A14311.SZ</t>
  </si>
  <si>
    <t>A14313.SZ</t>
  </si>
  <si>
    <t>A14314.SH</t>
  </si>
  <si>
    <t>A14312.SH</t>
  </si>
  <si>
    <t>A14306.SZ</t>
  </si>
  <si>
    <t>A14303.SH</t>
  </si>
  <si>
    <t>A14304.SZ</t>
  </si>
  <si>
    <t>A14308.SH</t>
  </si>
  <si>
    <t>A14305.SZ</t>
  </si>
  <si>
    <t>A14307.SH</t>
  </si>
  <si>
    <t>A14123.SZ</t>
  </si>
  <si>
    <t>600917.SH</t>
  </si>
  <si>
    <t>A14124.SZ</t>
  </si>
  <si>
    <t>A14127.SZ</t>
  </si>
  <si>
    <t>A14302.SZ</t>
  </si>
  <si>
    <t>A14295.SZ</t>
  </si>
  <si>
    <t>A14290.SZ</t>
  </si>
  <si>
    <t>A14293.SZ</t>
  </si>
  <si>
    <t>A14292.SZ</t>
  </si>
  <si>
    <t>A14291.SZ</t>
  </si>
  <si>
    <t>A14294.SZ</t>
  </si>
  <si>
    <t>A14289.SZ</t>
  </si>
  <si>
    <t>A14288.SZ</t>
  </si>
  <si>
    <t>A14287.SZ</t>
  </si>
  <si>
    <t>A14285.SZ</t>
  </si>
  <si>
    <t>A14280.SZ</t>
  </si>
  <si>
    <t>A14282.SZ</t>
  </si>
  <si>
    <t>A14281.SZ</t>
  </si>
  <si>
    <t>A14278.SH</t>
  </si>
  <si>
    <t>A14283.SH</t>
  </si>
  <si>
    <t>A14279.SZ</t>
  </si>
  <si>
    <t>A14097.SH</t>
  </si>
  <si>
    <t>A14276.SZ</t>
  </si>
  <si>
    <t>A14277.SZ</t>
  </si>
  <si>
    <t>A14275.SZ</t>
  </si>
  <si>
    <t>A14274.SZ</t>
  </si>
  <si>
    <t>A14296.SZ</t>
  </si>
  <si>
    <t>A14284.SH</t>
  </si>
  <si>
    <t>A14263.SH</t>
  </si>
  <si>
    <t>A14271.SH</t>
  </si>
  <si>
    <t>A14243.SZ</t>
  </si>
  <si>
    <t>A14260.SH</t>
  </si>
  <si>
    <t>A14273.SH</t>
  </si>
  <si>
    <t>A14257.SH</t>
  </si>
  <si>
    <t>A14259.SZ</t>
  </si>
  <si>
    <t>A14249.SZ</t>
  </si>
  <si>
    <t>A14250.SZ</t>
  </si>
  <si>
    <t>A14251.SZ</t>
  </si>
  <si>
    <t>A14247.SZ</t>
  </si>
  <si>
    <t>A14253.SZ</t>
  </si>
  <si>
    <t>A14248.SZ</t>
  </si>
  <si>
    <t>A14254.SH</t>
  </si>
  <si>
    <t>A14252.SZ</t>
  </si>
  <si>
    <t>A14255.SH</t>
  </si>
  <si>
    <t>A14262.SH</t>
  </si>
  <si>
    <t>A14256.SH</t>
  </si>
  <si>
    <t>A14261.SH</t>
  </si>
  <si>
    <t>A14258.SH</t>
  </si>
  <si>
    <t>A14244.SZ</t>
  </si>
  <si>
    <t>A14245.SZ</t>
  </si>
  <si>
    <t>A14246.SZ</t>
  </si>
  <si>
    <t>A14242.SZ</t>
  </si>
  <si>
    <t>A14268.SH</t>
  </si>
  <si>
    <t>A14265.SZ</t>
  </si>
  <si>
    <t>A14266.SH</t>
  </si>
  <si>
    <t>A14269.SH</t>
  </si>
  <si>
    <t>A14264.SH</t>
  </si>
  <si>
    <t>A14267.SH</t>
  </si>
  <si>
    <t>A14272.SZ</t>
  </si>
  <si>
    <t>A14212.SH</t>
  </si>
  <si>
    <t>A14213.SH</t>
  </si>
  <si>
    <t>A14214.SZ</t>
  </si>
  <si>
    <t>A14215.SZ</t>
  </si>
  <si>
    <t>A14216.SZ</t>
  </si>
  <si>
    <t>A14230.SH</t>
  </si>
  <si>
    <t>A14229.SH</t>
  </si>
  <si>
    <t>A14232.SZ</t>
  </si>
  <si>
    <t>A14231.SH</t>
  </si>
  <si>
    <t>A14233.SZ</t>
  </si>
  <si>
    <t>A14234.SH</t>
  </si>
  <si>
    <t>A14235.SZ</t>
  </si>
  <si>
    <t>A14236.SH</t>
  </si>
  <si>
    <t>A14238.SH</t>
  </si>
  <si>
    <t>A14237.SZ</t>
  </si>
  <si>
    <t>A14240.SZ</t>
  </si>
  <si>
    <t>A14239.SH</t>
  </si>
  <si>
    <t>A14241.SH</t>
  </si>
  <si>
    <t>A14217.SZ</t>
  </si>
  <si>
    <t>A14218.SZ</t>
  </si>
  <si>
    <t>A14219.SZ</t>
  </si>
  <si>
    <t>A14220.SZ</t>
  </si>
  <si>
    <t>A14221.SZ</t>
  </si>
  <si>
    <t>A14222.SZ</t>
  </si>
  <si>
    <t>A14223.SZ</t>
  </si>
  <si>
    <t>A14225.SH</t>
  </si>
  <si>
    <t>A14226.SH</t>
  </si>
  <si>
    <t>A14227.SH</t>
  </si>
  <si>
    <t>A14228.SH</t>
  </si>
  <si>
    <t>A14208.SZ</t>
  </si>
  <si>
    <t>A14206.SH</t>
  </si>
  <si>
    <t>A14207.SZ</t>
  </si>
  <si>
    <t>A14205.SH</t>
  </si>
  <si>
    <t>A14203.SZ</t>
  </si>
  <si>
    <t>A14201.SZ</t>
  </si>
  <si>
    <t>A14202.SZ</t>
  </si>
  <si>
    <t>A14200.SZ</t>
  </si>
  <si>
    <t>A14194.SH</t>
  </si>
  <si>
    <t>A14199.SZ</t>
  </si>
  <si>
    <t>A14196.SH</t>
  </si>
  <si>
    <t>A14195.SZ</t>
  </si>
  <si>
    <t>A14197.SH</t>
  </si>
  <si>
    <t>A14198.SH</t>
  </si>
  <si>
    <t>A14189.SH</t>
  </si>
  <si>
    <t>A14192.SH</t>
  </si>
  <si>
    <t>A14187.SZ</t>
  </si>
  <si>
    <t>A14188.SZ</t>
  </si>
  <si>
    <t>A14191.SH</t>
  </si>
  <si>
    <t>A14190.SH</t>
  </si>
  <si>
    <t>A14211.SZ</t>
  </si>
  <si>
    <t>A14210.SZ</t>
  </si>
  <si>
    <t>A14209.SZ</t>
  </si>
  <si>
    <t>603806.SH</t>
  </si>
  <si>
    <t>A14161.SZ</t>
  </si>
  <si>
    <t>A14159.SH</t>
  </si>
  <si>
    <t>A14158.SZ</t>
  </si>
  <si>
    <t>A14160.SH</t>
  </si>
  <si>
    <t>A14157.SH</t>
  </si>
  <si>
    <t>A14169.SZ</t>
  </si>
  <si>
    <t>A14170.SH</t>
  </si>
  <si>
    <t>A14162.SZ</t>
  </si>
  <si>
    <t>A14168.SZ</t>
  </si>
  <si>
    <t>A14163.SZ</t>
  </si>
  <si>
    <t>A14164.SZ</t>
  </si>
  <si>
    <t>A14165.SH</t>
  </si>
  <si>
    <t>A14166.SZ</t>
  </si>
  <si>
    <t>A14178.SH</t>
  </si>
  <si>
    <t>A14174.SZ</t>
  </si>
  <si>
    <t>A14175.SH</t>
  </si>
  <si>
    <t>A14172.SZ</t>
  </si>
  <si>
    <t>A14171.SZ</t>
  </si>
  <si>
    <t>A14179.SZ</t>
  </si>
  <si>
    <t>A14176.SZ</t>
  </si>
  <si>
    <t>A14177.SZ</t>
  </si>
  <si>
    <t>A14180.SH</t>
  </si>
  <si>
    <t>A14184.SH</t>
  </si>
  <si>
    <t>A14183.SH</t>
  </si>
  <si>
    <t>A14182.SH</t>
  </si>
  <si>
    <t>A14185.SH</t>
  </si>
  <si>
    <t>A14181.SH</t>
  </si>
  <si>
    <t>A14186.SH</t>
  </si>
  <si>
    <t>A14164.SH</t>
  </si>
  <si>
    <t>A14155.SH</t>
  </si>
  <si>
    <t>A14151.SH</t>
  </si>
  <si>
    <t>A14152.SH</t>
  </si>
  <si>
    <t>A14154.SZ</t>
  </si>
  <si>
    <t>A14153.SH</t>
  </si>
  <si>
    <t>A14147.SZ</t>
  </si>
  <si>
    <t>A14146.SH</t>
  </si>
  <si>
    <t>A14149.SH</t>
  </si>
  <si>
    <t>A14148.SZ</t>
  </si>
  <si>
    <t>A14150.SH</t>
  </si>
  <si>
    <t>A14156.SH</t>
  </si>
  <si>
    <t>A14126.SH</t>
  </si>
  <si>
    <t>A14128.SZ</t>
  </si>
  <si>
    <t>A14125.SZ</t>
  </si>
  <si>
    <t>A14132.SZ</t>
  </si>
  <si>
    <t>A14131.SH</t>
  </si>
  <si>
    <t>A14133.SZ</t>
  </si>
  <si>
    <t>A14135.SZ</t>
  </si>
  <si>
    <t>A14139.SZ</t>
  </si>
  <si>
    <t>A14138.SZ</t>
  </si>
  <si>
    <t>A14134.SH</t>
  </si>
  <si>
    <t>A14136.SH</t>
  </si>
  <si>
    <t>A14137.SZ</t>
  </si>
  <si>
    <t>A14142.SH</t>
  </si>
  <si>
    <t>A14144.SH</t>
  </si>
  <si>
    <t>A14141.SZ</t>
  </si>
  <si>
    <t>A14140.SZ</t>
  </si>
  <si>
    <t>601016.SH</t>
  </si>
  <si>
    <t>A14098.SH</t>
  </si>
  <si>
    <t>A14111.SZ</t>
  </si>
  <si>
    <t>A14108.SH</t>
  </si>
  <si>
    <t>A14110.SH</t>
  </si>
  <si>
    <t>A14101.SZ</t>
  </si>
  <si>
    <t>A14117.SH</t>
  </si>
  <si>
    <t>A14112.SZ</t>
  </si>
  <si>
    <t>A14115.SH</t>
  </si>
  <si>
    <t>A14109.SZ</t>
  </si>
  <si>
    <t>A14118.SH</t>
  </si>
  <si>
    <t>A14121.SZ</t>
  </si>
  <si>
    <t>A14102.SZ</t>
  </si>
  <si>
    <t>A14099.SZ</t>
  </si>
  <si>
    <t>A14113.SZ</t>
  </si>
  <si>
    <t>A14122.SZ</t>
  </si>
  <si>
    <t>A14114.SZ</t>
  </si>
  <si>
    <t>A14079.SZ</t>
  </si>
  <si>
    <t>A14092.SH</t>
  </si>
  <si>
    <t>A14076.SZ</t>
  </si>
  <si>
    <t>A14089.SZ</t>
  </si>
  <si>
    <t>A14083.SZ</t>
  </si>
  <si>
    <t>A14094.SH</t>
  </si>
  <si>
    <t>A14088.SZ</t>
  </si>
  <si>
    <t>A14095.SH</t>
  </si>
  <si>
    <t>A14096.SH</t>
  </si>
  <si>
    <t>A14086.SZ</t>
  </si>
  <si>
    <t>A14084.SZ</t>
  </si>
  <si>
    <t>A14077.SZ</t>
  </si>
  <si>
    <t>A14078.SZ</t>
  </si>
  <si>
    <t>A14080.SZ</t>
  </si>
  <si>
    <t>A14085.SZ</t>
  </si>
  <si>
    <t>A14081.SZ</t>
  </si>
  <si>
    <t>A14093.SZ</t>
  </si>
  <si>
    <t>A14090.SZ</t>
  </si>
  <si>
    <t>A14087.SZ</t>
  </si>
  <si>
    <t>A14082.SZ</t>
  </si>
  <si>
    <t>A14068.SH</t>
  </si>
  <si>
    <t>A14072.SH</t>
  </si>
  <si>
    <t>A14069.SH</t>
  </si>
  <si>
    <t>A14066.SZ</t>
  </si>
  <si>
    <t>A14070.SH</t>
  </si>
  <si>
    <t>A14067.SH</t>
  </si>
  <si>
    <t>A14071.SH</t>
  </si>
  <si>
    <t>A14074.SZ</t>
  </si>
  <si>
    <t>A14075.SZ</t>
  </si>
  <si>
    <t>A14073.SH</t>
  </si>
  <si>
    <t>A14063.SZ</t>
  </si>
  <si>
    <t>A14047.SZ</t>
  </si>
  <si>
    <t>A14062.SH</t>
  </si>
  <si>
    <t>A14065.SZ</t>
  </si>
  <si>
    <t>A14048.SH</t>
  </si>
  <si>
    <t>A14050.SZ</t>
  </si>
  <si>
    <t>A14051.SZ</t>
  </si>
  <si>
    <t>A14057.SH</t>
  </si>
  <si>
    <t>A14060.SH</t>
  </si>
  <si>
    <t>A14058.SH</t>
  </si>
  <si>
    <t>A14055.SZ</t>
  </si>
  <si>
    <t>A14056.SZ</t>
  </si>
  <si>
    <t>A14064.SH</t>
  </si>
  <si>
    <t>A14061.SH</t>
  </si>
  <si>
    <t>A14059.SH</t>
  </si>
  <si>
    <t>A14049.SZ</t>
  </si>
  <si>
    <t>A14053.SH</t>
  </si>
  <si>
    <t>A14052.SH</t>
  </si>
  <si>
    <t>A14054.SH</t>
  </si>
  <si>
    <t>A14039.SH</t>
  </si>
  <si>
    <t>A14036.SZ</t>
  </si>
  <si>
    <t>A14041.SZ</t>
  </si>
  <si>
    <t>A14034.SH</t>
  </si>
  <si>
    <t>A14043.SH</t>
  </si>
  <si>
    <t>A14035.SH</t>
  </si>
  <si>
    <t>A14033.SH</t>
  </si>
  <si>
    <t>A14032.SH</t>
  </si>
  <si>
    <t>A14037.SZ</t>
  </si>
  <si>
    <t>A14031.SZ</t>
  </si>
  <si>
    <t>A14038.SZ</t>
  </si>
  <si>
    <t>A14029.SZ</t>
  </si>
  <si>
    <t>A14042.SZ</t>
  </si>
  <si>
    <t>A14030.SZ</t>
  </si>
  <si>
    <t>A14046.SZ</t>
  </si>
  <si>
    <t>A14044.SZ</t>
  </si>
  <si>
    <t>A14045.SZ</t>
  </si>
  <si>
    <t>A14001.SH</t>
  </si>
  <si>
    <t>A14026.SH</t>
  </si>
  <si>
    <t>A14028.SH</t>
  </si>
  <si>
    <t>A14009.SZ</t>
  </si>
  <si>
    <t>A14010.SH</t>
  </si>
  <si>
    <t>A14013.SH</t>
  </si>
  <si>
    <t>A14024.SZ</t>
  </si>
  <si>
    <t>A14017.SZ</t>
  </si>
  <si>
    <t>A14023.SZ</t>
  </si>
  <si>
    <t>A14008.SZ</t>
  </si>
  <si>
    <t>A14007.SH</t>
  </si>
  <si>
    <t>A14025.SZ</t>
  </si>
  <si>
    <t>A14012.SH</t>
  </si>
  <si>
    <t>A14016.SH</t>
  </si>
  <si>
    <t>A14019.SZ</t>
  </si>
  <si>
    <t>A14020.SZ</t>
  </si>
  <si>
    <t>A14011.SH</t>
  </si>
  <si>
    <t>A14018.SZ</t>
  </si>
  <si>
    <t>A14014.SH</t>
  </si>
  <si>
    <t>A14003.SZ</t>
  </si>
  <si>
    <t>A14021.SZ</t>
  </si>
  <si>
    <t>A14022.SZ</t>
  </si>
  <si>
    <t>A14005.SH</t>
  </si>
  <si>
    <t>A14002.SH</t>
  </si>
  <si>
    <t>A14004.SH</t>
  </si>
  <si>
    <t>A14006.SH</t>
  </si>
  <si>
    <t>002720.SZ</t>
  </si>
  <si>
    <t>300361.SZ</t>
  </si>
  <si>
    <t>A12263.SH</t>
  </si>
  <si>
    <t>A12220.SH</t>
  </si>
  <si>
    <t>A12166.SH</t>
  </si>
  <si>
    <t>A12202.SH</t>
  </si>
  <si>
    <t>603168.SZ</t>
  </si>
  <si>
    <t>A12288.SZ</t>
  </si>
  <si>
    <t>A12287.SZ</t>
  </si>
  <si>
    <t>A12069.SZ</t>
  </si>
  <si>
    <t>A12231.SZ</t>
  </si>
  <si>
    <t>A12229.SZ</t>
  </si>
  <si>
    <t>377150.OF</t>
  </si>
  <si>
    <t>A12261.SH</t>
  </si>
  <si>
    <t>A12165.SH</t>
  </si>
  <si>
    <t>A12221.SZ</t>
  </si>
  <si>
    <t>A12195.SZ</t>
  </si>
  <si>
    <t>A12182.SZ</t>
  </si>
  <si>
    <t>A12163.SZ</t>
  </si>
  <si>
    <t>A12188.SZ</t>
  </si>
  <si>
    <t>A12252.SZ</t>
  </si>
  <si>
    <t>A12222.SZ</t>
  </si>
  <si>
    <t>A12154.SZ</t>
  </si>
  <si>
    <t>A12244.SZ</t>
  </si>
  <si>
    <t>A12164.SH</t>
  </si>
  <si>
    <t>A12192.SZ</t>
  </si>
  <si>
    <t>A12203.SH</t>
  </si>
  <si>
    <t>A12242.SZ</t>
  </si>
  <si>
    <t>A12290.SZ</t>
  </si>
  <si>
    <t>A12289.SZ</t>
  </si>
  <si>
    <t>A12284.SH</t>
  </si>
  <si>
    <t>A12285.SH</t>
  </si>
  <si>
    <t>A12286.SH</t>
  </si>
  <si>
    <t>A12283.SZ</t>
  </si>
  <si>
    <t>A12281.SZ</t>
  </si>
  <si>
    <t>A12282.SZ</t>
  </si>
  <si>
    <t>A12272.SZ</t>
  </si>
  <si>
    <t>A12276.SZ</t>
  </si>
  <si>
    <t>A12274.SZ</t>
  </si>
  <si>
    <t>A12278.SZ</t>
  </si>
  <si>
    <t>A12280.SZ</t>
  </si>
  <si>
    <t>A12277.SH</t>
  </si>
  <si>
    <t>A12275.SZ</t>
  </si>
  <si>
    <t>A12273.SZ</t>
  </si>
  <si>
    <t>A12279.SH</t>
  </si>
  <si>
    <t>A12271.SZ</t>
  </si>
  <si>
    <t>A12270.SZ</t>
  </si>
  <si>
    <t>A12269.SZ</t>
  </si>
  <si>
    <t>A12268.SZ</t>
  </si>
  <si>
    <t>900948.SH</t>
  </si>
  <si>
    <t>A12267.SZ</t>
  </si>
  <si>
    <t>A12265.SZ</t>
  </si>
  <si>
    <t>A12264.SZ</t>
  </si>
  <si>
    <t>A12260.SH</t>
  </si>
  <si>
    <t>A12262.SZ</t>
  </si>
  <si>
    <t>A12256.SZ</t>
  </si>
  <si>
    <t>A12257.SZ</t>
  </si>
  <si>
    <t>A12258.SZ</t>
  </si>
  <si>
    <t>A12255.SZ</t>
  </si>
  <si>
    <t>A12251.SZ</t>
  </si>
  <si>
    <t>A12250.SZ</t>
  </si>
  <si>
    <t>A12248.SZ</t>
  </si>
  <si>
    <t>A12246.SZ</t>
  </si>
  <si>
    <t>A12247.SZ</t>
  </si>
  <si>
    <t>A12243.SZ</t>
  </si>
  <si>
    <t>A12245.SZ</t>
  </si>
  <si>
    <t>A12241.SZ</t>
  </si>
  <si>
    <t>A12237.SZ</t>
  </si>
  <si>
    <t>A12239.SZ</t>
  </si>
  <si>
    <t>A12238.SZ</t>
  </si>
  <si>
    <t>A12240.SZ</t>
  </si>
  <si>
    <t>A12236.SZ</t>
  </si>
  <si>
    <t>A12234.SZ</t>
  </si>
  <si>
    <t>A12226.SZ</t>
  </si>
  <si>
    <t>A12233.SZ</t>
  </si>
  <si>
    <t>A12224.SZ</t>
  </si>
  <si>
    <t>A12230.SH</t>
  </si>
  <si>
    <t>A12228.SZ</t>
  </si>
  <si>
    <t>A12232.SH</t>
  </si>
  <si>
    <t>A12227.SZ</t>
  </si>
  <si>
    <t>A12225.SZ</t>
  </si>
  <si>
    <t>A12223.SZ</t>
  </si>
  <si>
    <t>A12217.SZ</t>
  </si>
  <si>
    <t>A12218.SZ</t>
  </si>
  <si>
    <t>A12219.SZ</t>
  </si>
  <si>
    <t>A12214.SZ</t>
  </si>
  <si>
    <t>A12213.SZ</t>
  </si>
  <si>
    <t>A12215.SZ</t>
  </si>
  <si>
    <t>A12216.SZ</t>
  </si>
  <si>
    <t>A12212.SZ</t>
  </si>
  <si>
    <t>A12211.SZ</t>
  </si>
  <si>
    <t>A12210.SZ</t>
  </si>
  <si>
    <t>A12208.SH</t>
  </si>
  <si>
    <t>A12205.SZ</t>
  </si>
  <si>
    <t>A12207.SZ</t>
  </si>
  <si>
    <t>603688.SH</t>
  </si>
  <si>
    <t>A12204.SH</t>
  </si>
  <si>
    <t>A12200.SZ</t>
  </si>
  <si>
    <t>A12198.SZ</t>
  </si>
  <si>
    <t>A12194.SH</t>
  </si>
  <si>
    <t>A12196.SH</t>
  </si>
  <si>
    <t>A12179.SZ</t>
  </si>
  <si>
    <t>A12189.SH</t>
  </si>
  <si>
    <t>A12183.SH</t>
  </si>
  <si>
    <t>A12180.SZ</t>
  </si>
  <si>
    <t>A12184.SZ</t>
  </si>
  <si>
    <t>A12186.SH</t>
  </si>
  <si>
    <t>A12191.SZ</t>
  </si>
  <si>
    <t>A12190.SZ</t>
  </si>
  <si>
    <t>A12181.SZ</t>
  </si>
  <si>
    <t>A12177.SZ</t>
  </si>
  <si>
    <t>A12178.SH</t>
  </si>
  <si>
    <t>A12176.SZ</t>
  </si>
  <si>
    <t>A12170.SZ</t>
  </si>
  <si>
    <t>A12172.SZ</t>
  </si>
  <si>
    <t>A12171.SZ</t>
  </si>
  <si>
    <t>A12174.SZ</t>
  </si>
  <si>
    <t>A12173.SZ</t>
  </si>
  <si>
    <t>A12161.SH</t>
  </si>
  <si>
    <t>A12169.SZ</t>
  </si>
  <si>
    <t>A12162.SZ</t>
  </si>
  <si>
    <t>A12167.SH</t>
  </si>
  <si>
    <t>A12160.SH</t>
  </si>
  <si>
    <t>A12159.SZ</t>
  </si>
  <si>
    <t>A12150.SZ</t>
  </si>
  <si>
    <t>A12151.SZ</t>
  </si>
  <si>
    <t>A12153.SZ</t>
  </si>
  <si>
    <t>A12156.SZ</t>
  </si>
  <si>
    <t>A12152.SZ</t>
  </si>
  <si>
    <t>A12149.SZ</t>
  </si>
  <si>
    <t>A12148.SZ</t>
  </si>
  <si>
    <t>A12143.SZ</t>
  </si>
  <si>
    <t>A12141.SH</t>
  </si>
  <si>
    <t>A12145.SZ</t>
  </si>
  <si>
    <t>A12146.SZ</t>
  </si>
  <si>
    <t>A12139.SZ</t>
  </si>
  <si>
    <t>A12140.SZ</t>
  </si>
  <si>
    <t>A12138.SZ</t>
  </si>
  <si>
    <t>A12144.SZ</t>
  </si>
  <si>
    <t>A12136.SZ</t>
  </si>
  <si>
    <t>002710.SZ</t>
  </si>
  <si>
    <t>A12125.SZ</t>
  </si>
  <si>
    <t>A12133.SZ</t>
  </si>
  <si>
    <t>A12129.SZ</t>
  </si>
  <si>
    <t>A12128.SZ</t>
  </si>
  <si>
    <t>A12131.SZ</t>
  </si>
  <si>
    <t>A12130.SZ</t>
  </si>
  <si>
    <t>A12134.SZ</t>
  </si>
  <si>
    <t>A12132.SZ</t>
  </si>
  <si>
    <t>A12126.SZ</t>
  </si>
  <si>
    <t>A12124.SZ</t>
  </si>
  <si>
    <t>A12123.SZ</t>
  </si>
  <si>
    <t>A12121.SH</t>
  </si>
  <si>
    <t>A12122.SZ</t>
  </si>
  <si>
    <t>A12118.SZ</t>
  </si>
  <si>
    <t>A12120.SZ</t>
  </si>
  <si>
    <t>A12119.SZ</t>
  </si>
  <si>
    <t>A12117.SZ</t>
  </si>
  <si>
    <t>A12111.SZ</t>
  </si>
  <si>
    <t>A12112.SH</t>
  </si>
  <si>
    <t>A12116.SZ</t>
  </si>
  <si>
    <t>A12109.SZ</t>
  </si>
  <si>
    <t>A12105.SZ</t>
  </si>
  <si>
    <t>A12107.SZ</t>
  </si>
  <si>
    <t>A12103.SZ</t>
  </si>
  <si>
    <t>A12099.SZ</t>
  </si>
  <si>
    <t>A12093.SZ</t>
  </si>
  <si>
    <t>A12097.SZ</t>
  </si>
  <si>
    <t>A12091.SZ</t>
  </si>
  <si>
    <t>A12089.SZ</t>
  </si>
  <si>
    <t>A12083.SZ</t>
  </si>
  <si>
    <t>A12082.SZ</t>
  </si>
  <si>
    <t>A12078.SZ</t>
  </si>
  <si>
    <t>A12074.SZ</t>
  </si>
  <si>
    <t>A12070.SZ</t>
  </si>
  <si>
    <t>A12063.SZ</t>
  </si>
  <si>
    <t>A12067.SZ</t>
  </si>
  <si>
    <t>A12066.SZ</t>
  </si>
  <si>
    <t>A12058.SZ</t>
  </si>
  <si>
    <t>A12053.SZ</t>
  </si>
  <si>
    <t>A12056.SZ</t>
  </si>
  <si>
    <t>A12050.SZ</t>
  </si>
  <si>
    <t>A12047.SZ</t>
  </si>
  <si>
    <t>600143.SH</t>
  </si>
  <si>
    <t>A12038.SZ</t>
  </si>
  <si>
    <t>A12035.SZ</t>
  </si>
  <si>
    <t>A12021.SZ</t>
  </si>
  <si>
    <t>A12014.SZ</t>
  </si>
  <si>
    <t>A12019.SZ</t>
  </si>
  <si>
    <t>A12016.SZ</t>
  </si>
  <si>
    <t>A12009.SZ</t>
  </si>
  <si>
    <t>A11324.SZ</t>
  </si>
  <si>
    <t>A11323.SZ</t>
  </si>
  <si>
    <t>A11317.SZ</t>
  </si>
  <si>
    <t>A11320.SZ</t>
  </si>
  <si>
    <t>A11308.SZ</t>
  </si>
  <si>
    <t>A11310.SZ</t>
  </si>
  <si>
    <t>A11304.SZ</t>
  </si>
  <si>
    <t>A11299.SZ</t>
  </si>
  <si>
    <t>A11302.SZ</t>
  </si>
  <si>
    <t>A11293.SZ</t>
  </si>
  <si>
    <t>A11291.SZ</t>
  </si>
  <si>
    <t>A11286.SZ</t>
  </si>
  <si>
    <t>A11285.SZ</t>
  </si>
  <si>
    <t>A11284.SZ</t>
  </si>
  <si>
    <t>A11280.SZ</t>
  </si>
  <si>
    <t>A11283.SZ</t>
  </si>
  <si>
    <t>A11281.SH</t>
  </si>
  <si>
    <t>A11278.SZ</t>
  </si>
  <si>
    <t>A11275.SZ</t>
  </si>
  <si>
    <t>A11274.SZ</t>
  </si>
  <si>
    <t>A11271.SZ</t>
  </si>
  <si>
    <t>A11268.SH</t>
  </si>
  <si>
    <t>A11269.SH</t>
  </si>
  <si>
    <t>A11260.SZ</t>
  </si>
  <si>
    <t>A11255.SZ</t>
  </si>
  <si>
    <t>A11254.SZ</t>
  </si>
  <si>
    <t>A11256.SZ</t>
  </si>
  <si>
    <t>A11242.SZ</t>
  </si>
  <si>
    <t>A11235.SH</t>
  </si>
  <si>
    <t>A11234.SZ</t>
  </si>
  <si>
    <t>A11230.SZ</t>
  </si>
  <si>
    <t>A11231.SZ</t>
  </si>
  <si>
    <t>A11228.SZ</t>
  </si>
  <si>
    <t>A11221.SZ</t>
  </si>
  <si>
    <t>A11213.SH</t>
  </si>
  <si>
    <t>A11209.SH</t>
  </si>
  <si>
    <t>A11208.SZ</t>
  </si>
  <si>
    <t>A11202.SZ</t>
  </si>
  <si>
    <t>A11203.SZ</t>
  </si>
  <si>
    <t>002111.SZ</t>
  </si>
  <si>
    <t>A11191.SZ</t>
  </si>
  <si>
    <t>A11187.SZ</t>
  </si>
  <si>
    <t>A11173.SZ</t>
  </si>
  <si>
    <t>600522.SH</t>
  </si>
  <si>
    <t>A11162.SZ</t>
  </si>
  <si>
    <t>A11159.SZ</t>
  </si>
  <si>
    <t>A11161.SZ</t>
  </si>
  <si>
    <t>A11154.SZ</t>
  </si>
  <si>
    <t>A11153.SZ</t>
  </si>
  <si>
    <t>A11152.SZ</t>
  </si>
  <si>
    <t>A11144.SZ</t>
  </si>
  <si>
    <t>A11140.SH</t>
  </si>
  <si>
    <t>A11138.SZ</t>
  </si>
  <si>
    <t>A11136.SZ</t>
  </si>
  <si>
    <t>A11119.SZ</t>
  </si>
  <si>
    <t>A11114.SZ</t>
  </si>
  <si>
    <t>A11110.SZ</t>
  </si>
  <si>
    <t>A11109.SZ</t>
  </si>
  <si>
    <t>A11102.SH</t>
  </si>
  <si>
    <t>A11103.SZ</t>
  </si>
  <si>
    <t>A11101.SZ</t>
  </si>
  <si>
    <t>601258.SH</t>
  </si>
  <si>
    <t>A11095.SZ</t>
  </si>
  <si>
    <t>A11096.SZ</t>
  </si>
  <si>
    <t>A11098.SZ</t>
  </si>
  <si>
    <t>002578.SZ</t>
  </si>
  <si>
    <t>002577.SZ</t>
  </si>
  <si>
    <t>002576.SZ</t>
  </si>
  <si>
    <t>A11094.SZ</t>
  </si>
  <si>
    <t>A11093.SZ</t>
  </si>
  <si>
    <t>A11092.SZ</t>
  </si>
  <si>
    <t>A11089.SZ</t>
  </si>
  <si>
    <t>300209.SZ</t>
  </si>
  <si>
    <t>A11087.SZ</t>
  </si>
  <si>
    <t>300210.SZ</t>
  </si>
  <si>
    <t>300208.SZ</t>
  </si>
  <si>
    <t>002574.SZ</t>
  </si>
  <si>
    <t>002575.SZ</t>
  </si>
  <si>
    <t>300207.SZ</t>
  </si>
  <si>
    <t>300206.SZ</t>
  </si>
  <si>
    <t>300205.SZ</t>
  </si>
  <si>
    <t>A12266.SZ</t>
  </si>
  <si>
    <t>002573.SZ</t>
  </si>
  <si>
    <t>300203.SZ</t>
  </si>
  <si>
    <t>300204.SZ</t>
  </si>
  <si>
    <t>300202.SZ</t>
  </si>
  <si>
    <t>002572.SZ</t>
  </si>
  <si>
    <t>002570.SZ</t>
  </si>
  <si>
    <t>002571.SZ</t>
  </si>
  <si>
    <t>002569.SZ</t>
  </si>
  <si>
    <t>300201.SZ</t>
  </si>
  <si>
    <t>A11057.SZ</t>
  </si>
  <si>
    <t>300199.SZ</t>
  </si>
  <si>
    <t>300198.SZ</t>
  </si>
  <si>
    <t>300200.SZ</t>
  </si>
  <si>
    <t>300197.SZ</t>
  </si>
  <si>
    <t>300196.SZ</t>
  </si>
  <si>
    <t>300195.SZ</t>
  </si>
  <si>
    <t>601199.SH</t>
  </si>
  <si>
    <t>002568.SZ</t>
  </si>
  <si>
    <t>002567.SZ</t>
  </si>
  <si>
    <t>A11039.SZ</t>
  </si>
  <si>
    <t>300193.SZ</t>
  </si>
  <si>
    <t>A11042.SZ</t>
  </si>
  <si>
    <t>300192.SZ</t>
  </si>
  <si>
    <t>300194.SZ</t>
  </si>
  <si>
    <t>601011.SH</t>
  </si>
  <si>
    <t>002566.SZ</t>
  </si>
  <si>
    <t>002565.SZ</t>
  </si>
  <si>
    <t>300191.SZ</t>
  </si>
  <si>
    <t>300190.SZ</t>
  </si>
  <si>
    <t>300189.SZ</t>
  </si>
  <si>
    <t>A11028.SZ</t>
  </si>
  <si>
    <t>300188.SZ</t>
  </si>
  <si>
    <t>002562.SZ</t>
  </si>
  <si>
    <t>002563.SZ</t>
  </si>
  <si>
    <t>002564.SZ</t>
  </si>
  <si>
    <t>601116.SH</t>
  </si>
  <si>
    <t>601992.SH</t>
  </si>
  <si>
    <t>300185.SZ</t>
  </si>
  <si>
    <t>A11018.SZ</t>
  </si>
  <si>
    <t>300187.SZ</t>
  </si>
  <si>
    <t>300186.SZ</t>
  </si>
  <si>
    <t>002560.SZ</t>
  </si>
  <si>
    <t>002559.SZ</t>
  </si>
  <si>
    <t>002561.SZ</t>
  </si>
  <si>
    <t>601216.SH</t>
  </si>
  <si>
    <t>002556.SZ</t>
  </si>
  <si>
    <t>002558.SZ</t>
  </si>
  <si>
    <t>002557.SZ</t>
  </si>
  <si>
    <t>002555.SZ</t>
  </si>
  <si>
    <t>A11011.SZ</t>
  </si>
  <si>
    <t>002554.SZ</t>
  </si>
  <si>
    <t>002553.SZ</t>
  </si>
  <si>
    <t>002551.SZ</t>
  </si>
  <si>
    <t>002552.SZ</t>
  </si>
  <si>
    <t>300182.SZ</t>
  </si>
  <si>
    <t>300181.SZ</t>
  </si>
  <si>
    <t>300183.SZ</t>
  </si>
  <si>
    <t>300184.SZ</t>
  </si>
  <si>
    <t>300180.SZ</t>
  </si>
  <si>
    <t>002548.SZ</t>
  </si>
  <si>
    <t>002547.SZ</t>
  </si>
  <si>
    <t>002549.SZ</t>
  </si>
  <si>
    <t>002550.SZ</t>
  </si>
  <si>
    <t>601799.SH</t>
  </si>
  <si>
    <t>601616.SH</t>
  </si>
  <si>
    <t>601519.SH</t>
  </si>
  <si>
    <t>300177.SZ</t>
  </si>
  <si>
    <t>300179.SZ</t>
  </si>
  <si>
    <t>300178.SZ</t>
  </si>
  <si>
    <t>601137.SH</t>
  </si>
  <si>
    <t>300176.SZ</t>
  </si>
  <si>
    <t>300175.SZ</t>
  </si>
  <si>
    <t>002546.SZ</t>
  </si>
  <si>
    <t>002545.SZ</t>
  </si>
  <si>
    <t>300172.SZ</t>
  </si>
  <si>
    <t>300174.SZ</t>
  </si>
  <si>
    <t>300171.SZ</t>
  </si>
  <si>
    <t>300170.SZ</t>
  </si>
  <si>
    <t>300173.SZ</t>
  </si>
  <si>
    <t>002543.SZ</t>
  </si>
  <si>
    <t>002544.SZ</t>
  </si>
  <si>
    <t>002542.SZ</t>
  </si>
  <si>
    <t>601700.SH</t>
  </si>
  <si>
    <t>300166.SZ</t>
  </si>
  <si>
    <t>300168.SZ</t>
  </si>
  <si>
    <t>300167.SZ</t>
  </si>
  <si>
    <t>300169.SZ</t>
  </si>
  <si>
    <t>300165.SZ</t>
  </si>
  <si>
    <t>601558.SH</t>
  </si>
  <si>
    <t>601118.SH</t>
  </si>
  <si>
    <t>002540.SZ</t>
  </si>
  <si>
    <t>002541.SZ</t>
  </si>
  <si>
    <t>002539.SZ</t>
  </si>
  <si>
    <t>002538.SZ</t>
  </si>
  <si>
    <t>300161.SZ</t>
  </si>
  <si>
    <t>300162.SZ</t>
  </si>
  <si>
    <t>300160.SZ</t>
  </si>
  <si>
    <t>300164.SZ</t>
  </si>
  <si>
    <t>300163.SZ</t>
  </si>
  <si>
    <t>601126.SH</t>
  </si>
  <si>
    <t>002536.SZ</t>
  </si>
  <si>
    <t>002537.SZ</t>
  </si>
  <si>
    <t>002535.SZ</t>
  </si>
  <si>
    <t>002534.SZ</t>
  </si>
  <si>
    <t>601890.SH</t>
  </si>
  <si>
    <t>300157.SZ</t>
  </si>
  <si>
    <t>300159.SZ</t>
  </si>
  <si>
    <t>300158.SZ</t>
  </si>
  <si>
    <t>300156.SZ</t>
  </si>
  <si>
    <t>300155.SZ</t>
  </si>
  <si>
    <t>002531.SZ</t>
  </si>
  <si>
    <t>002532.SZ</t>
  </si>
  <si>
    <t>002533.SZ</t>
  </si>
  <si>
    <t>002530.SZ</t>
  </si>
  <si>
    <t>A10401.SZ</t>
  </si>
  <si>
    <t>300152.SZ</t>
  </si>
  <si>
    <t>300153.SZ</t>
  </si>
  <si>
    <t>A10395.SZ</t>
  </si>
  <si>
    <t>300154.SZ</t>
  </si>
  <si>
    <t>A10394.SZ</t>
  </si>
  <si>
    <t>002529.SZ</t>
  </si>
  <si>
    <t>002527.SZ</t>
  </si>
  <si>
    <t>002528.SZ</t>
  </si>
  <si>
    <t>601933.SH</t>
  </si>
  <si>
    <t>000157.SZ</t>
  </si>
  <si>
    <t>A10381.SZ</t>
  </si>
  <si>
    <t>300150.SZ</t>
  </si>
  <si>
    <t>300149.SZ</t>
  </si>
  <si>
    <t>300151.SZ</t>
  </si>
  <si>
    <t>002524.SZ</t>
  </si>
  <si>
    <t>002526.SZ</t>
  </si>
  <si>
    <t>002525.SZ</t>
  </si>
  <si>
    <t>300147.SZ</t>
  </si>
  <si>
    <t>300148.SZ</t>
  </si>
  <si>
    <t>300146.SZ</t>
  </si>
  <si>
    <t>601880.SH</t>
  </si>
  <si>
    <t>002520.SZ</t>
  </si>
  <si>
    <t>002522.SZ</t>
  </si>
  <si>
    <t>002523.SZ</t>
  </si>
  <si>
    <t>002521.SZ</t>
  </si>
  <si>
    <t>300143.SZ</t>
  </si>
  <si>
    <t>300144.SZ</t>
  </si>
  <si>
    <t>300145.SZ</t>
  </si>
  <si>
    <t>601777.SH</t>
  </si>
  <si>
    <t>002518.SZ</t>
  </si>
  <si>
    <t>002516.SZ</t>
  </si>
  <si>
    <t>002517.SZ</t>
  </si>
  <si>
    <t>002519.SZ</t>
  </si>
  <si>
    <t>000730.SZ</t>
  </si>
  <si>
    <t>002512.SZ</t>
  </si>
  <si>
    <t>002513.SZ</t>
  </si>
  <si>
    <t>002514.SZ</t>
  </si>
  <si>
    <t>002515.SZ</t>
  </si>
  <si>
    <t>002511.SZ</t>
  </si>
  <si>
    <t>002510.SZ</t>
  </si>
  <si>
    <t>002508.SZ</t>
  </si>
  <si>
    <t>002509.SZ</t>
  </si>
  <si>
    <t>002507.SZ</t>
  </si>
  <si>
    <t>002505.SZ</t>
  </si>
  <si>
    <t>002506.SZ</t>
  </si>
  <si>
    <t>002504.SZ</t>
  </si>
  <si>
    <t>002501.SZ</t>
  </si>
  <si>
    <t>002502.SZ</t>
  </si>
  <si>
    <t>002503.SZ</t>
  </si>
  <si>
    <t>600998.SH</t>
  </si>
  <si>
    <t>300141.SZ</t>
  </si>
  <si>
    <t>300140.SZ</t>
  </si>
  <si>
    <t>A10311.SZ</t>
  </si>
  <si>
    <t>002500.SZ</t>
  </si>
  <si>
    <t>300139.SZ</t>
  </si>
  <si>
    <t>A10312.SZ</t>
  </si>
  <si>
    <t>300142.SZ</t>
  </si>
  <si>
    <t>601098.SH</t>
  </si>
  <si>
    <t>002496.SZ</t>
  </si>
  <si>
    <t>002498.SZ</t>
  </si>
  <si>
    <t>002499.SZ</t>
  </si>
  <si>
    <t>002497.SZ</t>
  </si>
  <si>
    <t>300136.SZ</t>
  </si>
  <si>
    <t>300137.SZ</t>
  </si>
  <si>
    <t>300138.SZ</t>
  </si>
  <si>
    <t>002493.SZ</t>
  </si>
  <si>
    <t>002495.SZ</t>
  </si>
  <si>
    <t>002494.SZ</t>
  </si>
  <si>
    <t>002492.SZ</t>
  </si>
  <si>
    <t>601377.SH</t>
  </si>
  <si>
    <t>300133.SZ</t>
  </si>
  <si>
    <t>002177.SZ</t>
  </si>
  <si>
    <t>300134.SZ</t>
  </si>
  <si>
    <t>300135.SZ</t>
  </si>
  <si>
    <t>300132.SZ</t>
  </si>
  <si>
    <t>A10287.SZ</t>
  </si>
  <si>
    <t>002491.SZ</t>
  </si>
  <si>
    <t>002490.SZ</t>
  </si>
  <si>
    <t>601177.SH</t>
  </si>
  <si>
    <t>002488.SZ</t>
  </si>
  <si>
    <t>300131.SZ</t>
  </si>
  <si>
    <t>300130.SZ</t>
  </si>
  <si>
    <t>300129.SZ</t>
  </si>
  <si>
    <t>002202.SZ</t>
  </si>
  <si>
    <t>601018.SH</t>
  </si>
  <si>
    <t>A10279.SZ</t>
  </si>
  <si>
    <t>002487.SZ</t>
  </si>
  <si>
    <t>002486.SZ</t>
  </si>
  <si>
    <t>002485.SZ</t>
  </si>
  <si>
    <t>300128.SZ</t>
  </si>
  <si>
    <t>300126.SZ</t>
  </si>
  <si>
    <t>300127.SZ</t>
  </si>
  <si>
    <t>300125.SZ</t>
  </si>
  <si>
    <t>002482.SZ</t>
  </si>
  <si>
    <t>002483.SZ</t>
  </si>
  <si>
    <t>002484.SZ</t>
  </si>
  <si>
    <t>300123.SZ</t>
  </si>
  <si>
    <t>300122.SZ</t>
  </si>
  <si>
    <t>300124.SZ</t>
  </si>
  <si>
    <t>A10262.SZ</t>
  </si>
  <si>
    <t>A10261.SZ</t>
  </si>
  <si>
    <t>002478.SZ</t>
  </si>
  <si>
    <t>002481.SZ</t>
  </si>
  <si>
    <t>002480.SZ</t>
  </si>
  <si>
    <t>002479.SZ</t>
  </si>
  <si>
    <t>A10258.SZ</t>
  </si>
  <si>
    <t>300120.SZ</t>
  </si>
  <si>
    <t>300121.SZ</t>
  </si>
  <si>
    <t>300119.SZ</t>
  </si>
  <si>
    <t>002474.SZ</t>
  </si>
  <si>
    <t>002476.SZ</t>
  </si>
  <si>
    <t>002477.SZ</t>
  </si>
  <si>
    <t>002475.SZ</t>
  </si>
  <si>
    <t>A10252.SZ</t>
  </si>
  <si>
    <t>002473.SZ</t>
  </si>
  <si>
    <t>002471.SZ</t>
  </si>
  <si>
    <t>002472.SZ</t>
  </si>
  <si>
    <t>002467.SZ</t>
  </si>
  <si>
    <t>002470.SZ</t>
  </si>
  <si>
    <t>002469.SZ</t>
  </si>
  <si>
    <t>A10249.SZ</t>
  </si>
  <si>
    <t>002468.SZ</t>
  </si>
  <si>
    <t>300116.SZ</t>
  </si>
  <si>
    <t>300118.SZ</t>
  </si>
  <si>
    <t>300117.SZ</t>
  </si>
  <si>
    <t>300115.SZ</t>
  </si>
  <si>
    <t>002465.SZ</t>
  </si>
  <si>
    <t>002466.SZ</t>
  </si>
  <si>
    <t>002464.SZ</t>
  </si>
  <si>
    <t>601818.SH</t>
  </si>
  <si>
    <t>300113.SZ</t>
  </si>
  <si>
    <t>300111.SZ</t>
  </si>
  <si>
    <t>300112.SZ</t>
  </si>
  <si>
    <t>300114.SZ</t>
  </si>
  <si>
    <t>601718.SH</t>
  </si>
  <si>
    <t>300108.SZ</t>
  </si>
  <si>
    <t>300109.SZ</t>
  </si>
  <si>
    <t>300110.SZ</t>
  </si>
  <si>
    <t>300106.SZ</t>
  </si>
  <si>
    <t>300107.SZ</t>
  </si>
  <si>
    <t>300105.SZ</t>
  </si>
  <si>
    <t>002461.SZ</t>
  </si>
  <si>
    <t>002463.SZ</t>
  </si>
  <si>
    <t>002462.SZ</t>
  </si>
  <si>
    <t>300102.SZ</t>
  </si>
  <si>
    <t>300104.SZ</t>
  </si>
  <si>
    <t>300103.SZ</t>
  </si>
  <si>
    <t>002460.SZ</t>
  </si>
  <si>
    <t>002458.SZ</t>
  </si>
  <si>
    <t>002459.SZ</t>
  </si>
  <si>
    <t>300101.SZ</t>
  </si>
  <si>
    <t>300099.SZ</t>
  </si>
  <si>
    <t>300100.SZ</t>
  </si>
  <si>
    <t>002457.SZ</t>
  </si>
  <si>
    <t>002455.SZ</t>
  </si>
  <si>
    <t>002456.SZ</t>
  </si>
  <si>
    <t>A10216.SZ</t>
  </si>
  <si>
    <t>300097.SZ</t>
  </si>
  <si>
    <t>300098.SZ</t>
  </si>
  <si>
    <t>300096.SZ</t>
  </si>
  <si>
    <t>300095.SZ</t>
  </si>
  <si>
    <t>601288.SH</t>
  </si>
  <si>
    <t>002451.SZ</t>
  </si>
  <si>
    <t>002452.SZ</t>
  </si>
  <si>
    <t>002453.SZ</t>
  </si>
  <si>
    <t>002454.SZ</t>
  </si>
  <si>
    <t>002449.SZ</t>
  </si>
  <si>
    <t>002414.SZ</t>
  </si>
  <si>
    <t>601000.SH</t>
  </si>
  <si>
    <t>002448.SZ</t>
  </si>
  <si>
    <t>002450.SZ</t>
  </si>
  <si>
    <t>002444.SZ</t>
  </si>
  <si>
    <t>002446.SZ</t>
  </si>
  <si>
    <t>002445.SZ</t>
  </si>
  <si>
    <t>002447.SZ</t>
  </si>
  <si>
    <t>300092.SZ</t>
  </si>
  <si>
    <t>300094.SZ</t>
  </si>
  <si>
    <t>300093.SZ</t>
  </si>
  <si>
    <t>A10192.SZ</t>
  </si>
  <si>
    <t>002442.SZ</t>
  </si>
  <si>
    <t>002441.SZ</t>
  </si>
  <si>
    <t>A10185.SZ</t>
  </si>
  <si>
    <t>002440.SZ</t>
  </si>
  <si>
    <t>A10184.SZ</t>
  </si>
  <si>
    <t>002443.SZ</t>
  </si>
  <si>
    <t>300089.SZ</t>
  </si>
  <si>
    <t>300091.SZ</t>
  </si>
  <si>
    <t>300090.SZ</t>
  </si>
  <si>
    <t>002396.SZ</t>
  </si>
  <si>
    <t>002439.SZ</t>
  </si>
  <si>
    <t>002437.SZ</t>
  </si>
  <si>
    <t>002438.SZ</t>
  </si>
  <si>
    <t>002434.SZ</t>
  </si>
  <si>
    <t>002435.SZ</t>
  </si>
  <si>
    <t>002433.SZ</t>
  </si>
  <si>
    <t>A10167.SZ</t>
  </si>
  <si>
    <t>002436.SZ</t>
  </si>
  <si>
    <t>002429.SZ</t>
  </si>
  <si>
    <t>002431.SZ</t>
  </si>
  <si>
    <t>002432.SZ</t>
  </si>
  <si>
    <t>002430.SZ</t>
  </si>
  <si>
    <t>002428.SZ</t>
  </si>
  <si>
    <t>002427.SZ</t>
  </si>
  <si>
    <t>002426.SZ</t>
  </si>
  <si>
    <t>002425.SZ</t>
  </si>
  <si>
    <t>002423.SZ</t>
  </si>
  <si>
    <t>002424.SZ</t>
  </si>
  <si>
    <t>002421.SZ</t>
  </si>
  <si>
    <t>002422.SZ</t>
  </si>
  <si>
    <t>002418.SZ</t>
  </si>
  <si>
    <t>002417.SZ</t>
  </si>
  <si>
    <t>002419.SZ</t>
  </si>
  <si>
    <t>002420.SZ</t>
  </si>
  <si>
    <t>002413.SZ</t>
  </si>
  <si>
    <t>600580.SH</t>
  </si>
  <si>
    <t>002416.SZ</t>
  </si>
  <si>
    <t>002415.SZ</t>
  </si>
  <si>
    <t>300087.SZ</t>
  </si>
  <si>
    <t>300085.SZ</t>
  </si>
  <si>
    <t>300088.SZ</t>
  </si>
  <si>
    <t>300086.SZ</t>
  </si>
  <si>
    <t>002412.SZ</t>
  </si>
  <si>
    <t>002411.SZ</t>
  </si>
  <si>
    <t>002409.SZ</t>
  </si>
  <si>
    <t>002410.SZ</t>
  </si>
  <si>
    <t>300082.SZ</t>
  </si>
  <si>
    <t>300083.SZ</t>
  </si>
  <si>
    <t>300080.SZ</t>
  </si>
  <si>
    <t>300084.SZ</t>
  </si>
  <si>
    <t>300081.SZ</t>
  </si>
  <si>
    <t>002408.SZ</t>
  </si>
  <si>
    <t>002407.SZ</t>
  </si>
  <si>
    <t>002406.SZ</t>
  </si>
  <si>
    <t>002405.SZ</t>
  </si>
  <si>
    <t>601369.SH</t>
  </si>
  <si>
    <t>002402.SZ</t>
  </si>
  <si>
    <t>002403.SZ</t>
  </si>
  <si>
    <t>002404.SZ</t>
  </si>
  <si>
    <t>002400.SZ</t>
  </si>
  <si>
    <t>002399.SZ</t>
  </si>
  <si>
    <t>002401.SZ</t>
  </si>
  <si>
    <t>002398.SZ</t>
  </si>
  <si>
    <t>300079.SZ</t>
  </si>
  <si>
    <t>300076.SZ</t>
  </si>
  <si>
    <t>300077.SZ</t>
  </si>
  <si>
    <t>300078.SZ</t>
  </si>
  <si>
    <t>002397.SZ</t>
  </si>
  <si>
    <t>002395.SZ</t>
  </si>
  <si>
    <t>300072.SZ</t>
  </si>
  <si>
    <t>300075.SZ</t>
  </si>
  <si>
    <t>002394.SZ</t>
  </si>
  <si>
    <t>300073.SZ</t>
  </si>
  <si>
    <t>300074.SZ</t>
  </si>
  <si>
    <t>002393.SZ</t>
  </si>
  <si>
    <t>002392.SZ</t>
  </si>
  <si>
    <t>300070.SZ</t>
  </si>
  <si>
    <t>300069.SZ</t>
  </si>
  <si>
    <t>300067.SZ</t>
  </si>
  <si>
    <t>300068.SZ</t>
  </si>
  <si>
    <t>300071.SZ</t>
  </si>
  <si>
    <t>002390.SZ</t>
  </si>
  <si>
    <t>002391.SZ</t>
  </si>
  <si>
    <t>002389.SZ</t>
  </si>
  <si>
    <t>601101.SH</t>
  </si>
  <si>
    <t>002387.SZ</t>
  </si>
  <si>
    <t>002388.SZ</t>
  </si>
  <si>
    <t>002384.SZ</t>
  </si>
  <si>
    <t>601158.SH</t>
  </si>
  <si>
    <t>002385.SZ</t>
  </si>
  <si>
    <t>002386.SZ</t>
  </si>
  <si>
    <t>002382.SZ</t>
  </si>
  <si>
    <t>002383.SZ</t>
  </si>
  <si>
    <t>002381.SZ</t>
  </si>
  <si>
    <t>002380.SZ</t>
  </si>
  <si>
    <t>002379.SZ</t>
  </si>
  <si>
    <t>002378.SZ</t>
  </si>
  <si>
    <t>300066.SZ</t>
  </si>
  <si>
    <t>300064.SZ</t>
  </si>
  <si>
    <t>300063.SZ</t>
  </si>
  <si>
    <t>300065.SZ</t>
  </si>
  <si>
    <t>002376.SZ</t>
  </si>
  <si>
    <t>002375.SZ</t>
  </si>
  <si>
    <t>002377.SZ</t>
  </si>
  <si>
    <t>300061.SZ</t>
  </si>
  <si>
    <t>300062.SZ</t>
  </si>
  <si>
    <t>300059.SZ</t>
  </si>
  <si>
    <t>002374.SZ</t>
  </si>
  <si>
    <t>002373.SZ</t>
  </si>
  <si>
    <t>002372.SZ</t>
  </si>
  <si>
    <t>002370.SZ</t>
  </si>
  <si>
    <t>002371.SZ</t>
  </si>
  <si>
    <t>002369.SZ</t>
  </si>
  <si>
    <t>002367.SZ</t>
  </si>
  <si>
    <t>002366.SZ</t>
  </si>
  <si>
    <t>002368.SZ</t>
  </si>
  <si>
    <t>600227.SH</t>
  </si>
  <si>
    <t>601688.SH</t>
  </si>
  <si>
    <t>601678.SH</t>
  </si>
  <si>
    <t>002365.SZ</t>
  </si>
  <si>
    <t>002364.SZ</t>
  </si>
  <si>
    <t>002363.SZ</t>
  </si>
  <si>
    <t>002362.SZ</t>
  </si>
  <si>
    <t>002361.SZ</t>
  </si>
  <si>
    <t>002360.SZ</t>
  </si>
  <si>
    <t>601106.SH</t>
  </si>
  <si>
    <t>300058.SZ</t>
  </si>
  <si>
    <t>300055.SZ</t>
  </si>
  <si>
    <t>300056.SZ</t>
  </si>
  <si>
    <t>300057.SZ</t>
  </si>
  <si>
    <t>300054.SZ</t>
  </si>
  <si>
    <t>300052.SZ</t>
  </si>
  <si>
    <t>300051.SZ</t>
  </si>
  <si>
    <t>601268.SH</t>
  </si>
  <si>
    <t>300053.SZ</t>
  </si>
  <si>
    <t>002358.SZ</t>
  </si>
  <si>
    <t>002359.SZ</t>
  </si>
  <si>
    <t>002357.SZ</t>
  </si>
  <si>
    <t>601179.SH</t>
  </si>
  <si>
    <t>002356.SZ</t>
  </si>
  <si>
    <t>002355.SZ</t>
  </si>
  <si>
    <t>002354.SZ</t>
  </si>
  <si>
    <t>002352.SZ</t>
  </si>
  <si>
    <t>002351.SZ</t>
  </si>
  <si>
    <t>002353.SZ</t>
  </si>
  <si>
    <t>601877.SH</t>
  </si>
  <si>
    <t>002349.SZ</t>
  </si>
  <si>
    <t>002348.SZ</t>
  </si>
  <si>
    <t>002350.SZ</t>
  </si>
  <si>
    <t>601801.SH</t>
  </si>
  <si>
    <t>002347.SZ</t>
  </si>
  <si>
    <t>002346.SZ</t>
  </si>
  <si>
    <t>002345.SZ</t>
  </si>
  <si>
    <t>002343.SZ</t>
  </si>
  <si>
    <t>002344.SZ</t>
  </si>
  <si>
    <t>002342.SZ</t>
  </si>
  <si>
    <t>002339.SZ</t>
  </si>
  <si>
    <t>002340.SZ</t>
  </si>
  <si>
    <t>002341.SZ</t>
  </si>
  <si>
    <t>300046.SZ</t>
  </si>
  <si>
    <t>300045.SZ</t>
  </si>
  <si>
    <t>300049.SZ</t>
  </si>
  <si>
    <t>300044.SZ</t>
  </si>
  <si>
    <t>300047.SZ</t>
  </si>
  <si>
    <t>601117.SH</t>
  </si>
  <si>
    <t>300048.SZ</t>
  </si>
  <si>
    <t>300050.SZ</t>
  </si>
  <si>
    <t>300043.SZ</t>
  </si>
  <si>
    <t>002338.SZ</t>
  </si>
  <si>
    <t>002337.SZ</t>
  </si>
  <si>
    <t>002335.SZ</t>
  </si>
  <si>
    <t>002334.SZ</t>
  </si>
  <si>
    <t>002336.SZ</t>
  </si>
  <si>
    <t>002333.SZ</t>
  </si>
  <si>
    <t>002332.SZ</t>
  </si>
  <si>
    <t>601139.SH</t>
  </si>
  <si>
    <t>300037.SZ</t>
  </si>
  <si>
    <t>300039.SZ</t>
  </si>
  <si>
    <t>300040.SZ</t>
  </si>
  <si>
    <t>300038.SZ</t>
  </si>
  <si>
    <t>300042.SZ</t>
  </si>
  <si>
    <t>300041.SZ</t>
  </si>
  <si>
    <t>002331.SZ</t>
  </si>
  <si>
    <t>002330.SZ</t>
  </si>
  <si>
    <t>002329.SZ</t>
  </si>
  <si>
    <t>002328.SZ</t>
  </si>
  <si>
    <t>002327.SZ</t>
  </si>
  <si>
    <t>300036.SZ</t>
  </si>
  <si>
    <t>300031.SZ</t>
  </si>
  <si>
    <t>300032.SZ</t>
  </si>
  <si>
    <t>300029.SZ</t>
  </si>
  <si>
    <t>300034.SZ</t>
  </si>
  <si>
    <t>300035.SZ</t>
  </si>
  <si>
    <t>601989.SH</t>
  </si>
  <si>
    <t>300033.SZ</t>
  </si>
  <si>
    <t>300030.SZ</t>
  </si>
  <si>
    <t>002325.SZ</t>
  </si>
  <si>
    <t>601601.SH</t>
  </si>
  <si>
    <t>002326.SZ</t>
  </si>
  <si>
    <t>002322.SZ</t>
  </si>
  <si>
    <t>002323.SZ</t>
  </si>
  <si>
    <t>002324.SZ</t>
  </si>
  <si>
    <t>002321.SZ</t>
  </si>
  <si>
    <t>002320.SZ</t>
  </si>
  <si>
    <t>002319.SZ</t>
  </si>
  <si>
    <t>002317.SZ</t>
  </si>
  <si>
    <t>002318.SZ</t>
  </si>
  <si>
    <t>002315.SZ</t>
  </si>
  <si>
    <t>002316.SZ</t>
  </si>
  <si>
    <t>002314.SZ</t>
  </si>
  <si>
    <t>002312.SZ</t>
  </si>
  <si>
    <t>002313.SZ</t>
  </si>
  <si>
    <t>002310.SZ</t>
  </si>
  <si>
    <t>002311.SZ</t>
  </si>
  <si>
    <t>600999.SH</t>
  </si>
  <si>
    <t>002308.SZ</t>
  </si>
  <si>
    <t>002309.SZ</t>
  </si>
  <si>
    <t>600016.SH</t>
  </si>
  <si>
    <t>002306.SZ</t>
  </si>
  <si>
    <t>002307.SZ</t>
  </si>
  <si>
    <t>002304.SZ</t>
  </si>
  <si>
    <t>002305.SZ</t>
  </si>
  <si>
    <t>002302.SZ</t>
  </si>
  <si>
    <t>002303.SZ</t>
  </si>
  <si>
    <t>300027.SZ</t>
  </si>
  <si>
    <t>601888.SH</t>
  </si>
  <si>
    <t>300022.SZ</t>
  </si>
  <si>
    <t>300026.SZ</t>
  </si>
  <si>
    <t>300020.SZ</t>
  </si>
  <si>
    <t>300024.SZ</t>
  </si>
  <si>
    <t>300023.SZ</t>
  </si>
  <si>
    <t>300025.SZ</t>
  </si>
  <si>
    <t>300021.SZ</t>
  </si>
  <si>
    <t>300028.SZ</t>
  </si>
  <si>
    <t>300011.SZ</t>
  </si>
  <si>
    <t>300018.SZ</t>
  </si>
  <si>
    <t>300019.SZ</t>
  </si>
  <si>
    <t>300017.SZ</t>
  </si>
  <si>
    <t>300013.SZ</t>
  </si>
  <si>
    <t>300014.SZ</t>
  </si>
  <si>
    <t>300015.SZ</t>
  </si>
  <si>
    <t>300012.SZ</t>
  </si>
  <si>
    <t>300016.SZ</t>
  </si>
  <si>
    <t>002301.SZ</t>
  </si>
  <si>
    <t>002299.SZ</t>
  </si>
  <si>
    <t>002300.SZ</t>
  </si>
  <si>
    <t>300004.SZ</t>
  </si>
  <si>
    <t>300005.SZ</t>
  </si>
  <si>
    <t>300009.SZ</t>
  </si>
  <si>
    <t>300007.SZ</t>
  </si>
  <si>
    <t>300001.SZ</t>
  </si>
  <si>
    <t>300010.SZ</t>
  </si>
  <si>
    <t>300008.SZ</t>
  </si>
  <si>
    <t>300003.SZ</t>
  </si>
  <si>
    <t>300006.SZ</t>
  </si>
  <si>
    <t>601618.SH</t>
  </si>
  <si>
    <t>002297.SZ</t>
  </si>
  <si>
    <t>002298.SZ</t>
  </si>
  <si>
    <t>002295.SZ</t>
  </si>
  <si>
    <t>002296.SZ</t>
  </si>
  <si>
    <t>300002.SZ</t>
  </si>
  <si>
    <t>002294.SZ</t>
  </si>
  <si>
    <t>002293.SZ</t>
  </si>
  <si>
    <t>002292.SZ</t>
  </si>
  <si>
    <t>002290.SZ</t>
  </si>
  <si>
    <t>002291.SZ</t>
  </si>
  <si>
    <t>002289.SZ</t>
  </si>
  <si>
    <t>002288.SZ</t>
  </si>
  <si>
    <t>002286.SZ</t>
  </si>
  <si>
    <t>002287.SZ</t>
  </si>
  <si>
    <t>601788.SH</t>
  </si>
  <si>
    <t>002284.SZ</t>
  </si>
  <si>
    <t>002285.SZ</t>
  </si>
  <si>
    <t>002283.SZ</t>
  </si>
  <si>
    <t>002282.SZ</t>
  </si>
  <si>
    <t>002281.SZ</t>
  </si>
  <si>
    <t>002280.SZ</t>
  </si>
  <si>
    <t>002279.SZ</t>
  </si>
  <si>
    <t>601668.SH</t>
  </si>
  <si>
    <t>002278.SZ</t>
  </si>
  <si>
    <t>601107.SH</t>
  </si>
  <si>
    <t>002277.SZ</t>
  </si>
  <si>
    <t>002276.SZ</t>
  </si>
  <si>
    <t>002275.SZ</t>
  </si>
  <si>
    <t>601727.SH</t>
  </si>
  <si>
    <t>600022.SH</t>
  </si>
  <si>
    <t>002274.SZ</t>
  </si>
  <si>
    <t>002272.SZ</t>
  </si>
  <si>
    <t>002273.SZ</t>
  </si>
  <si>
    <t>002271.SZ</t>
  </si>
  <si>
    <t>002270.SZ</t>
  </si>
  <si>
    <t>601766.SH</t>
  </si>
  <si>
    <t>002269.SZ</t>
  </si>
  <si>
    <t>002267.SZ</t>
  </si>
  <si>
    <t>002268.SZ</t>
  </si>
  <si>
    <t>002265.SZ</t>
  </si>
  <si>
    <t>002266.SZ</t>
  </si>
  <si>
    <t>000825.SZ</t>
  </si>
  <si>
    <t>002264.SZ</t>
  </si>
  <si>
    <t>002263.SZ</t>
  </si>
  <si>
    <t>002262.SZ</t>
  </si>
  <si>
    <t>002261.SZ</t>
  </si>
  <si>
    <t>002259.SZ</t>
  </si>
  <si>
    <t>002260.SZ</t>
  </si>
  <si>
    <t>002258.SZ</t>
  </si>
  <si>
    <t>002255.SZ</t>
  </si>
  <si>
    <t>002256.SZ</t>
  </si>
  <si>
    <t>002254.SZ</t>
  </si>
  <si>
    <t>002252.SZ</t>
  </si>
  <si>
    <t>002253.SZ</t>
  </si>
  <si>
    <t>002251.SZ</t>
  </si>
  <si>
    <t>002250.SZ</t>
  </si>
  <si>
    <t>000488.SZ</t>
  </si>
  <si>
    <t>002249.SZ</t>
  </si>
  <si>
    <t>002248.SZ</t>
  </si>
  <si>
    <t>002247.SZ</t>
  </si>
  <si>
    <t>002246.SZ</t>
  </si>
  <si>
    <t>002245.SZ</t>
  </si>
  <si>
    <t>002243.SZ</t>
  </si>
  <si>
    <t>002244.SZ</t>
  </si>
  <si>
    <t>002242.SZ</t>
  </si>
  <si>
    <t>002241.SZ</t>
  </si>
  <si>
    <t>002240.SZ</t>
  </si>
  <si>
    <t>002231.SZ</t>
  </si>
  <si>
    <t>002238.SZ</t>
  </si>
  <si>
    <t>002239.SZ</t>
  </si>
  <si>
    <t>002237.SZ</t>
  </si>
  <si>
    <t>600449.SH</t>
  </si>
  <si>
    <t>002234.SZ</t>
  </si>
  <si>
    <t>002235.SZ</t>
  </si>
  <si>
    <t>002233.SZ</t>
  </si>
  <si>
    <t>002232.SZ</t>
  </si>
  <si>
    <t>002230.SZ</t>
  </si>
  <si>
    <t>601899.SH</t>
  </si>
  <si>
    <t>002227.SZ</t>
  </si>
  <si>
    <t>002228.SZ</t>
  </si>
  <si>
    <t>002229.SZ</t>
  </si>
  <si>
    <t>601958.SH</t>
  </si>
  <si>
    <t>002225.SZ</t>
  </si>
  <si>
    <t>002223.SZ</t>
  </si>
  <si>
    <t>002236.SZ</t>
  </si>
  <si>
    <t>601186.SH</t>
  </si>
  <si>
    <t>002222.SZ</t>
  </si>
  <si>
    <t>002221.SZ</t>
  </si>
  <si>
    <t>002219.SZ</t>
  </si>
  <si>
    <t>002220.SZ</t>
  </si>
  <si>
    <t>601898.SH</t>
  </si>
  <si>
    <t>002217.SZ</t>
  </si>
  <si>
    <t>002211.SZ</t>
  </si>
  <si>
    <t>002213.SZ</t>
  </si>
  <si>
    <t>002212.SZ</t>
  </si>
  <si>
    <t>002208.SZ</t>
  </si>
  <si>
    <t>002207.SZ</t>
  </si>
  <si>
    <t>002224.SZ</t>
  </si>
  <si>
    <t>002218.SZ</t>
  </si>
  <si>
    <t>002226.SZ</t>
  </si>
  <si>
    <t>002204.SZ</t>
  </si>
  <si>
    <t>002214.SZ</t>
  </si>
  <si>
    <t>002203.SZ</t>
  </si>
  <si>
    <t>002215.SZ</t>
  </si>
  <si>
    <t>002216.SZ</t>
  </si>
  <si>
    <t>601999.SH</t>
  </si>
  <si>
    <t>002092.SZ</t>
  </si>
  <si>
    <t>601918.SH</t>
  </si>
  <si>
    <t>002210.SZ</t>
  </si>
  <si>
    <t>601866.SH</t>
  </si>
  <si>
    <t>002201.SZ</t>
  </si>
  <si>
    <t>002209.SZ</t>
  </si>
  <si>
    <t>002206.SZ</t>
  </si>
  <si>
    <t>002198.SZ</t>
  </si>
  <si>
    <t>002197.SZ</t>
  </si>
  <si>
    <t>601390.SH</t>
  </si>
  <si>
    <t>002205.SZ</t>
  </si>
  <si>
    <t>002192.SZ</t>
  </si>
  <si>
    <t>002190.SZ</t>
  </si>
  <si>
    <t>002189.SZ</t>
  </si>
  <si>
    <t>002188.SZ</t>
  </si>
  <si>
    <t>002187.SZ</t>
  </si>
  <si>
    <t>002184.SZ</t>
  </si>
  <si>
    <t>002181.SZ</t>
  </si>
  <si>
    <t>601857.SH</t>
  </si>
  <si>
    <t>002183.SZ</t>
  </si>
  <si>
    <t>002182.SZ</t>
  </si>
  <si>
    <t>002199.SZ</t>
  </si>
  <si>
    <t>002200.SZ</t>
  </si>
  <si>
    <t>002178.SZ</t>
  </si>
  <si>
    <t>002194.SZ</t>
  </si>
  <si>
    <t>002195.SZ</t>
  </si>
  <si>
    <t>002191.SZ</t>
  </si>
  <si>
    <t>002193.SZ</t>
  </si>
  <si>
    <t>601088.SH</t>
  </si>
  <si>
    <t>002196.SZ</t>
  </si>
  <si>
    <t>601808.SH</t>
  </si>
  <si>
    <t>002186.SZ</t>
  </si>
  <si>
    <t>601939.SH</t>
  </si>
  <si>
    <t>002176.SZ</t>
  </si>
  <si>
    <t>601169.SH</t>
  </si>
  <si>
    <t>002173.SZ</t>
  </si>
  <si>
    <t>002174.SZ</t>
  </si>
  <si>
    <t>002185.SZ</t>
  </si>
  <si>
    <t>002172.SZ</t>
  </si>
  <si>
    <t>002171.SZ</t>
  </si>
  <si>
    <t>002169.SZ</t>
  </si>
  <si>
    <t>002170.SZ</t>
  </si>
  <si>
    <t>002168.SZ</t>
  </si>
  <si>
    <t>002180.SZ</t>
  </si>
  <si>
    <t>002167.SZ</t>
  </si>
  <si>
    <t>002166.SZ</t>
  </si>
  <si>
    <t>002179.SZ</t>
  </si>
  <si>
    <t>002165.SZ</t>
  </si>
  <si>
    <t>002164.SZ</t>
  </si>
  <si>
    <t>002160.SZ</t>
  </si>
  <si>
    <t>002161.SZ</t>
  </si>
  <si>
    <t>002162.SZ</t>
  </si>
  <si>
    <t>002158.SZ</t>
  </si>
  <si>
    <t>002157.SZ</t>
  </si>
  <si>
    <t>002154.SZ</t>
  </si>
  <si>
    <t>002156.SZ</t>
  </si>
  <si>
    <t>002155.SZ</t>
  </si>
  <si>
    <t>002151.SZ</t>
  </si>
  <si>
    <t>002152.SZ</t>
  </si>
  <si>
    <t>002148.SZ</t>
  </si>
  <si>
    <t>002149.SZ</t>
  </si>
  <si>
    <t>002146.SZ</t>
  </si>
  <si>
    <t>002147.SZ</t>
  </si>
  <si>
    <t>002144.SZ</t>
  </si>
  <si>
    <t>002145.SZ</t>
  </si>
  <si>
    <t>601009.SH</t>
  </si>
  <si>
    <t>002142.SZ</t>
  </si>
  <si>
    <t>002143.SZ</t>
  </si>
  <si>
    <t>601168.SH</t>
  </si>
  <si>
    <t>002141.SZ</t>
  </si>
  <si>
    <t>002140.SZ</t>
  </si>
  <si>
    <t>601919.SH</t>
  </si>
  <si>
    <t>002139.SZ</t>
  </si>
  <si>
    <t>002138.SZ</t>
  </si>
  <si>
    <t>002137.SZ</t>
  </si>
  <si>
    <t>002136.SZ</t>
  </si>
  <si>
    <t>601328.SH</t>
  </si>
  <si>
    <t>002135.SZ</t>
  </si>
  <si>
    <t>601600.SH</t>
  </si>
  <si>
    <t>601998.SH</t>
  </si>
  <si>
    <t>601008.SH</t>
  </si>
  <si>
    <t>002134.SZ</t>
  </si>
  <si>
    <t>002132.SZ</t>
  </si>
  <si>
    <t>002131.SZ</t>
  </si>
  <si>
    <t>002130.SZ</t>
  </si>
  <si>
    <t>002129.SZ</t>
  </si>
  <si>
    <t>002128.SZ</t>
  </si>
  <si>
    <t>601007.SH</t>
  </si>
  <si>
    <t>002126.SZ</t>
  </si>
  <si>
    <t>000338.SZ</t>
  </si>
  <si>
    <t>002124.SZ</t>
  </si>
  <si>
    <t>002125.SZ</t>
  </si>
  <si>
    <t>002123.SZ</t>
  </si>
  <si>
    <t>002122.SZ</t>
  </si>
  <si>
    <t>601318.SH</t>
  </si>
  <si>
    <t>601005.SH</t>
  </si>
  <si>
    <t>601003.SH</t>
  </si>
  <si>
    <t>002120.SZ</t>
  </si>
  <si>
    <t>002119.SZ</t>
  </si>
  <si>
    <t>002117.SZ</t>
  </si>
  <si>
    <t>002116.SZ</t>
  </si>
  <si>
    <t>601166.SH</t>
  </si>
  <si>
    <t>002115.SZ</t>
  </si>
  <si>
    <t>002112.SZ</t>
  </si>
  <si>
    <t>002113.SZ</t>
  </si>
  <si>
    <t>601002.SH</t>
  </si>
  <si>
    <t>002110.SZ</t>
  </si>
  <si>
    <t>002108.SZ</t>
  </si>
  <si>
    <t>002107.SZ</t>
  </si>
  <si>
    <t>601628.SH</t>
  </si>
  <si>
    <t>002106.SZ</t>
  </si>
  <si>
    <t>002105.SZ</t>
  </si>
  <si>
    <t>002103.SZ</t>
  </si>
  <si>
    <t>002104.SZ</t>
  </si>
  <si>
    <t>601333.SH</t>
  </si>
  <si>
    <t>601991.SH</t>
  </si>
  <si>
    <t>002101.SZ</t>
  </si>
  <si>
    <t>002102.SZ</t>
  </si>
  <si>
    <t>002099.SZ</t>
  </si>
  <si>
    <t>002097.SZ</t>
  </si>
  <si>
    <t>002096.SZ</t>
  </si>
  <si>
    <t>002098.SZ</t>
  </si>
  <si>
    <t>002085.SZ</t>
  </si>
  <si>
    <t>002095.SZ</t>
  </si>
  <si>
    <t>002094.SZ</t>
  </si>
  <si>
    <t>601872.SH</t>
  </si>
  <si>
    <t>002089.SZ</t>
  </si>
  <si>
    <t>601666.SH</t>
  </si>
  <si>
    <t>601398.SH</t>
  </si>
  <si>
    <t>中国南车招股说明书</t>
  </si>
  <si>
    <t>紫金矿业招股说明书</t>
  </si>
  <si>
    <t>金钼股份招股说明书</t>
  </si>
  <si>
    <t>九阳股份有限公司首发招股说明书(申报稿)</t>
  </si>
  <si>
    <t>江苏澳洋顺昌金属材料股份有限公司首发招股说明书(申报稿)</t>
  </si>
  <si>
    <t>歌尔声学股份有限公司首发招股说明书(申报稿)</t>
  </si>
  <si>
    <t>深圳市天威视讯股份有限公司首发招股说明书(申报稿)</t>
  </si>
  <si>
    <t>江苏金飞达服装股份有限公司首发招股说明书(申报稿)</t>
  </si>
  <si>
    <t>浙江帝龙新材料股份有限公司首发招股说明书(申报稿)</t>
  </si>
  <si>
    <t>广东威华股份有限公司首发招股说明书(申报稿)</t>
  </si>
  <si>
    <t>云南西仪工业股份有限公司首发招股说明书(申报稿)</t>
  </si>
  <si>
    <t>上海莱士血液制品股份有限公司首发招股说明书(申报稿)</t>
  </si>
  <si>
    <t>浙江大华技术股份有限公司首发招股说明书(申报稿)</t>
  </si>
  <si>
    <t>广东塔牌集团股份有限公司首发招股说明书(申报稿)</t>
  </si>
  <si>
    <t>深圳市通产丽星股份有限公司首发招股说明书(申报稿)</t>
  </si>
  <si>
    <t>山东民和牧业股份有限公司首发招股说明书(申报稿)</t>
  </si>
  <si>
    <t>四川川大智胜软件股份有限公司首发招股说明书(申报稿)</t>
  </si>
  <si>
    <t>四川北方硝化棉股份有限公司首发招股说明书(申报稿)</t>
  </si>
  <si>
    <t>福建鸿博印刷股份有限公司首发招股说明书(申报稿)</t>
  </si>
  <si>
    <t>中山大洋电机股份有限公司首发招股说明书(申报稿)</t>
  </si>
  <si>
    <t>启明信息技术股份有限公司首发招股说明书(申报稿)</t>
  </si>
  <si>
    <t>奥维通信股份有限公司首发招股说明书(申报稿)</t>
  </si>
  <si>
    <t>中国铁建招股说明书</t>
  </si>
  <si>
    <t>福晶科技首次公开发行股票招股说明书</t>
  </si>
  <si>
    <t>厦门安妮股份有限公司首发招股说明书(申报稿)</t>
  </si>
  <si>
    <t>安徽科大讯飞信息科技股份有限公司首发招股说明书(申报稿)</t>
  </si>
  <si>
    <t>山东恒邦冶炼股份有限公司首发招股说明书(申报稿)</t>
  </si>
  <si>
    <t>杭州滨江房地产集团股份有限公司首发招股说明书(申报稿)</t>
  </si>
  <si>
    <t>厦门合兴包装印刷股份有限公司首发招股说明书(申报稿)</t>
  </si>
  <si>
    <t>深圳奥特迅电力设备股份有限公司首发招股说明书(申报稿)</t>
  </si>
  <si>
    <t>濮阳濮耐高温材料(集团)股份有限公司首次公开发行股票招股说明书(申报稿)</t>
  </si>
  <si>
    <t>江苏鱼跃医疗设备股份有限公司首发招股说明书(申报稿)</t>
  </si>
  <si>
    <t>独一味首次公开发行股票招股说明书</t>
  </si>
  <si>
    <t>中煤能源招股说明书</t>
  </si>
  <si>
    <t>联合化工首次公开发行股票招股说明书</t>
  </si>
  <si>
    <t>宏达新材首次公开发行股票招股说明书</t>
  </si>
  <si>
    <t>南洋股份首次公开发行股票招股说明书</t>
  </si>
  <si>
    <t>中国铁建股份有限公司首次公开发行A股股票招股说明书(申报稿)</t>
  </si>
  <si>
    <t>合肥城建首次公开发行股票招股说明书</t>
  </si>
  <si>
    <t>准油股份首次公开发行股票招股说明书</t>
  </si>
  <si>
    <t>金堆城钼业股份有限公司首发招股说明书(申报稿)</t>
  </si>
  <si>
    <t>甘肃独一味生物制药股份有限公司首发招股说明书(申报稿)</t>
  </si>
  <si>
    <t>浙江三力士橡胶股份有限公司首发招股说明书(申报稿)</t>
  </si>
  <si>
    <t>张家港东华能源股份有限公司首发招股说明书(申报稿)</t>
  </si>
  <si>
    <t>大连天宝绿色食品股份有限公司首发招股说明书(申报稿)</t>
  </si>
  <si>
    <t>中国中煤能源股份有限公司首次公开发行A股股票招股说明书(申报稿)</t>
  </si>
  <si>
    <t>福建福晶科技股份有限公司首发招股说明书(申报稿)</t>
  </si>
  <si>
    <t>深圳市拓日新能源科技股份有限公司首发招股说明书(申报稿)</t>
  </si>
  <si>
    <t>山东联合化工股份有限公司首发招股说明书(申报稿)</t>
  </si>
  <si>
    <t>安徽江南化工股份有限公司首发招股说明书(申报稿)</t>
  </si>
  <si>
    <t>浙江大立科技股份有限公司首次公开发行股票招股说明书(申报稿)</t>
  </si>
  <si>
    <t>海亮股份首次公开发行股票招股说明书</t>
  </si>
  <si>
    <t>深圳诺普信农化股份有限公司首发招股说明书(申报稿)</t>
  </si>
  <si>
    <t>中国太保招股说明书</t>
  </si>
  <si>
    <t>广东南洋电缆集团股份有限公司首次公开发行股票招股说明书(申报稿)</t>
  </si>
  <si>
    <t>郑州三全食品股份有限公司首发招股说明书(申报稿)</t>
  </si>
  <si>
    <t>紫金矿业股份有限公司首次公开发行股票招股说明书(申报稿)</t>
  </si>
  <si>
    <t>辽宁出版传媒股份有限公司首次公开发行股票招股说明书</t>
  </si>
  <si>
    <t>深圳市特尔佳科技股份有限公司首次公开发行股票招股说明书(申报稿)</t>
  </si>
  <si>
    <t>国投新集招股说明书</t>
  </si>
  <si>
    <t>湖南梦洁家纺股份有限公司首发招股说明书(申报稿)</t>
  </si>
  <si>
    <t>江苏宏达新材料股份有限公司首发招股说明书(申报稿)</t>
  </si>
  <si>
    <t>金风科技首次公开发行股票招股说明书</t>
  </si>
  <si>
    <t>江苏长青农化股份有限公司首发招股说明书(申报稿)</t>
  </si>
  <si>
    <t>深圳市飞马国际供应链股份有限公司首发招股说明书(申报稿)</t>
  </si>
  <si>
    <t>沈阳新松机器人自动化股份有限公司首发招股说明书(申报稿)</t>
  </si>
  <si>
    <t>中海集运招股说明书</t>
  </si>
  <si>
    <t>广州达意隆包装机械股份有限公司首发招股说明书(申报稿)</t>
  </si>
  <si>
    <t>深圳市燃气集团股份有限公司首发招股说明书(申报稿)</t>
  </si>
  <si>
    <t>浙江海利得新材料股份有限公司首发招股说明书 (申报稿)</t>
  </si>
  <si>
    <t>新疆准东石油技术股份有限公司首发招股说明书(申报稿)</t>
  </si>
  <si>
    <t>中国中铁招股说明书</t>
  </si>
  <si>
    <t>新疆国统管道股份有限公司首发招股说明书(申报稿)</t>
  </si>
  <si>
    <t>中国太平洋保险(集团)股份有限公司首发A股招股说明书(申报稿)</t>
  </si>
  <si>
    <t>嘉应制药首次公开发行股票招股说明书</t>
  </si>
  <si>
    <t>大连华锐重工铸钢股份有限公司首发招股说明书(申报稿)</t>
  </si>
  <si>
    <t>路翔股份首次公开发行股票招股说明书</t>
  </si>
  <si>
    <t>中海集装箱运输股份有限公司首发A股招股说明书(申报稿)</t>
  </si>
  <si>
    <t>辽宁出版传媒股份有限公司首发招股说明书(申报稿)</t>
  </si>
  <si>
    <t>新疆金风科技股份有限公司首发招股说明书(申报稿)</t>
  </si>
  <si>
    <t>浙江海亮股份有限公司首发招股说明书(申报稿)</t>
  </si>
  <si>
    <t>多氟多化工股份有限公司首发招股说明书(申报稿)</t>
  </si>
  <si>
    <t>新嘉联首次公开发行股票招股说明书</t>
  </si>
  <si>
    <t>广百股份首次公开发行股票招股说明书</t>
  </si>
  <si>
    <t>江苏九鼎新材料股份有限公司首发招股说明书(申报稿)</t>
  </si>
  <si>
    <t>海得控制首次公开发行A股股票招股说明书</t>
  </si>
  <si>
    <t>粤传媒首次公开发行股票招股说明书</t>
  </si>
  <si>
    <t>国投新集能源股份有限公司首发招股说明书(申报稿)</t>
  </si>
  <si>
    <t>深圳市证通电子股份有限公司首发招股说明书(申报稿)</t>
  </si>
  <si>
    <t>中国中铁股份有限公司首次公开发行A股招股说明书(申报稿)</t>
  </si>
  <si>
    <t>中国石油招股说明书</t>
  </si>
  <si>
    <t>怡亚通首次公开发行股票招股说明书</t>
  </si>
  <si>
    <t>云海金属首次公开发行股票招股说明书</t>
  </si>
  <si>
    <t>广东嘉应制药股份有限公司首发招股说明书(申报稿)</t>
  </si>
  <si>
    <t>浙江东晶电子股份有限公司首发招股说明书(申报稿)</t>
  </si>
  <si>
    <t>云南绿大地生物科技股份有限公司首发招股说明书(申报稿)</t>
  </si>
  <si>
    <t>武汉凡谷电子技术股份有限公司首次公开发行股票招股说明书(申报稿)</t>
  </si>
  <si>
    <t>上海海隆软件股份有限公司首发招股说明书(申报稿)</t>
  </si>
  <si>
    <t>深圳劲嘉彩印集团股份有限公司首发招股说明书(申报稿)</t>
  </si>
  <si>
    <t>四川成飞集成科技股份有限公司首发招股说明书(申报稿)</t>
  </si>
  <si>
    <t>山东济宁如意毛纺织股份有限公司首发招股说明书(申报稿)</t>
  </si>
  <si>
    <t>合肥城建发展股份有限公司首发招股说明书(申报稿)</t>
  </si>
  <si>
    <t>中国神华招股说明书</t>
  </si>
  <si>
    <t>浙江方正电机股份有限公司首发招股说明书(申报稿)</t>
  </si>
  <si>
    <t>中海油服招股说明书</t>
  </si>
  <si>
    <t>广州杰赛科技股份有限公司首发招股说明书(申报稿)</t>
  </si>
  <si>
    <t>中国全聚德(集团)股份有限公司首发招股说明书(申报稿)</t>
  </si>
  <si>
    <t>建设银行招股说明书</t>
  </si>
  <si>
    <t>浙江新嘉联电子股份有限公司首发招股说明书(申报稿)</t>
  </si>
  <si>
    <t>中国石油天然气股份有限公司首次公开发行A股招股说明书(申报稿)</t>
  </si>
  <si>
    <t>广州市广百股份有限公司首发招股说明书(申报稿)</t>
  </si>
  <si>
    <t>利达光电股份有限公司首发招股说明书(申报稿)</t>
  </si>
  <si>
    <t>江苏洋河酒厂股份有限公司首次公开发行股票招股说明书(申报稿)</t>
  </si>
  <si>
    <t>北京银行招股说明书</t>
  </si>
  <si>
    <t>深圳市怡亚通供应链股份有限公司首发招股说明书(申报稿)</t>
  </si>
  <si>
    <t>天水华天科技股份有限公司首发招股说明书(申报稿)</t>
  </si>
  <si>
    <t>上海延华智能科技股份有限公司首发招股说明书(申报稿)</t>
  </si>
  <si>
    <t>珠海万力达电气股份有限公司首次公开发行股票招股说明书(申报稿)</t>
  </si>
  <si>
    <t>广州御银科技股份有限公司首发招股说明书(申报稿)</t>
  </si>
  <si>
    <t>中航光电科技股份有限公司首发招股说明书(申报稿)</t>
  </si>
  <si>
    <t>广州路翔股份有限公司首发招股说明书(申报稿)</t>
  </si>
  <si>
    <t>南京银行招股说明书</t>
  </si>
  <si>
    <t>西部矿业招股说明书</t>
  </si>
  <si>
    <t>烟台氨纶股份有限公司首发招股说明书(申报稿)</t>
  </si>
  <si>
    <t>中国远洋招股说明书</t>
  </si>
  <si>
    <t>交通银行招股说明书</t>
  </si>
  <si>
    <t>中国铝业首次公开发行A股招股说明书暨换股吸收合并山东铝业股份有限公司、兰州铝业股份有限公司报告书</t>
  </si>
  <si>
    <t>中信银行招股说明书</t>
  </si>
  <si>
    <t>连云港首次公开发行A股股票招股说明书</t>
  </si>
  <si>
    <t>中国铝业首次公开发行A股招股说明书暨换股吸收合并山东铝业、兰州铝业报告书</t>
  </si>
  <si>
    <t>金陵饭店招股说明书</t>
  </si>
  <si>
    <t>中国平安招股说明书</t>
  </si>
  <si>
    <t>重庆钢铁招股说明书</t>
  </si>
  <si>
    <t>柳钢股份招股说明书</t>
  </si>
  <si>
    <t>兴业银行招股说明书</t>
  </si>
  <si>
    <t>晋亿实业招股说明书</t>
  </si>
  <si>
    <t>中国人寿招股说明书</t>
  </si>
  <si>
    <t>广深铁路招股说明书</t>
  </si>
  <si>
    <t>大唐发电招股说明书</t>
  </si>
  <si>
    <t>网盛科技首次公开发行股票招股说明书</t>
  </si>
  <si>
    <t>青岛金王首次公开发行股票招股说明书</t>
  </si>
  <si>
    <t>招商轮船招股说明书</t>
  </si>
  <si>
    <t>平煤天安招股说明书</t>
  </si>
  <si>
    <t>中国工商银行股份有限公司首次公开发行股票(A股)招股说明书</t>
  </si>
  <si>
    <t>股票简称</t>
  </si>
  <si>
    <t>宏辉果蔬</t>
  </si>
  <si>
    <t>首次公开发行股票招股说明书(申报稿2014年8月11日报送)</t>
  </si>
  <si>
    <t>华强文化</t>
  </si>
  <si>
    <t>创业板首次公开发行股票招股说明书(申报稿2014年8月21日报送)</t>
  </si>
  <si>
    <t>迦南科技</t>
  </si>
  <si>
    <t>萃华股份</t>
  </si>
  <si>
    <t>首次公开发行股票招股说明书(申报稿2014年8月22日报送)</t>
  </si>
  <si>
    <t>中来股份</t>
  </si>
  <si>
    <t>迪瑞医疗</t>
  </si>
  <si>
    <t>天和防务</t>
  </si>
  <si>
    <t>三环集团</t>
  </si>
  <si>
    <t>创业板首次公开发行股票招股说明书(申报稿2014年8月19日报送)</t>
  </si>
  <si>
    <t>广州酒家</t>
  </si>
  <si>
    <t>首次公开发行股票招股说明书(申报稿2014年8月19日报送)</t>
  </si>
  <si>
    <t>石大胜华</t>
  </si>
  <si>
    <t>首次公开发行股票招股说明书(申报稿2014年8月13日报送)</t>
  </si>
  <si>
    <t>凯发电气</t>
  </si>
  <si>
    <t>创业板首次公开发行股票招股说明书(申报稿2014年8月11日报送)</t>
  </si>
  <si>
    <t>柳州医药</t>
  </si>
  <si>
    <t>黑猫焦化</t>
  </si>
  <si>
    <t>新澳股份</t>
  </si>
  <si>
    <t>首次公开发行股票招股说明书(申报稿2014年8月12日报送)</t>
  </si>
  <si>
    <t>中科创新</t>
  </si>
  <si>
    <t>创业板首次公开发行股票招股说明书(申报稿2014年7月30日报送)</t>
  </si>
  <si>
    <t>理工光科</t>
  </si>
  <si>
    <t>九洲药业</t>
  </si>
  <si>
    <t>首次公开发行股票招股说明书(申报稿2014年8月1日报送)</t>
  </si>
  <si>
    <t>英飞特</t>
  </si>
  <si>
    <t>创业板首次公开发行股票招股说明书(申报稿2014年7月17日报送)</t>
  </si>
  <si>
    <t>交通股份</t>
  </si>
  <si>
    <t>首次公开发行股票招股说明书(申报稿2014年7月29日报送)</t>
  </si>
  <si>
    <t>万盛股份</t>
  </si>
  <si>
    <t>首次公开发行股票招股说明书(申报稿2014年7月31日报送)</t>
  </si>
  <si>
    <t>禾丰牧业</t>
  </si>
  <si>
    <t>飞凯股份</t>
  </si>
  <si>
    <t>创业板首次公开发行股票招股说明书(申报稿2014年7月28日报送)</t>
  </si>
  <si>
    <t>兰石重型</t>
  </si>
  <si>
    <t>首次公开发行股票招股说明书(申报稿2014年7月25日报送)</t>
  </si>
  <si>
    <t>国祯环保</t>
  </si>
  <si>
    <t>关于《安徽国祯环保节能科技股份有限公司首次公开发行股票并在创业板上市招股说明书》的更正公告</t>
  </si>
  <si>
    <t>三联虹普</t>
  </si>
  <si>
    <t>艾比森</t>
  </si>
  <si>
    <t>康跃科技</t>
  </si>
  <si>
    <t>会稽山</t>
  </si>
  <si>
    <t>天华超净</t>
  </si>
  <si>
    <t>台城制药</t>
  </si>
  <si>
    <t>中材节能</t>
  </si>
  <si>
    <t>长白山</t>
  </si>
  <si>
    <t>康尼机电</t>
  </si>
  <si>
    <t>川仪股份</t>
  </si>
  <si>
    <t>华懋新材</t>
  </si>
  <si>
    <t>首次公开发行股票招股说明书(申报稿2014年7月17日报送)</t>
  </si>
  <si>
    <t>新丽传媒</t>
  </si>
  <si>
    <t>首次公开发行股票招股说明书(申报稿2014年6月17日报送)</t>
  </si>
  <si>
    <t>杭州银行</t>
  </si>
  <si>
    <t>首次公开发行股票招股说明书(申报稿2014年6月26日报送)</t>
  </si>
  <si>
    <t>成都银行</t>
  </si>
  <si>
    <t>首次公开发行股票招股说明书(申报稿2014年6月23日报送)</t>
  </si>
  <si>
    <t>江苏银行</t>
  </si>
  <si>
    <t>首次公开发行股票招股说明书(申报稿2014年4月29日报送)</t>
  </si>
  <si>
    <t>濮阳惠成</t>
  </si>
  <si>
    <t>创业板首次公开发行股票招股说明书(申报稿2014年6月24日报送)</t>
  </si>
  <si>
    <t>盛京银行</t>
  </si>
  <si>
    <t>首次公开发行股票招股说明书(申报稿2014年6月30日报送)</t>
  </si>
  <si>
    <t>天波信息</t>
  </si>
  <si>
    <t>创业板首次公开发行股票招股说明书(申报稿2014年6月27日报送)</t>
  </si>
  <si>
    <t>贵阳银行</t>
  </si>
  <si>
    <t>首次公开发行股票招股说明书(申报稿2014年6月20日报送)</t>
  </si>
  <si>
    <t>创业板首次公开发行股票招股说明书(申报稿2014年6月30日报送)</t>
  </si>
  <si>
    <t>快乐购</t>
  </si>
  <si>
    <t>全志科技</t>
  </si>
  <si>
    <t>普莱柯</t>
  </si>
  <si>
    <t>首次公开发行股票招股说明书(申报稿2014年6月16日报送)</t>
  </si>
  <si>
    <t>海南矿业</t>
  </si>
  <si>
    <t>首次公开发行股票招股说明书(申报稿2014年6月27日报送)</t>
  </si>
  <si>
    <t>永兴特钢</t>
  </si>
  <si>
    <t>首次公开发行股票招股说明书(申报稿2014年6月10日报送)</t>
  </si>
  <si>
    <t>艾华集团</t>
  </si>
  <si>
    <t>超讯通信</t>
  </si>
  <si>
    <t>普德药业</t>
  </si>
  <si>
    <t>上海银行</t>
  </si>
  <si>
    <t>首次公开发行股票招股说明书(申报稿2014年5月27日报送)</t>
  </si>
  <si>
    <t>吴江农商行</t>
  </si>
  <si>
    <t>首次公开发行股票招股说明书(申报稿2014年4月24日报送)</t>
  </si>
  <si>
    <t>张家港农商行</t>
  </si>
  <si>
    <t>江阴农商行</t>
  </si>
  <si>
    <t>首次公开发行股票招股说明书(申报稿2014年4月10日报送)</t>
  </si>
  <si>
    <t>无锡农商行</t>
  </si>
  <si>
    <t>常熟银行</t>
  </si>
  <si>
    <t>创业软件</t>
  </si>
  <si>
    <t>伟岸测器</t>
  </si>
  <si>
    <t>创业板首次公开发行股票招股说明书(申报稿2014年6月25日报送)</t>
  </si>
  <si>
    <t>赢合科技</t>
  </si>
  <si>
    <t>醋酸化工</t>
  </si>
  <si>
    <t>首次公开发行股票招股说明书(申报稿2014年5月28日报送)</t>
  </si>
  <si>
    <t>汇金科技</t>
  </si>
  <si>
    <t>创业板首次公开发行股票招股说明书(申报稿2014年6月23日报送)</t>
  </si>
  <si>
    <t>大通物流</t>
  </si>
  <si>
    <t>中富通</t>
  </si>
  <si>
    <t>创业板首次公开发行股票招股说明书(申报稿2014年6月13日报送)</t>
  </si>
  <si>
    <t>博创科技</t>
  </si>
  <si>
    <t>金科股份</t>
  </si>
  <si>
    <t>远大股份</t>
  </si>
  <si>
    <t>首次公开发行股票招股说明书(申报稿2014年6月19日报送)</t>
  </si>
  <si>
    <t>蓝晓科技</t>
  </si>
  <si>
    <t>家家悦</t>
  </si>
  <si>
    <t>首次公开发行股票招股说明书（申报稿2014年6月20日报送）</t>
  </si>
  <si>
    <t>灵康药业</t>
  </si>
  <si>
    <t>首次公开发行股票招股说明书（申报稿2014年6月16日报送）</t>
  </si>
  <si>
    <t>卓越新能</t>
  </si>
  <si>
    <t>创业板首次公开发行股票招股说明书（申报稿2014年6月23日报送）</t>
  </si>
  <si>
    <t>三角股份</t>
  </si>
  <si>
    <t>首次公开发行股票招股说明书（申报稿2014年6月24日报送）</t>
  </si>
  <si>
    <t>和胜铝材</t>
  </si>
  <si>
    <t>科学出版</t>
  </si>
  <si>
    <t>广东科茂</t>
  </si>
  <si>
    <t>创业板首次公开发行股票招股说明书（申报稿2014年6月11日报送）</t>
  </si>
  <si>
    <t>丸美股份</t>
  </si>
  <si>
    <t>首次公开发行股票招股说明书（申报稿2014年06月19日报送）</t>
  </si>
  <si>
    <t>中通国脉</t>
  </si>
  <si>
    <t>首次公开发行股票招股说明书（申报稿2014年6月13日报送）</t>
  </si>
  <si>
    <t>仙通股份</t>
  </si>
  <si>
    <t>首次公开发行股票招股说明书（申报稿2014年6月23日报送）</t>
  </si>
  <si>
    <t>翔鹭钨业</t>
  </si>
  <si>
    <t>首次公开发行股票招股说明书（申报稿2014年06月20日报送）</t>
  </si>
  <si>
    <t>森特士兴</t>
  </si>
  <si>
    <t>古鳌电子</t>
  </si>
  <si>
    <t>创业板首次公开发行股票招股说明书（申报稿2014年6月9日报送）</t>
  </si>
  <si>
    <t>徕木电子</t>
  </si>
  <si>
    <t>信捷电气</t>
  </si>
  <si>
    <t>首次公开发行股票招股说明书（申报稿2014年6月18日报送）</t>
  </si>
  <si>
    <t>塞力斯</t>
  </si>
  <si>
    <t>首次公开发行股票招股说明书（申报稿2014年6月17日报送）</t>
  </si>
  <si>
    <t>常熟汽饰</t>
  </si>
  <si>
    <t>和仁科技</t>
  </si>
  <si>
    <t>创业板首次公开发行股票招股说明书（申报稿2014年6月19日报送）</t>
  </si>
  <si>
    <t>华正新材</t>
  </si>
  <si>
    <t>成都深冷</t>
  </si>
  <si>
    <t>丝路视觉</t>
  </si>
  <si>
    <t>雄帝科技</t>
  </si>
  <si>
    <t>创业板首次公开发行股票招股说明书（申报稿2014年6月17日报送）</t>
  </si>
  <si>
    <t>同益股份</t>
  </si>
  <si>
    <t>创业板首次公开发行股票招股说明书（申报稿2014年06月23日报送）</t>
  </si>
  <si>
    <t>玛丝菲尔</t>
  </si>
  <si>
    <t>首次公开发行股票招股说明书（申报稿2014年6月19日报送）</t>
  </si>
  <si>
    <t>信测标准</t>
  </si>
  <si>
    <t>创业板首次公开发行股票招股说明书（申报稿2014年6月18日报送）</t>
  </si>
  <si>
    <t>生迪光电</t>
  </si>
  <si>
    <t>百利天恒</t>
  </si>
  <si>
    <t>创业板首次公开发行股票招股说明书（申报稿2014年6月27日报送）</t>
  </si>
  <si>
    <t>汉光科技</t>
  </si>
  <si>
    <t>海南钧达</t>
  </si>
  <si>
    <t>新宏泽</t>
  </si>
  <si>
    <t>快克锡焊</t>
  </si>
  <si>
    <t>新华网</t>
  </si>
  <si>
    <t>首次公开发行股票招股说明书（申报稿2014年6月27日报送）</t>
  </si>
  <si>
    <t>博迈科</t>
  </si>
  <si>
    <t>贝达药业</t>
  </si>
  <si>
    <t>天孚股份</t>
  </si>
  <si>
    <t>先进数通</t>
  </si>
  <si>
    <t>台沃农科</t>
  </si>
  <si>
    <t>巅峰智业</t>
  </si>
  <si>
    <t>创业板首次公开发行股票招股说明书（申报稿2014年6月20日报送）</t>
  </si>
  <si>
    <t>天能重工</t>
  </si>
  <si>
    <t>金石资源</t>
  </si>
  <si>
    <t>久吾科技</t>
  </si>
  <si>
    <t>三德科技</t>
  </si>
  <si>
    <t>海峡科化</t>
  </si>
  <si>
    <t>集智机电</t>
  </si>
  <si>
    <t>创业板首次公开发行股票招股说明书（申报稿2014年6月6日报送）</t>
  </si>
  <si>
    <t>筑博设计</t>
  </si>
  <si>
    <t>可立克</t>
  </si>
  <si>
    <t>宏电技术</t>
  </si>
  <si>
    <t>中航时尚</t>
  </si>
  <si>
    <t>首次公开发行股票招股说明书(申报稿2014年6月25日报送)</t>
  </si>
  <si>
    <t>万隆制药</t>
  </si>
  <si>
    <t>创业板首次公开发行股票招股说明书(申报稿2014年6月26日报送)</t>
  </si>
  <si>
    <t>红相电力</t>
  </si>
  <si>
    <t>创业板首次公开发行股票招股说明书(申报稿2014年6月26日)</t>
  </si>
  <si>
    <t>世龙实业</t>
  </si>
  <si>
    <t>星网宇达</t>
  </si>
  <si>
    <t>首次公开发行股票招股说明书(申报稿2014年5月22日报送)</t>
  </si>
  <si>
    <t>润欣科技</t>
  </si>
  <si>
    <t>科龙节能</t>
  </si>
  <si>
    <t>清源股份</t>
  </si>
  <si>
    <t>恒通物流</t>
  </si>
  <si>
    <t>金叶股份</t>
  </si>
  <si>
    <t>一滕股份</t>
  </si>
  <si>
    <t>创业板首次公开发行股票招股说明书(申报稿2014年6月16日报送)</t>
  </si>
  <si>
    <t>丹江电力</t>
  </si>
  <si>
    <t>先导股份</t>
  </si>
  <si>
    <t>新宏泰</t>
  </si>
  <si>
    <t>乐凯新材</t>
  </si>
  <si>
    <t>瑞友科技</t>
  </si>
  <si>
    <t>创业板首次公开发行股票招股说明书(申报稿2014年6月17日报送)</t>
  </si>
  <si>
    <t>新易盛</t>
  </si>
  <si>
    <t>创业板首次公开发行股票招股说明书(申报稿2014年06月17日报送)</t>
  </si>
  <si>
    <t>海尔施</t>
  </si>
  <si>
    <t>邦宝股份</t>
  </si>
  <si>
    <t>首次公开发行股票招股说明书(申报稿2014年6月24日报送)</t>
  </si>
  <si>
    <t>美康生物</t>
  </si>
  <si>
    <t>乾景园林</t>
  </si>
  <si>
    <t>三棵树</t>
  </si>
  <si>
    <t>新乡日升</t>
  </si>
  <si>
    <t>歌力思</t>
  </si>
  <si>
    <t>首次公开发行股票招股说明书(申报稿2014年6月23日)</t>
  </si>
  <si>
    <t>蓝黛传动</t>
  </si>
  <si>
    <t>洁华控股</t>
  </si>
  <si>
    <t>赫达股份</t>
  </si>
  <si>
    <t>自立股份</t>
  </si>
  <si>
    <t>恒锋工具</t>
  </si>
  <si>
    <t>鑫广安</t>
  </si>
  <si>
    <t>珠海越亚</t>
  </si>
  <si>
    <t>汇绿园林</t>
  </si>
  <si>
    <t>横河模具</t>
  </si>
  <si>
    <t>金石东方</t>
  </si>
  <si>
    <t>唐德影视</t>
  </si>
  <si>
    <t>创业板首次公开发行股票招股说明书(申报稿2014年06月23日报送)</t>
  </si>
  <si>
    <t>山东天力</t>
  </si>
  <si>
    <t>富邦股份</t>
  </si>
  <si>
    <t>元祖股份</t>
  </si>
  <si>
    <t>首次公开发行股票招股说明书(申报稿2014年6月9日报送)</t>
  </si>
  <si>
    <t>兴齐股份</t>
  </si>
  <si>
    <t>创业板首次公开发行股票招股说明书(申报稿2014年6月20日报送)</t>
  </si>
  <si>
    <t>锦和商业</t>
  </si>
  <si>
    <t>泰嘉新材</t>
  </si>
  <si>
    <t>再升科技</t>
  </si>
  <si>
    <t>3L股份</t>
  </si>
  <si>
    <t>四通新材</t>
  </si>
  <si>
    <t>浙商证券</t>
  </si>
  <si>
    <t>安井食品</t>
  </si>
  <si>
    <t>同为数码</t>
  </si>
  <si>
    <t>首次公开发行股票招股说明书(申报稿2014年6月11日报送)</t>
  </si>
  <si>
    <t>一心堂</t>
  </si>
  <si>
    <t>今世缘</t>
  </si>
  <si>
    <t>新油股份</t>
  </si>
  <si>
    <t>财富趋势</t>
  </si>
  <si>
    <t>首次公开发行股票招股说明书(申报稿2014年6月5日报送)</t>
  </si>
  <si>
    <t>国信证券</t>
  </si>
  <si>
    <t>步长制药</t>
  </si>
  <si>
    <t>莎普爱思</t>
  </si>
  <si>
    <t>飞鹿股份</t>
  </si>
  <si>
    <t>创业板首次公开发行股票招股说明书(申报稿2014年6月19日报送)</t>
  </si>
  <si>
    <t>振华化学</t>
  </si>
  <si>
    <t>丰元化学</t>
  </si>
  <si>
    <t>依顿电子</t>
  </si>
  <si>
    <t>北特科技</t>
  </si>
  <si>
    <t>万里石</t>
  </si>
  <si>
    <t>立霸实业</t>
  </si>
  <si>
    <t>皖天然气</t>
  </si>
  <si>
    <t>首次公开发行股票招股说明书(申报稿2014年6月18日报送)</t>
  </si>
  <si>
    <t>和科达</t>
  </si>
  <si>
    <t>博润工业</t>
  </si>
  <si>
    <t>创业板首次公开发行股票招股说明书(申报稿2014年6月18日报送)</t>
  </si>
  <si>
    <t>曙光信息</t>
  </si>
  <si>
    <t>龙大肉食</t>
  </si>
  <si>
    <t>中矿资源</t>
  </si>
  <si>
    <t>联明股份</t>
  </si>
  <si>
    <t>雪浪环境</t>
  </si>
  <si>
    <t>名雕股份</t>
  </si>
  <si>
    <t>申龙电梯</t>
  </si>
  <si>
    <t>首次公开发行股票招股说明书(申报稿2014年5月23日报送)</t>
  </si>
  <si>
    <t>北广科技</t>
  </si>
  <si>
    <t>华铁科技</t>
  </si>
  <si>
    <t>首次公开发行股票招股说明书(申报稿2014年6月12日报送)</t>
  </si>
  <si>
    <t>首次公开发行股票招股说明书(申报稿2014年6月13日报送)</t>
  </si>
  <si>
    <t>龙韵传播</t>
  </si>
  <si>
    <t>中影股份</t>
  </si>
  <si>
    <t>引力传媒</t>
  </si>
  <si>
    <t>首次公开发行股票招股说明书(申报稿2014年5月26日报送)</t>
  </si>
  <si>
    <t>信诺传播</t>
  </si>
  <si>
    <t>首次公开发行股票招股说明书(申报稿2014年6月3日报送)</t>
  </si>
  <si>
    <t>太辰股份</t>
  </si>
  <si>
    <t>创业板首次公开发行股票招股说明书(申报稿2014年5月29日报送)</t>
  </si>
  <si>
    <t>优博讯</t>
  </si>
  <si>
    <t>博思软件</t>
  </si>
  <si>
    <t>纳尔股份</t>
  </si>
  <si>
    <t>联得股份</t>
  </si>
  <si>
    <t>创业板首次公开发行股票招股说明书(申报稿2014年6月4日报送)</t>
  </si>
  <si>
    <t>骏达光电</t>
  </si>
  <si>
    <t>创业板首次公开发行股票招股说明书(申报稿2014年6月5日报送)</t>
  </si>
  <si>
    <t>朗科智能</t>
  </si>
  <si>
    <t>创业板首次公开发行股票招股说明书(申报稿2014年5月28日报送)</t>
  </si>
  <si>
    <t>井神股份</t>
  </si>
  <si>
    <t>神力股份</t>
  </si>
  <si>
    <t>首次公开发行股票招股说明书(申报稿2014年5月30日报送)</t>
  </si>
  <si>
    <t>创业板首次公开发行股票招股说明书(申报稿2014年6月11日报送)</t>
  </si>
  <si>
    <t>维宏股份</t>
  </si>
  <si>
    <t>创业板首次公开发行股票招股说明书(申报稿2014年6月12日报送)</t>
  </si>
  <si>
    <t>沃施园艺</t>
  </si>
  <si>
    <t>创业板首次公开发行股票招股说明书(申报稿2014年6月10日报送)</t>
  </si>
  <si>
    <t>恒康家居</t>
  </si>
  <si>
    <t>龙软科技</t>
  </si>
  <si>
    <t>北部湾</t>
  </si>
  <si>
    <t>首次公开发行股票招股说明书(申报稿2014年6月6日报送)</t>
  </si>
  <si>
    <t>亚邦染料</t>
  </si>
  <si>
    <t>江苏花王</t>
  </si>
  <si>
    <t>安图生物</t>
  </si>
  <si>
    <t>嘉澳环保</t>
  </si>
  <si>
    <t>首次公开发行股票招股说明书(申报稿2014年5月9日报送)</t>
  </si>
  <si>
    <t>千乘影视</t>
  </si>
  <si>
    <t>昊志机电</t>
  </si>
  <si>
    <t>好利来</t>
  </si>
  <si>
    <t>新美星</t>
  </si>
  <si>
    <t>创业板首次公开发行股票招股说明书(申报稿2014年6月9日报送)</t>
  </si>
  <si>
    <t>东方电缆</t>
  </si>
  <si>
    <t>高澜股份</t>
  </si>
  <si>
    <t>电光防爆</t>
  </si>
  <si>
    <t>云南创新</t>
  </si>
  <si>
    <t>新晨科技</t>
  </si>
  <si>
    <t>海利尔</t>
  </si>
  <si>
    <t>科利化工</t>
  </si>
  <si>
    <t>博世科</t>
  </si>
  <si>
    <t>优创材料</t>
  </si>
  <si>
    <t>华迈股份</t>
  </si>
  <si>
    <t>思华科技</t>
  </si>
  <si>
    <t>吉比特</t>
  </si>
  <si>
    <t>天鹅股份</t>
  </si>
  <si>
    <t>首次公开发行股票招股说明书(申报稿2014年6月4日报送)</t>
  </si>
  <si>
    <t>伟明环保</t>
  </si>
  <si>
    <t>美联新材</t>
  </si>
  <si>
    <t>电魂网络</t>
  </si>
  <si>
    <t>湘机油泵</t>
  </si>
  <si>
    <t>瑞特股份</t>
  </si>
  <si>
    <t>创业板首次公开发行股票招股说明书(申报稿2014年5月22日报送)</t>
  </si>
  <si>
    <t>优德精密</t>
  </si>
  <si>
    <t>创业板首次公开发行股票招股说明书(申报稿2014年6月6日报送)</t>
  </si>
  <si>
    <t>岱美股份</t>
  </si>
  <si>
    <t>首次公开发行股票招股说明书(申报稿2014年5月19日报送)</t>
  </si>
  <si>
    <t>火炬电子</t>
  </si>
  <si>
    <t>小康工业</t>
  </si>
  <si>
    <t>首次公开发行股票招股说明书(申报稿2014年4月28日报送)</t>
  </si>
  <si>
    <t>万孚生物</t>
  </si>
  <si>
    <t>创业板首次公开发行股票招股说明书(申报稿2014年5月30日报送)</t>
  </si>
  <si>
    <t>音飞储存</t>
  </si>
  <si>
    <t>千禾味业</t>
  </si>
  <si>
    <t>康德莱</t>
  </si>
  <si>
    <t>首次公开发行股票招股说明书(申报稿2014年5月15日报送)</t>
  </si>
  <si>
    <t>富祥药业</t>
  </si>
  <si>
    <t>德尔股份</t>
  </si>
  <si>
    <t>创业板首次公开发行股票招股说明书(申报稿2014年6月3日报送)</t>
  </si>
  <si>
    <t>如通股份</t>
  </si>
  <si>
    <t>四通股份</t>
  </si>
  <si>
    <t>首次公开发行股票招股说明书(申报稿2014年5月29日报送)</t>
  </si>
  <si>
    <t>景嘉股份</t>
  </si>
  <si>
    <t>纵横通信</t>
  </si>
  <si>
    <t>长泰股份</t>
  </si>
  <si>
    <t>赛福天</t>
  </si>
  <si>
    <t>三维橡胶</t>
  </si>
  <si>
    <t>苏试股份</t>
  </si>
  <si>
    <t>创业板首次公开发行股票招股说明书(申报稿2014年5月23日报送)</t>
  </si>
  <si>
    <t>暴风科技</t>
  </si>
  <si>
    <t>知音传媒</t>
  </si>
  <si>
    <t>鲁亿通</t>
  </si>
  <si>
    <t>博天环境</t>
  </si>
  <si>
    <t>首次公开发行股票招股说明书(申报稿2014年5月16日报送)</t>
  </si>
  <si>
    <t>江苏丹毛</t>
  </si>
  <si>
    <t>金海环境</t>
  </si>
  <si>
    <t>广信材料</t>
  </si>
  <si>
    <t>创业板首次公开发行股票招股说明书(申报稿2014年5月21日报送)</t>
  </si>
  <si>
    <t>能科股份</t>
  </si>
  <si>
    <t>首次公开发行股票招股说明书(申报稿2014年05月19日报送)</t>
  </si>
  <si>
    <t>美芝股份</t>
  </si>
  <si>
    <t>安车检测</t>
  </si>
  <si>
    <t>创业板首次公开发行股票招股说明书(申报稿2014年5月16日报送)</t>
  </si>
  <si>
    <t>川金象</t>
  </si>
  <si>
    <t>众兴菌业</t>
  </si>
  <si>
    <t>四方精创</t>
  </si>
  <si>
    <t>武进不锈</t>
  </si>
  <si>
    <t>首次公开发行股票招股说明书(申报稿2013年5月20日报送)</t>
  </si>
  <si>
    <t>贝肯能源</t>
  </si>
  <si>
    <t>首次公开发行股票招股说明书(申报稿2014年5月20日报送)</t>
  </si>
  <si>
    <t>田中精机</t>
  </si>
  <si>
    <t>高科石化</t>
  </si>
  <si>
    <t>益丰股份</t>
  </si>
  <si>
    <t>耐威科技</t>
  </si>
  <si>
    <t>吉宏股份</t>
  </si>
  <si>
    <t>爱普香料</t>
  </si>
  <si>
    <t>博济医药</t>
  </si>
  <si>
    <t>银海软件</t>
  </si>
  <si>
    <t>四方冷链</t>
  </si>
  <si>
    <t>迎驾贡酒</t>
  </si>
  <si>
    <t>泰晶科技</t>
  </si>
  <si>
    <t>幸福蓝海</t>
  </si>
  <si>
    <t>创业板首次公开发行股票招股说明书(申报稿2014年5月27日报送)</t>
  </si>
  <si>
    <t>赛升药业</t>
  </si>
  <si>
    <t>哈森股份</t>
  </si>
  <si>
    <t>天龙股份</t>
  </si>
  <si>
    <t>首次公开发行股票招股说明书(申报稿2014年5月13日报送)</t>
  </si>
  <si>
    <t>普丽盛</t>
  </si>
  <si>
    <t>国芳集团</t>
  </si>
  <si>
    <t>丽晶光电</t>
  </si>
  <si>
    <t>天成自控</t>
  </si>
  <si>
    <t>科大国创</t>
  </si>
  <si>
    <t>创业板首次公开发行股票招股说明书(申报稿2014年5月26日报送)</t>
  </si>
  <si>
    <t>东方时尚</t>
  </si>
  <si>
    <t>沪工股份</t>
  </si>
  <si>
    <t>松发陶瓷</t>
  </si>
  <si>
    <t>桂发祥</t>
  </si>
  <si>
    <t>首次公开发行股票招股说明书(申报稿2014年4月25日报送)</t>
  </si>
  <si>
    <t>河南思维</t>
  </si>
  <si>
    <t>亚翔集成</t>
  </si>
  <si>
    <t>通联股份</t>
  </si>
  <si>
    <t>中文在线</t>
  </si>
  <si>
    <t>西点药业</t>
  </si>
  <si>
    <t>派特罗尔</t>
  </si>
  <si>
    <t>首次公开发行股票招股说明书(申报稿2014年5月21日报送)</t>
  </si>
  <si>
    <t>金冠电气</t>
  </si>
  <si>
    <t>创业板首次公开发行股票招股说明书(申报稿2014年5月15日报送)</t>
  </si>
  <si>
    <t>久之洋</t>
  </si>
  <si>
    <t>创业板首次公开发行股票招股说明书(申报稿2014年5月14日报送)</t>
  </si>
  <si>
    <t>全信股份</t>
  </si>
  <si>
    <t>凯中精密</t>
  </si>
  <si>
    <t>中国核建</t>
  </si>
  <si>
    <t>三联交通</t>
  </si>
  <si>
    <t>五洋科技</t>
  </si>
  <si>
    <t>欣贺股份</t>
  </si>
  <si>
    <t>路畅科技</t>
  </si>
  <si>
    <t>中迅农科</t>
  </si>
  <si>
    <t>真彩文具</t>
  </si>
  <si>
    <t>九强生物</t>
  </si>
  <si>
    <t>创业板首次公开发行股票招股说明书(申报稿2014年5月20日报送)</t>
  </si>
  <si>
    <t>济民制药</t>
  </si>
  <si>
    <t>首次公开发行股票招股说明书(申报稿2014年5月14日报送)</t>
  </si>
  <si>
    <t>润达医疗</t>
  </si>
  <si>
    <t>正业科技</t>
  </si>
  <si>
    <t>康弘药业</t>
  </si>
  <si>
    <t>易尚展示</t>
  </si>
  <si>
    <t>浙江鼎力</t>
  </si>
  <si>
    <t>次公开发行股票招股说明书(申报稿2014年5月12日报送)</t>
  </si>
  <si>
    <t>玲珑轮胎</t>
  </si>
  <si>
    <t>润都制药</t>
  </si>
  <si>
    <t>首次公开发行股票招股说明书(申报稿2014年4月30日报送)</t>
  </si>
  <si>
    <t>博敏电子</t>
  </si>
  <si>
    <t>首次公开发行股票招股说明书(申报稿2014年5月8日报送)</t>
  </si>
  <si>
    <t>道森股份</t>
  </si>
  <si>
    <t>福鞍重工</t>
  </si>
  <si>
    <t>辰欣药业</t>
  </si>
  <si>
    <t>首次公开发行股票招股说明书(申报稿2014年5月6日报送)</t>
  </si>
  <si>
    <t>中国认证</t>
  </si>
  <si>
    <t>首次公开发行股票招股说明书(申报稿2014年5月5日报送)</t>
  </si>
  <si>
    <t>第一创业</t>
  </si>
  <si>
    <t>三鑫医疗</t>
  </si>
  <si>
    <t>创业板首次公开发行股票招股说明书(申报稿2014年4月24日报送)</t>
  </si>
  <si>
    <t>能量传播</t>
  </si>
  <si>
    <t>创业板首次公开发行股票招股说明书(申报稿2014年4月28日报送)</t>
  </si>
  <si>
    <t>名家汇</t>
  </si>
  <si>
    <t>冰川网络</t>
  </si>
  <si>
    <t>创业板首次公开发行股票招股说明书(申报稿2014年5月19日报送)</t>
  </si>
  <si>
    <t>盛讯达</t>
  </si>
  <si>
    <t>永艺家具</t>
  </si>
  <si>
    <t>崇达技术</t>
  </si>
  <si>
    <t>首次公开发行股票招股说明书(申报稿2014年4月11日报送)</t>
  </si>
  <si>
    <t>韩建河山</t>
  </si>
  <si>
    <t>华扬联众</t>
  </si>
  <si>
    <t>今天国际</t>
  </si>
  <si>
    <t>通灵珠宝</t>
  </si>
  <si>
    <t>白银股份</t>
  </si>
  <si>
    <t>环能德美</t>
  </si>
  <si>
    <t>创业板首次公开发行股票招股说明书(申报稿2014年4月14日报送)</t>
  </si>
  <si>
    <t>惠伦晶体</t>
  </si>
  <si>
    <t>中光防雷</t>
  </si>
  <si>
    <t>利群百货</t>
  </si>
  <si>
    <t>美联股份</t>
  </si>
  <si>
    <t>国泰民爆</t>
  </si>
  <si>
    <t>众鸿科技</t>
  </si>
  <si>
    <t>新光药业</t>
  </si>
  <si>
    <t>申利股份</t>
  </si>
  <si>
    <t>首次公开发行股票招股说明书(申报稿2014年5月12日报送)</t>
  </si>
  <si>
    <t>日机股份</t>
  </si>
  <si>
    <t>品恩科技</t>
  </si>
  <si>
    <t>天味食品</t>
  </si>
  <si>
    <t>天际电器</t>
  </si>
  <si>
    <t>华通医药</t>
  </si>
  <si>
    <t>至纯科技</t>
  </si>
  <si>
    <t>长城军工</t>
  </si>
  <si>
    <t>口子酒业</t>
  </si>
  <si>
    <t>亚虹模具</t>
  </si>
  <si>
    <t>首次公开发行股票招股说明书(申报稿2014年5月7日报送)</t>
  </si>
  <si>
    <t>海波重科</t>
  </si>
  <si>
    <t>创业板首次公开发行股票招股说明书(申报稿2014年5月13日报送)</t>
  </si>
  <si>
    <t>广西广电</t>
  </si>
  <si>
    <t>苏州设计</t>
  </si>
  <si>
    <t>创业板首次公开发行股票招股说明书(申报稿2014年5月12日报送)</t>
  </si>
  <si>
    <t>瑞尔特</t>
  </si>
  <si>
    <t>永东化工</t>
  </si>
  <si>
    <t>华友钴业</t>
  </si>
  <si>
    <t>海鑫科金</t>
  </si>
  <si>
    <t>永和股份</t>
  </si>
  <si>
    <t>鸿辉光通</t>
  </si>
  <si>
    <t>奥力威</t>
  </si>
  <si>
    <t>创业板首次公开发行股票招股说明书(申报稿2014年5月9日报送)</t>
  </si>
  <si>
    <t>海利生物</t>
  </si>
  <si>
    <t>雷赛智能</t>
  </si>
  <si>
    <t>创业板首次公开发行股票招股说明书(申报稿2014年4月30日报送)</t>
  </si>
  <si>
    <t>南方传媒</t>
  </si>
  <si>
    <t>腾信创新</t>
  </si>
  <si>
    <t>创业板首次公开发行股票招股说明书(申报稿2014年5月8日报送)</t>
  </si>
  <si>
    <t>重庆燃气</t>
  </si>
  <si>
    <t>顶点软件</t>
  </si>
  <si>
    <t>泰德制药</t>
  </si>
  <si>
    <t>华铭智能</t>
  </si>
  <si>
    <t>达威科技</t>
  </si>
  <si>
    <t>创业板首次公开发行股票招股说明书(申报稿2014年4月29日报送)</t>
  </si>
  <si>
    <t>东音泵业</t>
  </si>
  <si>
    <t>首次公开发行股票招股说明书(申报稿2014年4月9日报送)</t>
  </si>
  <si>
    <t>深爱股份</t>
  </si>
  <si>
    <t>首次公开发行股票招股说明书(申报稿2013年4月17日报送)</t>
  </si>
  <si>
    <t>佳发安泰</t>
  </si>
  <si>
    <t>创业板首次公开发行股票招股说明书(申报稿2014年3月7日报送)</t>
  </si>
  <si>
    <t>通宇通讯</t>
  </si>
  <si>
    <t>首次公开发行股票招股说明书(申报稿2014年4月22日报送)</t>
  </si>
  <si>
    <t>环球印务</t>
  </si>
  <si>
    <t>龙宝参茸</t>
  </si>
  <si>
    <t>首次公开发行股票招股说明书(申报稿2014年4月4日报送)</t>
  </si>
  <si>
    <t>迈普技术</t>
  </si>
  <si>
    <t>建艺装饰</t>
  </si>
  <si>
    <t>凯莱英</t>
  </si>
  <si>
    <t>红墙股份</t>
  </si>
  <si>
    <t>比音勒芬</t>
  </si>
  <si>
    <t>亚泰国际</t>
  </si>
  <si>
    <t>流行美</t>
  </si>
  <si>
    <t>网达软件</t>
  </si>
  <si>
    <t>首次公开发行股票招股说明书(申报稿2014年4月18日报送)</t>
  </si>
  <si>
    <t>华源包装</t>
  </si>
  <si>
    <t>首次公开发行股票招股说明书(申报稿2014年3月17日报送)</t>
  </si>
  <si>
    <t>春秋航空</t>
  </si>
  <si>
    <t>华锋铝箔</t>
  </si>
  <si>
    <t>中装建设</t>
  </si>
  <si>
    <t>陇神戎发</t>
  </si>
  <si>
    <t>双杰电气</t>
  </si>
  <si>
    <t>创业板首次公开发行股票招股说明书(申报稿2014年5月7日报送)</t>
  </si>
  <si>
    <t>黄山胶囊</t>
  </si>
  <si>
    <t>共进电子</t>
  </si>
  <si>
    <t>健盛集团</t>
  </si>
  <si>
    <t>首次公开发行招股说明书(申报稿2014年5月6日报送)</t>
  </si>
  <si>
    <t>汇顶科技</t>
  </si>
  <si>
    <t>东方集成</t>
  </si>
  <si>
    <t>华鹏玻璃</t>
  </si>
  <si>
    <t>高能时代</t>
  </si>
  <si>
    <t>杭州电缆</t>
  </si>
  <si>
    <t>鹭燕药业</t>
  </si>
  <si>
    <t>世名科技</t>
  </si>
  <si>
    <t>创业板首次公开发行股票招股说明书(申报稿2014年3月20日报送)</t>
  </si>
  <si>
    <t>中盟科技</t>
  </si>
  <si>
    <t>蓝海华腾</t>
  </si>
  <si>
    <t>创业板首次公开发行股票招股说明书(申报稿2014年5月5日报送)</t>
  </si>
  <si>
    <t>路通视信</t>
  </si>
  <si>
    <t>创业板首次公开发行股票招股说明书(申报稿2014年4月21日报送)</t>
  </si>
  <si>
    <t>三恒科技</t>
  </si>
  <si>
    <t>川环科技</t>
  </si>
  <si>
    <t>好莱客</t>
  </si>
  <si>
    <t>富临精工</t>
  </si>
  <si>
    <t>建工集团</t>
  </si>
  <si>
    <t>基美传媒</t>
  </si>
  <si>
    <t>可一文化</t>
  </si>
  <si>
    <t>城地建设</t>
  </si>
  <si>
    <t>三祥新材</t>
  </si>
  <si>
    <t>中潜股份</t>
  </si>
  <si>
    <t>创业板首次公开发行股票招股说明书(申报稿2014年4月22日报送)</t>
  </si>
  <si>
    <t>中科创达</t>
  </si>
  <si>
    <t>创业板首次公开发行股票招股说明书(申报稿2014年4月11日报送)</t>
  </si>
  <si>
    <t>智讯创源</t>
  </si>
  <si>
    <t>凤形耐磨</t>
  </si>
  <si>
    <t>首次公开发行股票招股说明书(申报稿2014年3月4日报送)</t>
  </si>
  <si>
    <t>创力集团</t>
  </si>
  <si>
    <t>华盛中天</t>
  </si>
  <si>
    <t>索通发展</t>
  </si>
  <si>
    <t>宏盛股份</t>
  </si>
  <si>
    <t>兆易创新</t>
  </si>
  <si>
    <t>首次公开发行股票招股说明书(申报稿2014年4月17日报送)</t>
  </si>
  <si>
    <t>南威软件</t>
  </si>
  <si>
    <t>联明机械</t>
  </si>
  <si>
    <t>里伍铜业</t>
  </si>
  <si>
    <t>长久物流</t>
  </si>
  <si>
    <t>顾家家居</t>
  </si>
  <si>
    <t>万向新元</t>
  </si>
  <si>
    <t>华气厚普</t>
  </si>
  <si>
    <t>高新橡塑</t>
  </si>
  <si>
    <t>新华文轩</t>
  </si>
  <si>
    <t>金徽股份</t>
  </si>
  <si>
    <t>普路通</t>
  </si>
  <si>
    <t>欧普股份</t>
  </si>
  <si>
    <t>首次公开发行股票招股说明书(申报稿2014年4月27日报送)</t>
  </si>
  <si>
    <t>金发拉比</t>
  </si>
  <si>
    <t>飞科电器</t>
  </si>
  <si>
    <t>索菱股份</t>
  </si>
  <si>
    <t>银龙股份</t>
  </si>
  <si>
    <t>海兴电力</t>
  </si>
  <si>
    <t>文科园林</t>
  </si>
  <si>
    <t>汇洁股份</t>
  </si>
  <si>
    <t>三达膜</t>
  </si>
  <si>
    <t>科达科技</t>
  </si>
  <si>
    <t>中飞股份</t>
  </si>
  <si>
    <t>盛天网络</t>
  </si>
  <si>
    <t>华自科技</t>
  </si>
  <si>
    <t>东杰装备</t>
  </si>
  <si>
    <t>斯迪克</t>
  </si>
  <si>
    <t>宏大真空</t>
  </si>
  <si>
    <t>创业板首次公开发行股票招股说明书(申报稿2014年4月25日报送)</t>
  </si>
  <si>
    <t>光力科技</t>
  </si>
  <si>
    <t>宝钢包装</t>
  </si>
  <si>
    <t>首次公开发行股票招股说明书(申报稿2014年3月13日报送)</t>
  </si>
  <si>
    <t>精达成形</t>
  </si>
  <si>
    <t>五洲新春</t>
  </si>
  <si>
    <t>鼎信通讯</t>
  </si>
  <si>
    <t>龙津药业</t>
  </si>
  <si>
    <t>大豪科技</t>
  </si>
  <si>
    <t>星徽精密</t>
  </si>
  <si>
    <t>沈鼓集团</t>
  </si>
  <si>
    <t>航新科技</t>
  </si>
  <si>
    <t>中信信息</t>
  </si>
  <si>
    <t>创业板首次公开发行股票招股说明书(申报稿2014年4月17日报送)</t>
  </si>
  <si>
    <t>神思电子</t>
  </si>
  <si>
    <t>创业板首次公开发行股票招股说明书(申报稿2014年4月23日报送)</t>
  </si>
  <si>
    <t>凯龙化工</t>
  </si>
  <si>
    <t>世纪光电</t>
  </si>
  <si>
    <t>山鼎设计</t>
  </si>
  <si>
    <t>西部黄金</t>
  </si>
  <si>
    <t>国光农化</t>
  </si>
  <si>
    <t>中国核电</t>
  </si>
  <si>
    <t>鑫广绿环</t>
  </si>
  <si>
    <t>海天精工</t>
  </si>
  <si>
    <t>中新集团</t>
  </si>
  <si>
    <t>东方新星</t>
  </si>
  <si>
    <t>赛摩电气</t>
  </si>
  <si>
    <t>创业板首次公开发行股票招股说明书(申报稿报送日期</t>
  </si>
  <si>
    <t>2014年4月30日)</t>
  </si>
  <si>
    <t>大中矿业</t>
  </si>
  <si>
    <t>首次公开发行股票招股说明书(申报稿2014年5月4日报送)</t>
  </si>
  <si>
    <t>高伟达</t>
  </si>
  <si>
    <t>美尚生态</t>
  </si>
  <si>
    <t>葵花药业</t>
  </si>
  <si>
    <t>福斯特</t>
  </si>
  <si>
    <t>康斯特</t>
  </si>
  <si>
    <t>设计院</t>
  </si>
  <si>
    <t>三夫户外</t>
  </si>
  <si>
    <t>同方环境</t>
  </si>
  <si>
    <t>首次公开发行股票招股说明书(申报稿2014年3月31日报送)</t>
  </si>
  <si>
    <t>珍宝岛</t>
  </si>
  <si>
    <t>昆仑万维</t>
  </si>
  <si>
    <t>创业板首次公开发行股票招股说明书(申报稿2014年3月28日报送)</t>
  </si>
  <si>
    <t>永创智能</t>
  </si>
  <si>
    <t>七洲化工</t>
  </si>
  <si>
    <t>运达科技</t>
  </si>
  <si>
    <t>光华科技</t>
  </si>
  <si>
    <t>首次公开发行股票招股说明书(申报稿2014年4月21日报送)</t>
  </si>
  <si>
    <t>惠州元晖</t>
  </si>
  <si>
    <t>创业板首次公开发行股票招股说明书(申报稿2014年3月12日报送)</t>
  </si>
  <si>
    <t>康普顿</t>
  </si>
  <si>
    <t>恒通赛木</t>
  </si>
  <si>
    <t>金桥信息</t>
  </si>
  <si>
    <t>健帆生物</t>
  </si>
  <si>
    <t>方盛制药</t>
  </si>
  <si>
    <t>强力新材</t>
  </si>
  <si>
    <t>创业板首次公开发行股票招股说明书(申报稿2014年3月5日报送)</t>
  </si>
  <si>
    <t>万集股份</t>
  </si>
  <si>
    <t>埃斯顿</t>
  </si>
  <si>
    <t>雄韬电源</t>
  </si>
  <si>
    <t>维格娜丝</t>
  </si>
  <si>
    <t>首次公开发行股票招股说明书(申报稿报送日期2014年4月17日)</t>
  </si>
  <si>
    <t>司太立</t>
  </si>
  <si>
    <t>首次公开发行股票招股说明书(申报稿2014年4月16日报送)</t>
  </si>
  <si>
    <t>安德利</t>
  </si>
  <si>
    <t>天创时尚</t>
  </si>
  <si>
    <t>首次公开发行股票招股说明书(申报稿2014年04月29日报送)</t>
  </si>
  <si>
    <t>读者传媒</t>
  </si>
  <si>
    <t>盛洋科技</t>
  </si>
  <si>
    <t>威龙股份</t>
  </si>
  <si>
    <t>首次公开发行股票招股说明书(报送日期</t>
  </si>
  <si>
    <t>元晖光电</t>
  </si>
  <si>
    <t>多伦科技</t>
  </si>
  <si>
    <t>广信农化</t>
  </si>
  <si>
    <t>王子新材</t>
  </si>
  <si>
    <t>吉祥航空</t>
  </si>
  <si>
    <t>富森美</t>
  </si>
  <si>
    <t>汇嘉时代</t>
  </si>
  <si>
    <t>福达股份</t>
  </si>
  <si>
    <t>先锋电子</t>
  </si>
  <si>
    <t>老百姓</t>
  </si>
  <si>
    <t>合诚咨询</t>
  </si>
  <si>
    <t>雪榕生物</t>
  </si>
  <si>
    <t>首次公开发行股票招股说明书(申报稿2014年4月20日报送)</t>
  </si>
  <si>
    <t>恒泰实达</t>
  </si>
  <si>
    <t>创业板首次公开发行股票招股说明书(申报稿2014年4月20日报送)</t>
  </si>
  <si>
    <t>蜻蜓股份</t>
  </si>
  <si>
    <t>银宝山新</t>
  </si>
  <si>
    <t>东方节能</t>
  </si>
  <si>
    <t>创业板首次公开发行股票招股说明书(申报稿2013年4月3日报送)</t>
  </si>
  <si>
    <t>壮丽彩印</t>
  </si>
  <si>
    <t>利民化工</t>
  </si>
  <si>
    <t>沈阳桃李</t>
  </si>
  <si>
    <t>江苏有线</t>
  </si>
  <si>
    <t>首次公开发行股票招股说明书(申报稿2014年3月7日报送)</t>
  </si>
  <si>
    <t>柏堡龙</t>
  </si>
  <si>
    <t>中节能</t>
  </si>
  <si>
    <t>佳化化学</t>
  </si>
  <si>
    <t>浩云科技</t>
  </si>
  <si>
    <t>创业板首次公开发行股票招股说明书(申报稿4月23日报送)</t>
  </si>
  <si>
    <t>真视通</t>
  </si>
  <si>
    <t>迪贝电气</t>
  </si>
  <si>
    <t>辰安科技</t>
  </si>
  <si>
    <t>创业板首次公开发行招股说明书(申报稿2014年4月21日报送)</t>
  </si>
  <si>
    <t>亚普汽车</t>
  </si>
  <si>
    <t>派思燃气</t>
  </si>
  <si>
    <t>三圣特材</t>
  </si>
  <si>
    <t>弘讯科技</t>
  </si>
  <si>
    <t>金雷风电</t>
  </si>
  <si>
    <t>朗迪集团</t>
  </si>
  <si>
    <t>首次公开发行股票招股说明书(申报稿2014年4月23日报送)</t>
  </si>
  <si>
    <t>多喜爱</t>
  </si>
  <si>
    <t>百利科技</t>
  </si>
  <si>
    <t>坚朗股份</t>
  </si>
  <si>
    <t>迈克生物</t>
  </si>
  <si>
    <t>南京恒燃</t>
  </si>
  <si>
    <t>康拓红外</t>
  </si>
  <si>
    <t>燕塘乳业</t>
  </si>
  <si>
    <t>汉邦高科</t>
  </si>
  <si>
    <t>创业板首次公开发行股票招股说明书（申报稿2014年4月24日报送）</t>
  </si>
  <si>
    <t>创业板首次公开发行股票招股说明书(申报稿2014年4月18日报送)</t>
  </si>
  <si>
    <t>舟港股份</t>
  </si>
  <si>
    <t>永祥粮机</t>
  </si>
  <si>
    <t>合纵科技</t>
  </si>
  <si>
    <t>创业板首次公开发行股票招股说明书(申报稿2014年4月16日报送)</t>
  </si>
  <si>
    <t>海顺新材</t>
  </si>
  <si>
    <t>南华仪器</t>
  </si>
  <si>
    <t>合锻股份</t>
  </si>
  <si>
    <t>航天工程</t>
  </si>
  <si>
    <t>首次公开发行股票招股说明书(申报稿2014年2月20日报送)</t>
  </si>
  <si>
    <t>道氏股份</t>
  </si>
  <si>
    <t>清水源</t>
  </si>
  <si>
    <t>天鸟股份</t>
  </si>
  <si>
    <t>中公高科</t>
  </si>
  <si>
    <t>创业板首次公开发行股票招股说明书(申报稿2014年3月11日报送)</t>
  </si>
  <si>
    <t>伊之密</t>
  </si>
  <si>
    <t>爱迪尔</t>
  </si>
  <si>
    <t>山河药辅</t>
  </si>
  <si>
    <t>达志科技</t>
  </si>
  <si>
    <t>迅游股份</t>
  </si>
  <si>
    <t>全筑股份</t>
  </si>
  <si>
    <t>首次公开发行股票招股说明书(申报稿2014年4月15日报送)</t>
  </si>
  <si>
    <t>雪峰科技</t>
  </si>
  <si>
    <t>华电重工</t>
  </si>
  <si>
    <t>奇信股份</t>
  </si>
  <si>
    <t>首次公开发行股票招股说明书(申报稿2014年3月10日报送)</t>
  </si>
  <si>
    <t>柯利达</t>
  </si>
  <si>
    <t>富泰股份</t>
  </si>
  <si>
    <t>拓普集团</t>
  </si>
  <si>
    <t>复大医疗</t>
  </si>
  <si>
    <t>振隆股份</t>
  </si>
  <si>
    <t>晨光文具</t>
  </si>
  <si>
    <t>金逸股份</t>
  </si>
  <si>
    <t>金盾风机</t>
  </si>
  <si>
    <t>创业板首次公开发行股票招股说明书(申报稿2014年3月26日报送)</t>
  </si>
  <si>
    <t>星光农机</t>
  </si>
  <si>
    <t>农尚环境</t>
  </si>
  <si>
    <t>创业板首次公开发行股票招股说明书(申报稿2014年4月9日报送)</t>
  </si>
  <si>
    <t>曲美家具</t>
  </si>
  <si>
    <t>川金诺</t>
  </si>
  <si>
    <t>创业板首次公开发行股票招股说明书(申报稿2014年2月18日报送)</t>
  </si>
  <si>
    <t>中坚科技</t>
  </si>
  <si>
    <t>威帝电子</t>
  </si>
  <si>
    <t>绿城水务</t>
  </si>
  <si>
    <t>科迪乳业</t>
  </si>
  <si>
    <t>首次公开发行股票招股说明书(申报稿2014年3月20日报送)</t>
  </si>
  <si>
    <t>长和化工</t>
  </si>
  <si>
    <t>东兴证券</t>
  </si>
  <si>
    <t>首次公开发行股票招股说明书(申报稿2014年3月11日报送)</t>
  </si>
  <si>
    <t>国泰君安</t>
  </si>
  <si>
    <t>东方证券</t>
  </si>
  <si>
    <t>广生堂</t>
  </si>
  <si>
    <t>创业板首次公开发行股票招股说明书(申报稿2014年1月29日报送)</t>
  </si>
  <si>
    <t>宁波高发</t>
  </si>
  <si>
    <t>德宏股份</t>
  </si>
  <si>
    <t>莱克电气</t>
  </si>
  <si>
    <t>首次公开发行股票招股说明书(申报稿2014年2月24日报送)</t>
  </si>
  <si>
    <t>华安证券</t>
  </si>
  <si>
    <t>首次公开发行股票招股说明书(申报稿2014年3月27日报送)</t>
  </si>
  <si>
    <t>南兴装备</t>
  </si>
  <si>
    <t>力星股份</t>
  </si>
  <si>
    <t>康新设计</t>
  </si>
  <si>
    <t>依顿科技</t>
  </si>
  <si>
    <t>来伊份</t>
  </si>
  <si>
    <t>诚益通</t>
  </si>
  <si>
    <t>天顺股份</t>
  </si>
  <si>
    <t>聚隆传动</t>
  </si>
  <si>
    <t>创业板首次公开发行股票招股说明书(申报稿报送日期2014年2月11日报送)</t>
  </si>
  <si>
    <t>万达院线</t>
  </si>
  <si>
    <t>鹏辉能源</t>
  </si>
  <si>
    <t>海洋王</t>
  </si>
  <si>
    <t>中博生物</t>
  </si>
  <si>
    <t>海汽股份</t>
  </si>
  <si>
    <t>九华股份</t>
  </si>
  <si>
    <t>龙马环卫</t>
  </si>
  <si>
    <t>洪汇新材</t>
  </si>
  <si>
    <t>上影股份</t>
  </si>
  <si>
    <t>天达环保</t>
  </si>
  <si>
    <t>首次公开发行股票招股说明书(申报稿2014年3月21日报送)</t>
  </si>
  <si>
    <t>华舟应急</t>
  </si>
  <si>
    <t>世嘉股份</t>
  </si>
  <si>
    <t>德乐股份</t>
  </si>
  <si>
    <t>创业板首次公开发行股票招股说明书(申报稿2014年3月24日报送)</t>
  </si>
  <si>
    <t>帝王洁具</t>
  </si>
  <si>
    <t>宁波继峰</t>
  </si>
  <si>
    <t>胜宏科技</t>
  </si>
  <si>
    <t>诺力股份</t>
  </si>
  <si>
    <t>中电股份</t>
  </si>
  <si>
    <t>爱司凯</t>
  </si>
  <si>
    <t>通合电子</t>
  </si>
  <si>
    <t>创业板首次公开发行股票招股说明书(申报稿2014年3月17日报送)</t>
  </si>
  <si>
    <t>亚振股份</t>
  </si>
  <si>
    <t>首次公开发行股票招股说明书(申报稿2014年3月28日报送)</t>
  </si>
  <si>
    <t>数字认证</t>
  </si>
  <si>
    <t>创业板首次公开发行股票招股说明书(申报稿2014年3月14日报送)</t>
  </si>
  <si>
    <t>正平路桥</t>
  </si>
  <si>
    <t>微光电子</t>
  </si>
  <si>
    <t>利安隆</t>
  </si>
  <si>
    <t>中泰深冷</t>
  </si>
  <si>
    <t>创业板首次公开发行股票招股说明书(申报稿2014年3月3日报送)</t>
  </si>
  <si>
    <t>万林物流</t>
  </si>
  <si>
    <t>首次公开发行股票招股说明书(申报稿2014年3月5日报送)</t>
  </si>
  <si>
    <t>腾龙股份</t>
  </si>
  <si>
    <t>维力医疗</t>
  </si>
  <si>
    <t>金诚信</t>
  </si>
  <si>
    <t>首次公开发行股票招股说明书(申报稿2014年3月3日报送)</t>
  </si>
  <si>
    <t>宏良股份</t>
  </si>
  <si>
    <t>奥赛康</t>
  </si>
  <si>
    <t>相宜本草</t>
  </si>
  <si>
    <t>首次公开发行股票招股说明书（申报稿-补充预披露）</t>
  </si>
  <si>
    <t>首次公开发行股票并上市招股说明书（申报稿-补充预披露）</t>
  </si>
  <si>
    <t>金龙股份</t>
  </si>
  <si>
    <t>首次公开发行股票招股说明书(申报稿-补充预披露)</t>
  </si>
  <si>
    <t>昊海生科</t>
  </si>
  <si>
    <t>创业板首发招股说明书（申报稿—补充预披露）</t>
  </si>
  <si>
    <t>中矿环保</t>
  </si>
  <si>
    <t>十一科技</t>
  </si>
  <si>
    <t>上投摩根健康品质生活</t>
  </si>
  <si>
    <t>更新招股说明书（2012年9月）</t>
  </si>
  <si>
    <t>秦港股份</t>
  </si>
  <si>
    <t>凌丰集团</t>
  </si>
  <si>
    <t>浙旅股份</t>
  </si>
  <si>
    <t>洁华股份</t>
  </si>
  <si>
    <t>博浩生物</t>
  </si>
  <si>
    <t>创业板首发招股说明书（申报稿）</t>
  </si>
  <si>
    <t>未来国际</t>
  </si>
  <si>
    <t>首次公开发行股票招股说明书（申报稿）</t>
  </si>
  <si>
    <t>浚鑫科技</t>
  </si>
  <si>
    <t>泰丰股份</t>
  </si>
  <si>
    <t>神舟电脑</t>
  </si>
  <si>
    <t>华恒焊接</t>
  </si>
  <si>
    <t>富邦科技</t>
  </si>
  <si>
    <t>宏华数码</t>
  </si>
  <si>
    <t>福莱特</t>
  </si>
  <si>
    <t>麦杰科技</t>
  </si>
  <si>
    <t>中国铁物</t>
  </si>
  <si>
    <t>创业板首发招股说明书(申报稿)</t>
  </si>
  <si>
    <t>光维通信</t>
  </si>
  <si>
    <t>鲟龙科技</t>
  </si>
  <si>
    <t>科隆精化</t>
  </si>
  <si>
    <t>首次公开发行股票招股说明书(申报稿)</t>
  </si>
  <si>
    <t>伊泰B股</t>
  </si>
  <si>
    <t>金陵网络</t>
  </si>
  <si>
    <t>首次公开发行股票并上市招股说明书（申报稿）</t>
  </si>
  <si>
    <t>广东奔朗</t>
  </si>
  <si>
    <t>无线天利</t>
  </si>
  <si>
    <t>邦柯科技</t>
  </si>
  <si>
    <t>创意技术</t>
  </si>
  <si>
    <t>创业板首发招股说明书</t>
  </si>
  <si>
    <t>宝色股份</t>
  </si>
  <si>
    <t>凯立德</t>
  </si>
  <si>
    <t>铁观音</t>
  </si>
  <si>
    <t>浩丰创源</t>
  </si>
  <si>
    <t>鹿山新材</t>
  </si>
  <si>
    <t>鹏翎胶管</t>
  </si>
  <si>
    <t>英杰电气</t>
  </si>
  <si>
    <t>卓越鸿昌</t>
  </si>
  <si>
    <t>银丰棉花</t>
  </si>
  <si>
    <t>民生轮船</t>
  </si>
  <si>
    <t>道恩高材</t>
  </si>
  <si>
    <t>首次公开发行招股说明书（申报稿）</t>
  </si>
  <si>
    <t>新宝电器</t>
  </si>
  <si>
    <t>招股说明书（申报稿）</t>
  </si>
  <si>
    <t>汇胜股份</t>
  </si>
  <si>
    <t>炬华股份</t>
  </si>
  <si>
    <t>铜都阀门</t>
  </si>
  <si>
    <t>中国速递</t>
  </si>
  <si>
    <t>首次公开发行A股股票招股说明书（申报稿）</t>
  </si>
  <si>
    <t>地尔汉宇</t>
  </si>
  <si>
    <t>汇金机电</t>
  </si>
  <si>
    <t>石英股份</t>
  </si>
  <si>
    <t>淮北矿业</t>
  </si>
  <si>
    <t>蒙草股份</t>
  </si>
  <si>
    <t>东方道迩</t>
  </si>
  <si>
    <t>华龙电子</t>
  </si>
  <si>
    <t>太平洋</t>
  </si>
  <si>
    <t>中技股份</t>
  </si>
  <si>
    <t>华锡集团</t>
  </si>
  <si>
    <t>天珑移动</t>
  </si>
  <si>
    <t>联冠电极</t>
  </si>
  <si>
    <t>沧海重工</t>
  </si>
  <si>
    <t>应流机电</t>
  </si>
  <si>
    <t>新大地</t>
  </si>
  <si>
    <t>大地水刀</t>
  </si>
  <si>
    <t>三奥股份</t>
  </si>
  <si>
    <t>安控科技</t>
  </si>
  <si>
    <t>欧贝黎</t>
  </si>
  <si>
    <t>首发招股说明书（申报稿）</t>
  </si>
  <si>
    <t>宏良皮业</t>
  </si>
  <si>
    <t>纽威阀门</t>
  </si>
  <si>
    <t>百胜科技</t>
  </si>
  <si>
    <t>珠江桥</t>
  </si>
  <si>
    <t>牧原食品</t>
  </si>
  <si>
    <t>志诚泰和</t>
  </si>
  <si>
    <t>赛瓦特</t>
  </si>
  <si>
    <t>上机数控</t>
  </si>
  <si>
    <t>仙坛股份</t>
  </si>
  <si>
    <t>首发招股说明书(申报稿)</t>
  </si>
  <si>
    <t>秦宝牧业</t>
  </si>
  <si>
    <t>南京莱斯</t>
  </si>
  <si>
    <t>中航文化</t>
  </si>
  <si>
    <t>(首次公开发行股票招股说明书（申报稿)</t>
  </si>
  <si>
    <t>爱康宜诚</t>
  </si>
  <si>
    <t>首发股票招股说明书(申报稿)</t>
  </si>
  <si>
    <t>慈铭体检</t>
  </si>
  <si>
    <t>登云汽配</t>
  </si>
  <si>
    <t>东方广视</t>
  </si>
  <si>
    <t>思可达</t>
  </si>
  <si>
    <t>海天股份</t>
  </si>
  <si>
    <t>秋盛资源</t>
  </si>
  <si>
    <t>小西牛</t>
  </si>
  <si>
    <t>富煌钢构</t>
  </si>
  <si>
    <t>利泰制药</t>
  </si>
  <si>
    <t>斯菲尔</t>
  </si>
  <si>
    <t>佳利电子</t>
  </si>
  <si>
    <t>宁夏日晶</t>
  </si>
  <si>
    <t>益康生物</t>
  </si>
  <si>
    <t>爱创科技</t>
  </si>
  <si>
    <t>万安智能</t>
  </si>
  <si>
    <t>海澜之家</t>
  </si>
  <si>
    <t>金大地</t>
  </si>
  <si>
    <t>昇兴集团</t>
  </si>
  <si>
    <t>海诺尔</t>
  </si>
  <si>
    <t>海四达</t>
  </si>
  <si>
    <t>亿邦制药</t>
  </si>
  <si>
    <t>欧浦股份</t>
  </si>
  <si>
    <t>谱尼测试</t>
  </si>
  <si>
    <t>江苏金源</t>
  </si>
  <si>
    <t>信音电子</t>
  </si>
  <si>
    <t>（中国）股份有限公司首发招股说明书（申报稿）</t>
  </si>
  <si>
    <t>东锋股份</t>
  </si>
  <si>
    <t>元征科技</t>
  </si>
  <si>
    <t>首次公开发行A股股票招股说明书(申报稿)</t>
  </si>
  <si>
    <t>先导稀材</t>
  </si>
  <si>
    <t>明源软件</t>
  </si>
  <si>
    <t>劲拓股份</t>
  </si>
  <si>
    <t>麦格米特</t>
  </si>
  <si>
    <t>中煤装备</t>
  </si>
  <si>
    <t>汉嘉设计</t>
  </si>
  <si>
    <t>金发科技</t>
  </si>
  <si>
    <t>增发招股说明书</t>
  </si>
  <si>
    <t>新远程</t>
  </si>
  <si>
    <t>冠华股份</t>
  </si>
  <si>
    <t>天能科技</t>
  </si>
  <si>
    <t>美盛股份</t>
  </si>
  <si>
    <t>百洋集团</t>
  </si>
  <si>
    <t>精图信息</t>
  </si>
  <si>
    <t>高威科</t>
  </si>
  <si>
    <t>和鹰科技</t>
  </si>
  <si>
    <t>股份有限公司创业板首发招股说明书（申报稿）</t>
  </si>
  <si>
    <t>白云电器</t>
  </si>
  <si>
    <t>吉锐触摸</t>
  </si>
  <si>
    <t>华致酒行</t>
  </si>
  <si>
    <t>同力重工</t>
  </si>
  <si>
    <t>星光科技</t>
  </si>
  <si>
    <t>拓普智能</t>
  </si>
  <si>
    <t>斯迈柯</t>
  </si>
  <si>
    <t>佳力科技</t>
  </si>
  <si>
    <t>（北京）股份公司创业板首发招股说明书（申报稿）</t>
  </si>
  <si>
    <t>桑夏股份</t>
  </si>
  <si>
    <t>宜通科技</t>
  </si>
  <si>
    <t>首发招股说明书(申报稿)的更正公告</t>
  </si>
  <si>
    <t>东珠景观</t>
  </si>
  <si>
    <t>南城百货</t>
  </si>
  <si>
    <t>瑞达股份</t>
  </si>
  <si>
    <t>公元股份</t>
  </si>
  <si>
    <t>裕华新材</t>
  </si>
  <si>
    <t>上海龙韵广告股份有限公司首发招股说明书（申报稿）</t>
  </si>
  <si>
    <t>新荷花</t>
  </si>
  <si>
    <t>乔丹体育</t>
  </si>
  <si>
    <t>瑞尔机械</t>
  </si>
  <si>
    <t>创业板招股说明书（申报稿）</t>
  </si>
  <si>
    <t>沃施股份</t>
  </si>
  <si>
    <t>通润驱动</t>
  </si>
  <si>
    <t>(首发招股说明书（申报稿)</t>
  </si>
  <si>
    <t>千禧之星</t>
  </si>
  <si>
    <t>长沙三诺生物传感技术股份有限公司创业板首发招股说明书（申报稿）</t>
  </si>
  <si>
    <t>瑞明股份</t>
  </si>
  <si>
    <t>淑女屋</t>
  </si>
  <si>
    <t>蔚林股份</t>
  </si>
  <si>
    <t>诺奇股份</t>
  </si>
  <si>
    <t>京客隆</t>
  </si>
  <si>
    <t>武桥股份</t>
  </si>
  <si>
    <t>招金励福</t>
  </si>
  <si>
    <t>红旗民爆</t>
  </si>
  <si>
    <t>蓝天燃气</t>
  </si>
  <si>
    <t>东骏激光</t>
  </si>
  <si>
    <t>首开招股说明书（申报稿）</t>
  </si>
  <si>
    <t>斗南锰业</t>
  </si>
  <si>
    <t>陕煤股份</t>
  </si>
  <si>
    <t>福龙马</t>
  </si>
  <si>
    <t>亨达股份</t>
  </si>
  <si>
    <t>首发申请招股说明书（申报稿）</t>
  </si>
  <si>
    <t>乐歌视讯</t>
  </si>
  <si>
    <t>威海广泰</t>
  </si>
  <si>
    <t>2010年度公开增发招股说明书（封卷稿）</t>
  </si>
  <si>
    <t>木林森</t>
  </si>
  <si>
    <t>厦门蒙发利科技（集团）股份有限公司首次公开发行股票招股说明书（申报稿）</t>
  </si>
  <si>
    <t>大连轴承</t>
  </si>
  <si>
    <t>（湖南）农业开发股份有限公司创业板首发招股说明书（申报稿）</t>
  </si>
  <si>
    <t>中天科技</t>
  </si>
  <si>
    <t>增发招股说明书（封卷稿）</t>
  </si>
  <si>
    <t>仁智股份</t>
  </si>
  <si>
    <t>朝歌数码</t>
  </si>
  <si>
    <t>保隆科技</t>
  </si>
  <si>
    <t>中航科技</t>
  </si>
  <si>
    <t>名雕装饰</t>
  </si>
  <si>
    <t>西龙新材</t>
  </si>
  <si>
    <t>丰科生物</t>
  </si>
  <si>
    <t>佛燃股份</t>
  </si>
  <si>
    <t>康地种业</t>
  </si>
  <si>
    <t>瑞和建筑</t>
  </si>
  <si>
    <t>金创股份</t>
  </si>
  <si>
    <t>井泰石油</t>
  </si>
  <si>
    <t>（首发招股说明书(申报稿）</t>
  </si>
  <si>
    <t>盛瑞传动</t>
  </si>
  <si>
    <t>中交通力</t>
  </si>
  <si>
    <t>威丝曼</t>
  </si>
  <si>
    <t>凯化集团</t>
  </si>
  <si>
    <t>庞大集团</t>
  </si>
  <si>
    <t>金洋电子</t>
  </si>
  <si>
    <t>东泽电缆</t>
  </si>
  <si>
    <t>华力特</t>
  </si>
  <si>
    <t>闽发铝业</t>
  </si>
  <si>
    <t>雷柏科技</t>
  </si>
  <si>
    <t>通达动力</t>
  </si>
  <si>
    <t>华海股份</t>
  </si>
  <si>
    <t>利步瑞</t>
  </si>
  <si>
    <t>舒朗股份</t>
  </si>
  <si>
    <t>天泽信息</t>
  </si>
  <si>
    <t>养元饮品</t>
  </si>
  <si>
    <t>森远股份</t>
  </si>
  <si>
    <t>恒顺电气</t>
  </si>
  <si>
    <t>明牌珠宝</t>
  </si>
  <si>
    <t>群兴玩具</t>
  </si>
  <si>
    <t>欣旺达</t>
  </si>
  <si>
    <t>理邦仪器</t>
  </si>
  <si>
    <t>天喻信息</t>
  </si>
  <si>
    <t>国电清新</t>
  </si>
  <si>
    <t>聚光科技</t>
  </si>
  <si>
    <t>舒泰神</t>
  </si>
  <si>
    <t>聚龙股份</t>
  </si>
  <si>
    <t>宁基股份</t>
  </si>
  <si>
    <t>贝因美</t>
  </si>
  <si>
    <t>德力股份</t>
  </si>
  <si>
    <t>步森股份</t>
  </si>
  <si>
    <t>上海科大智能科技股份有限公司创业板首发招股说明书（申报稿）</t>
  </si>
  <si>
    <t>海伦哲</t>
  </si>
  <si>
    <t>诚达药业</t>
  </si>
  <si>
    <t>翰宇药业</t>
  </si>
  <si>
    <t>纳川股份</t>
  </si>
  <si>
    <t>高盟新材</t>
  </si>
  <si>
    <t>铁汉生态</t>
  </si>
  <si>
    <t>长海股份</t>
  </si>
  <si>
    <t>长荣股份</t>
  </si>
  <si>
    <t>江南水务</t>
  </si>
  <si>
    <t>百润股份</t>
  </si>
  <si>
    <t>唐人神</t>
  </si>
  <si>
    <t>西林科</t>
  </si>
  <si>
    <t>佳士科技</t>
  </si>
  <si>
    <t>金冠汽车</t>
  </si>
  <si>
    <t>科斯伍德</t>
  </si>
  <si>
    <t>福安药业</t>
  </si>
  <si>
    <t>宝泰隆</t>
  </si>
  <si>
    <t>益盛药业</t>
  </si>
  <si>
    <t>上海绿新</t>
  </si>
  <si>
    <t>江苏天泽信息产业股份有限公司创业板首发招股说明书（申报稿）</t>
  </si>
  <si>
    <t>潜能恒信</t>
  </si>
  <si>
    <t>维尔利</t>
  </si>
  <si>
    <t>神农大丰</t>
  </si>
  <si>
    <t>美亚柏科</t>
  </si>
  <si>
    <t>兄弟科技</t>
  </si>
  <si>
    <t>森马服饰</t>
  </si>
  <si>
    <t>张化机</t>
  </si>
  <si>
    <t>三江购物</t>
  </si>
  <si>
    <t>金隅股份</t>
  </si>
  <si>
    <t>首次公开发行A股招股说明书暨换股吸收合并河北太行水泥股份有限公司报告书</t>
  </si>
  <si>
    <t>索菲亚</t>
  </si>
  <si>
    <t>广州市宁基装饰实业股份有限公司首发招股说明书（申报稿）</t>
  </si>
  <si>
    <t>首次公开发行股票并在创业板上市《招股说明书》的确认函</t>
  </si>
  <si>
    <t>通裕重工</t>
  </si>
  <si>
    <t>恒源股份</t>
  </si>
  <si>
    <t>永清环保</t>
  </si>
  <si>
    <t>大华农</t>
  </si>
  <si>
    <t>通达股份</t>
  </si>
  <si>
    <t>亚威股份</t>
  </si>
  <si>
    <t>徐家汇</t>
  </si>
  <si>
    <t>内蒙君正</t>
  </si>
  <si>
    <t>辉隆股份</t>
  </si>
  <si>
    <t>世纪游轮</t>
  </si>
  <si>
    <t>洽洽食品</t>
  </si>
  <si>
    <t>顺荣股份</t>
  </si>
  <si>
    <t>德勤股份</t>
  </si>
  <si>
    <t>惠博普</t>
  </si>
  <si>
    <t>南方轴承</t>
  </si>
  <si>
    <t>尚荣医疗</t>
  </si>
  <si>
    <t>宝鼎重工</t>
  </si>
  <si>
    <t>捷成股份</t>
  </si>
  <si>
    <t>佐力药业</t>
  </si>
  <si>
    <t>东软载波</t>
  </si>
  <si>
    <t>力源信息</t>
  </si>
  <si>
    <t>华峰超纤</t>
  </si>
  <si>
    <t>金新农</t>
  </si>
  <si>
    <t>春兴精工</t>
  </si>
  <si>
    <t>凯美特气</t>
  </si>
  <si>
    <t>千红制药</t>
  </si>
  <si>
    <t>星宇股份</t>
  </si>
  <si>
    <t>首次公开发行A股招股说明书暨换股吸收合并河北太行水泥股份有限公司报告书附录三</t>
  </si>
  <si>
    <t>广电电气</t>
  </si>
  <si>
    <t>首次公开发行A股招股说明书暨换股吸收合并河北太行水泥股份有限公司报告书附录二</t>
  </si>
  <si>
    <t>首次公开发行A股招股说明书暨换股吸收合并河北太行水泥股份有限公司报告书附录一</t>
  </si>
  <si>
    <t>大智慧</t>
  </si>
  <si>
    <t>中海达</t>
  </si>
  <si>
    <t>四方达</t>
  </si>
  <si>
    <t>腾邦国际</t>
  </si>
  <si>
    <t>博威合金</t>
  </si>
  <si>
    <t>鸿特精密</t>
  </si>
  <si>
    <t>朗源股份</t>
  </si>
  <si>
    <t>新联电子</t>
  </si>
  <si>
    <t>东方铁塔</t>
  </si>
  <si>
    <t>中电环保</t>
  </si>
  <si>
    <t>元力股份</t>
  </si>
  <si>
    <t>东富龙</t>
  </si>
  <si>
    <t>汉得信息</t>
  </si>
  <si>
    <t>松德股份</t>
  </si>
  <si>
    <t>（北京）生物制药股份有限公司创业板首发招股说明书（申报稿）</t>
  </si>
  <si>
    <t>万和电气</t>
  </si>
  <si>
    <t>杰赛科技</t>
  </si>
  <si>
    <t>中化岩土</t>
  </si>
  <si>
    <t>首次公开发行A股招股说明书暨换股吸收合并河北太行水泥股份有限公司报告书（申报稿）</t>
  </si>
  <si>
    <t>风范股份</t>
  </si>
  <si>
    <t>东方国信</t>
  </si>
  <si>
    <t>万达信息</t>
  </si>
  <si>
    <t>迪威视讯</t>
  </si>
  <si>
    <t>天晟新材</t>
  </si>
  <si>
    <t>首次公开发行股票招股说明书 (申报稿)</t>
  </si>
  <si>
    <t>天瑞仪器</t>
  </si>
  <si>
    <t>华锐风电</t>
  </si>
  <si>
    <t>首发招股说明书（申报稿）.PDF</t>
  </si>
  <si>
    <t>海南橡胶</t>
  </si>
  <si>
    <t>亚太科技</t>
  </si>
  <si>
    <t>鸿路钢构</t>
  </si>
  <si>
    <t>新都化工</t>
  </si>
  <si>
    <t>司尔特</t>
  </si>
  <si>
    <t>华中数控</t>
  </si>
  <si>
    <t>雷曼光电</t>
  </si>
  <si>
    <t>秀强股份</t>
  </si>
  <si>
    <t>通源石油</t>
  </si>
  <si>
    <t>先锋新材</t>
  </si>
  <si>
    <t>四方股份</t>
  </si>
  <si>
    <t>西泵股份</t>
  </si>
  <si>
    <t>海立美达</t>
  </si>
  <si>
    <t>林州重机</t>
  </si>
  <si>
    <t>杭锅股份</t>
  </si>
  <si>
    <t>亚星锚链</t>
  </si>
  <si>
    <t>恒泰艾普</t>
  </si>
  <si>
    <t>新研股份</t>
  </si>
  <si>
    <t>振东制药</t>
  </si>
  <si>
    <t>天立环保</t>
  </si>
  <si>
    <t>安居宝</t>
  </si>
  <si>
    <t>君正股份</t>
  </si>
  <si>
    <t>天顺风能</t>
  </si>
  <si>
    <t>新界泵业</t>
  </si>
  <si>
    <t>金杯电工</t>
  </si>
  <si>
    <t>丰东股份</t>
  </si>
  <si>
    <t>亚威机床</t>
  </si>
  <si>
    <t>冠宏股份</t>
  </si>
  <si>
    <t>（杭州）股份有限公司创业板首发招股说明书（申报稿）</t>
  </si>
  <si>
    <t>燃控科技</t>
  </si>
  <si>
    <t>科泰电源</t>
  </si>
  <si>
    <t>荣联科技</t>
  </si>
  <si>
    <t>瑞凌股份</t>
  </si>
  <si>
    <t>上海广电电气（集团）股份有限公司首发招股说明书（申报稿）</t>
  </si>
  <si>
    <t>海源机械</t>
  </si>
  <si>
    <t>新时达</t>
  </si>
  <si>
    <t>英飞拓</t>
  </si>
  <si>
    <t>永辉超市</t>
  </si>
  <si>
    <t>中联重科</t>
  </si>
  <si>
    <t>刊发H股招股说明书、H股发行价格区间及H股香港公开发售等相关事宜</t>
  </si>
  <si>
    <t>新中环保</t>
  </si>
  <si>
    <t>世纪瑞尔</t>
  </si>
  <si>
    <t>量子高科</t>
  </si>
  <si>
    <t>昌红科技</t>
  </si>
  <si>
    <t>光正钢构</t>
  </si>
  <si>
    <t>科技（集团）股份有限公司首发招股说明书（申报稿）</t>
  </si>
  <si>
    <t>山东矿机</t>
  </si>
  <si>
    <t>胜景山河</t>
  </si>
  <si>
    <t>香雪制药</t>
  </si>
  <si>
    <t>天舟文化</t>
  </si>
  <si>
    <t>汤臣倍健</t>
  </si>
  <si>
    <t>大连港</t>
  </si>
  <si>
    <t>日发数码</t>
  </si>
  <si>
    <t>浙江众成</t>
  </si>
  <si>
    <t>天桥起重</t>
  </si>
  <si>
    <t>齐峰股份</t>
  </si>
  <si>
    <t>星河生物</t>
  </si>
  <si>
    <t>宋城股份</t>
  </si>
  <si>
    <t>（首次公开发行股票招股说明书(申报稿）</t>
  </si>
  <si>
    <t>南方泵业</t>
  </si>
  <si>
    <t>力帆股份</t>
  </si>
  <si>
    <t>科士达</t>
  </si>
  <si>
    <t>江苏旷达</t>
  </si>
  <si>
    <t>泰亚股份</t>
  </si>
  <si>
    <t>重庆福安药业（集团）股份有限公司创业板首发招股说明书（申报稿）</t>
  </si>
  <si>
    <t>银河电子</t>
  </si>
  <si>
    <t>*ST环保</t>
  </si>
  <si>
    <t>南京中电联环保股份有限公司创业板首发招股说明书（申报稿）</t>
  </si>
  <si>
    <t>中山市松德包装机械股份有限公司创业板首发招股说明书（申报稿）</t>
  </si>
  <si>
    <t>达华智能</t>
  </si>
  <si>
    <t>蓝丰生化</t>
  </si>
  <si>
    <t>宝馨科技</t>
  </si>
  <si>
    <t>金字火腿</t>
  </si>
  <si>
    <t>中顺洁柔</t>
  </si>
  <si>
    <t>天汽模</t>
  </si>
  <si>
    <t>老板电器</t>
  </si>
  <si>
    <t>天广消防</t>
  </si>
  <si>
    <t>江苏亚太</t>
  </si>
  <si>
    <t>涪陵榨菜</t>
  </si>
  <si>
    <t>（苏州）股份有限公司首发招股说明书（申报稿）</t>
  </si>
  <si>
    <t>大康牧业</t>
  </si>
  <si>
    <t>超日太阳</t>
  </si>
  <si>
    <t>东光微电</t>
  </si>
  <si>
    <t>浙江新界泵业股份有限公司首发招股说明书（申报稿）</t>
  </si>
  <si>
    <t>利源铝业</t>
  </si>
  <si>
    <t>骅威股份</t>
  </si>
  <si>
    <t>搜于特</t>
  </si>
  <si>
    <t>九州通</t>
  </si>
  <si>
    <t>和顺电气</t>
  </si>
  <si>
    <t>启源装备</t>
  </si>
  <si>
    <t>康乐药业</t>
  </si>
  <si>
    <t>山西证券</t>
  </si>
  <si>
    <t>福星晓程</t>
  </si>
  <si>
    <t>美凯电子</t>
  </si>
  <si>
    <t>沃森生物</t>
  </si>
  <si>
    <t>中南传媒</t>
  </si>
  <si>
    <t>广东汤臣倍健生物科技股份有限公司创业板首发招股说明书(申报稿)</t>
  </si>
  <si>
    <t>辉丰股份</t>
  </si>
  <si>
    <t>汉缆股份</t>
  </si>
  <si>
    <t>科林环保</t>
  </si>
  <si>
    <t>雅化集团</t>
  </si>
  <si>
    <t>信维通信</t>
  </si>
  <si>
    <t>关于公司首次公开发行股票并在创业板上市《招股说明书》的确认函</t>
  </si>
  <si>
    <t>先河环保</t>
  </si>
  <si>
    <t>首发股票招股说明书（申报稿）</t>
  </si>
  <si>
    <t>晨光生物</t>
  </si>
  <si>
    <t>荣盛石化</t>
  </si>
  <si>
    <t>佳隆股份</t>
  </si>
  <si>
    <t>华斯股份</t>
  </si>
  <si>
    <t>恒基达鑫</t>
  </si>
  <si>
    <t>湖南天舟科教文化股份有限公司创业板首发招股说明书(申报稿)</t>
  </si>
  <si>
    <t>杭州南方特种泵业股份有限公司创业板首发招股说明书(申报稿)</t>
  </si>
  <si>
    <t>力帆集团</t>
  </si>
  <si>
    <t>兴业证券</t>
  </si>
  <si>
    <t>华策影视</t>
  </si>
  <si>
    <t>御银股份</t>
  </si>
  <si>
    <t>关于控股子公司的参股公司广东星河生物科技股份有限公司首发招股说明书预披露的公告</t>
  </si>
  <si>
    <t>控股子公司的参股公司广东星河生物科技股份有限公司首发招股说明书预披露</t>
  </si>
  <si>
    <t>大富科技</t>
  </si>
  <si>
    <t>宝利沥青</t>
  </si>
  <si>
    <t>青松股份</t>
  </si>
  <si>
    <t>网讯新材</t>
  </si>
  <si>
    <t>菇木真</t>
  </si>
  <si>
    <t>广东星河生物科技股份有限公司创业板首发招股说明书（申报稿）</t>
  </si>
  <si>
    <t>通鼎光电</t>
  </si>
  <si>
    <t>山东墨龙</t>
  </si>
  <si>
    <t>杭齿前进</t>
  </si>
  <si>
    <t>金固股份</t>
  </si>
  <si>
    <t>福建天广消防科技股份有限公司首发招股说明书（申报稿）</t>
  </si>
  <si>
    <t>英唐智控</t>
  </si>
  <si>
    <t>新国都</t>
  </si>
  <si>
    <t>泰胜风能</t>
  </si>
  <si>
    <t>金风科技</t>
  </si>
  <si>
    <t>H股招股说明书</t>
  </si>
  <si>
    <t>宁波港</t>
  </si>
  <si>
    <t>H股招股说明书（英文版）</t>
  </si>
  <si>
    <t>大金重工</t>
  </si>
  <si>
    <t>嘉麟杰</t>
  </si>
  <si>
    <t>希努尔</t>
  </si>
  <si>
    <t>广东骅威玩具工艺股份有限公司首发招股说明书（申报稿）</t>
  </si>
  <si>
    <t>锦富新材</t>
  </si>
  <si>
    <t>锐奇股份</t>
  </si>
  <si>
    <t>银河磁体</t>
  </si>
  <si>
    <t>易世达</t>
  </si>
  <si>
    <t>广田股份</t>
  </si>
  <si>
    <t>润邦股份</t>
  </si>
  <si>
    <t>江海股份</t>
  </si>
  <si>
    <t>太阳鸟</t>
  </si>
  <si>
    <t>智飞生物</t>
  </si>
  <si>
    <t>汇川技术</t>
  </si>
  <si>
    <t>元盛电子</t>
  </si>
  <si>
    <t>东方嘉盛</t>
  </si>
  <si>
    <t>常宝股份</t>
  </si>
  <si>
    <t>双塔食品</t>
  </si>
  <si>
    <t>新筑股份</t>
  </si>
  <si>
    <t>富春环保</t>
  </si>
  <si>
    <t>丰元股份</t>
  </si>
  <si>
    <t>经纬电材</t>
  </si>
  <si>
    <t>阳谷华泰</t>
  </si>
  <si>
    <t>瑞普生物</t>
  </si>
  <si>
    <t>榕基软件</t>
  </si>
  <si>
    <t>宝莫股份</t>
  </si>
  <si>
    <t>雏鹰农牧</t>
  </si>
  <si>
    <t>立讯精密</t>
  </si>
  <si>
    <t>花园生物</t>
  </si>
  <si>
    <t>英唐股份</t>
  </si>
  <si>
    <t>圣莱达</t>
  </si>
  <si>
    <t>中超电缆</t>
  </si>
  <si>
    <t>双环传动</t>
  </si>
  <si>
    <t>二六三</t>
  </si>
  <si>
    <t>金正大</t>
  </si>
  <si>
    <t>三维工程</t>
  </si>
  <si>
    <t>嘉诚股份</t>
  </si>
  <si>
    <t>艾迪西</t>
  </si>
  <si>
    <t>坚瑞消防</t>
  </si>
  <si>
    <t>东方日升</t>
  </si>
  <si>
    <t>嘉寓股份</t>
  </si>
  <si>
    <t>长盈精密</t>
  </si>
  <si>
    <t>海格通信</t>
  </si>
  <si>
    <t>天齐锂业</t>
  </si>
  <si>
    <t>金利科技</t>
  </si>
  <si>
    <t>光大银行</t>
  </si>
  <si>
    <t>顺网科技</t>
  </si>
  <si>
    <t>向日葵</t>
  </si>
  <si>
    <t>万讯自控</t>
  </si>
  <si>
    <t>中航电测</t>
  </si>
  <si>
    <t>际华集团</t>
  </si>
  <si>
    <t>永强股份</t>
  </si>
  <si>
    <t>双龙股份</t>
  </si>
  <si>
    <t>新开源</t>
  </si>
  <si>
    <t>华仁药业</t>
  </si>
  <si>
    <t>西部牧业</t>
  </si>
  <si>
    <t>建新股份</t>
  </si>
  <si>
    <t>龙源技术</t>
  </si>
  <si>
    <t>珠江啤酒</t>
  </si>
  <si>
    <t>沪电股份</t>
  </si>
  <si>
    <t>嘉事堂</t>
  </si>
  <si>
    <t>实际控制人杨海江、王东虎、王坚强对《博爱新开源制药首发股票并在创业板上市招股说明书》意见</t>
  </si>
  <si>
    <t>乾照光电</t>
  </si>
  <si>
    <t>乐视网</t>
  </si>
  <si>
    <t>达刚路机</t>
  </si>
  <si>
    <t>赣锋锂业</t>
  </si>
  <si>
    <t>益生股份</t>
  </si>
  <si>
    <t>天业通联</t>
  </si>
  <si>
    <t>国腾电子</t>
  </si>
  <si>
    <t>尤洛卡</t>
  </si>
  <si>
    <t>双林股份</t>
  </si>
  <si>
    <t>青龙管业</t>
  </si>
  <si>
    <t>百川股份</t>
  </si>
  <si>
    <t>欧菲光</t>
  </si>
  <si>
    <t>宏泰股份</t>
  </si>
  <si>
    <t>浙江富春江环保热电首发招股说明书（申报稿）</t>
  </si>
  <si>
    <t>河南雏鹰农牧股份有限公司首发招股说明书（申报稿）</t>
  </si>
  <si>
    <t>智云股份</t>
  </si>
  <si>
    <t>高新兴</t>
  </si>
  <si>
    <t>易联众</t>
  </si>
  <si>
    <t>华伍股份</t>
  </si>
  <si>
    <t>农业银行</t>
  </si>
  <si>
    <t>厦门蒙发利科技（集团）股份有限公司首发招股说明书（申报稿）</t>
  </si>
  <si>
    <t>摩恩电气</t>
  </si>
  <si>
    <t>长高集团</t>
  </si>
  <si>
    <t>天马精化</t>
  </si>
  <si>
    <t>松芝股份</t>
  </si>
  <si>
    <t>国星光电</t>
  </si>
  <si>
    <t>高德红外</t>
  </si>
  <si>
    <t>唐山港</t>
  </si>
  <si>
    <t>中原内配</t>
  </si>
  <si>
    <t>康得新</t>
  </si>
  <si>
    <t>巨星科技</t>
  </si>
  <si>
    <t>盛路通信</t>
  </si>
  <si>
    <t>中南重工</t>
  </si>
  <si>
    <t>壹桥苗业</t>
  </si>
  <si>
    <t>科新机电</t>
  </si>
  <si>
    <t>国联水产</t>
  </si>
  <si>
    <t>金刚玻璃</t>
  </si>
  <si>
    <t>金能股份</t>
  </si>
  <si>
    <t>龙星化工</t>
  </si>
  <si>
    <t>众业达</t>
  </si>
  <si>
    <t>优机股份</t>
  </si>
  <si>
    <t>闰土股份</t>
  </si>
  <si>
    <t>广机股份</t>
  </si>
  <si>
    <t>金洲管道</t>
  </si>
  <si>
    <t>长城集团</t>
  </si>
  <si>
    <t>金通灵</t>
  </si>
  <si>
    <t>盛运股份</t>
  </si>
  <si>
    <t>首次公开发行股票（A股）招股说明书（申报稿）</t>
  </si>
  <si>
    <t>信息技术（北京）股份有限公司创业板首发招股说明书（申报稿）</t>
  </si>
  <si>
    <t>星网锐捷</t>
  </si>
  <si>
    <t>启明星辰</t>
  </si>
  <si>
    <t>誉衡药业</t>
  </si>
  <si>
    <t>江苏神通</t>
  </si>
  <si>
    <t>万里扬</t>
  </si>
  <si>
    <t>长江润发</t>
  </si>
  <si>
    <t>皮宝制药</t>
  </si>
  <si>
    <t>贵州高峰</t>
  </si>
  <si>
    <t>兴森科技</t>
  </si>
  <si>
    <t>兆驰股份</t>
  </si>
  <si>
    <t>棕榈园林</t>
  </si>
  <si>
    <t>九安医疗</t>
  </si>
  <si>
    <t>杭氧股份</t>
  </si>
  <si>
    <t>云南锗业</t>
  </si>
  <si>
    <t>尤夫股份</t>
  </si>
  <si>
    <t>首次公开发行股票招股说明书（封卷稿）</t>
  </si>
  <si>
    <t>胜利精密</t>
  </si>
  <si>
    <t>凯撒股份</t>
  </si>
  <si>
    <t>中原特钢</t>
  </si>
  <si>
    <t>贵州百灵</t>
  </si>
  <si>
    <t>达实智能</t>
  </si>
  <si>
    <t>科伦药业</t>
  </si>
  <si>
    <t>康盛股份</t>
  </si>
  <si>
    <t>三元达</t>
  </si>
  <si>
    <t>天虹商场</t>
  </si>
  <si>
    <t>毅昌股份</t>
  </si>
  <si>
    <t>常发股份</t>
  </si>
  <si>
    <t>卧龙电气</t>
  </si>
  <si>
    <t>爱施德</t>
  </si>
  <si>
    <t>海康威视</t>
  </si>
  <si>
    <t>荃银高科</t>
  </si>
  <si>
    <t>银之杰</t>
  </si>
  <si>
    <t>长信科技</t>
  </si>
  <si>
    <t>康芝药业</t>
  </si>
  <si>
    <t>公创业板首发招股说明书（申报稿）</t>
  </si>
  <si>
    <t>汉森制药</t>
  </si>
  <si>
    <t>九九久</t>
  </si>
  <si>
    <t>雅克科技</t>
  </si>
  <si>
    <t>广联达</t>
  </si>
  <si>
    <t>奥克股份</t>
  </si>
  <si>
    <t>劲胜股份</t>
  </si>
  <si>
    <t>新大新材</t>
  </si>
  <si>
    <t>海默科技</t>
  </si>
  <si>
    <t>恒信移动</t>
  </si>
  <si>
    <t>齐翔腾达</t>
  </si>
  <si>
    <t>多氟多</t>
  </si>
  <si>
    <t>远东传动</t>
  </si>
  <si>
    <t>四维图新</t>
  </si>
  <si>
    <t>招股说明书确认函</t>
  </si>
  <si>
    <t>陕鼓动力</t>
  </si>
  <si>
    <t>和而泰</t>
  </si>
  <si>
    <t>爱仕达</t>
  </si>
  <si>
    <t>嘉欣丝绸</t>
  </si>
  <si>
    <t>省广股份</t>
  </si>
  <si>
    <t>海普瑞</t>
  </si>
  <si>
    <t>交技发展</t>
  </si>
  <si>
    <t>建研集团</t>
  </si>
  <si>
    <t>山东省尤洛卡自动化装备股份有限公司创业板首发招股说明书（申报稿）</t>
  </si>
  <si>
    <t>数码视讯</t>
  </si>
  <si>
    <t>宁波GQY</t>
  </si>
  <si>
    <t>国民技术</t>
  </si>
  <si>
    <t>中瑞思创</t>
  </si>
  <si>
    <t>梦洁家纺</t>
  </si>
  <si>
    <t>双象股份</t>
  </si>
  <si>
    <t>三聚环保</t>
  </si>
  <si>
    <t>数字政通</t>
  </si>
  <si>
    <t>联发股份</t>
  </si>
  <si>
    <t>当升科技</t>
  </si>
  <si>
    <t>华平股份</t>
  </si>
  <si>
    <t>力生制药</t>
  </si>
  <si>
    <t>北京利尔</t>
  </si>
  <si>
    <t>碧水源</t>
  </si>
  <si>
    <t>金利华电</t>
  </si>
  <si>
    <t>安诺其</t>
  </si>
  <si>
    <t>南都电源</t>
  </si>
  <si>
    <t>华谊嘉信</t>
  </si>
  <si>
    <t>江苏金通灵风机股份有限公司创业板首发招股说明书（申报稿）</t>
  </si>
  <si>
    <t>信邦制药</t>
  </si>
  <si>
    <t>首次公开发行股票招股说明书附录</t>
  </si>
  <si>
    <t>长青股份</t>
  </si>
  <si>
    <t>南洋科技</t>
  </si>
  <si>
    <t>昊华能源</t>
  </si>
  <si>
    <t>黑牛食品</t>
  </si>
  <si>
    <t>新亚制程</t>
  </si>
  <si>
    <t>东山精密</t>
  </si>
  <si>
    <t>重庆水务</t>
  </si>
  <si>
    <t>首次公开发行A股招股说明书</t>
  </si>
  <si>
    <t>大北农</t>
  </si>
  <si>
    <t>天原集团</t>
  </si>
  <si>
    <t>蓝帆股份</t>
  </si>
  <si>
    <t>合众思壮</t>
  </si>
  <si>
    <t>双箭股份</t>
  </si>
  <si>
    <t>科远股份</t>
  </si>
  <si>
    <t>鲁丰股份</t>
  </si>
  <si>
    <t>章源钨业</t>
  </si>
  <si>
    <t>三川股份</t>
  </si>
  <si>
    <t>豫金刚石</t>
  </si>
  <si>
    <t>上海华平信息技术股份有限公司创业板首发招股说明书（申报稿）</t>
  </si>
  <si>
    <t>天龙集团</t>
  </si>
  <si>
    <t>海兰信</t>
  </si>
  <si>
    <t>新北洋</t>
  </si>
  <si>
    <t>亚厦股份</t>
  </si>
  <si>
    <t>国创高新</t>
  </si>
  <si>
    <t>康耐特</t>
  </si>
  <si>
    <t>中能电气</t>
  </si>
  <si>
    <t>东方财富</t>
  </si>
  <si>
    <t>视讯股份有限公司创业板首发招股说明书（申报稿）</t>
  </si>
  <si>
    <t>丽鹏股份</t>
  </si>
  <si>
    <t>联信永益</t>
  </si>
  <si>
    <t>伟星新材</t>
  </si>
  <si>
    <t>亚太药业</t>
  </si>
  <si>
    <t>七星电子</t>
  </si>
  <si>
    <t>卓翼科技</t>
  </si>
  <si>
    <t>康力电梯</t>
  </si>
  <si>
    <t>丹甫股份</t>
  </si>
  <si>
    <t>太极股份</t>
  </si>
  <si>
    <t>广东棕榈园林股份有限公司首发招股说明书(申报稿)</t>
  </si>
  <si>
    <t>赤天化</t>
  </si>
  <si>
    <t>增发A股招股说明书</t>
  </si>
  <si>
    <t>华泰证券</t>
  </si>
  <si>
    <t>中原特钢股份有限公司首发招股说明书（申报稿）</t>
  </si>
  <si>
    <t>鑫圆锗业</t>
  </si>
  <si>
    <t>云南临沧鑫圆锗业股份有限公司首发招股说明书（申报稿）</t>
  </si>
  <si>
    <t>龙星化工股份有限公司首发招股说明书（申报稿）</t>
  </si>
  <si>
    <t>贵州百灵企业集团制药股份有限公司首发招股说明书（申报稿）</t>
  </si>
  <si>
    <t>滨化股份</t>
  </si>
  <si>
    <t>永安药业</t>
  </si>
  <si>
    <t>中恒电气</t>
  </si>
  <si>
    <t>隆基机械</t>
  </si>
  <si>
    <t>汉王科技</t>
  </si>
  <si>
    <t>神剑股份</t>
  </si>
  <si>
    <t>同德化工</t>
  </si>
  <si>
    <t>中国一重</t>
  </si>
  <si>
    <t>招股说明书(申报稿)</t>
  </si>
  <si>
    <t>蓝色光标</t>
  </si>
  <si>
    <t>万邦达</t>
  </si>
  <si>
    <t>三维丝</t>
  </si>
  <si>
    <t>万顺股份</t>
  </si>
  <si>
    <t>鼎龙股份</t>
  </si>
  <si>
    <t>中青宝</t>
  </si>
  <si>
    <t>三五互联</t>
  </si>
  <si>
    <t>二重重装</t>
  </si>
  <si>
    <t>欧比特</t>
  </si>
  <si>
    <t>森源电气</t>
  </si>
  <si>
    <t>齐星铁塔</t>
  </si>
  <si>
    <t>富临运业</t>
  </si>
  <si>
    <t>太安堂</t>
  </si>
  <si>
    <t>广东皮宝制药股份有限公司首发招股说明书（申报稿）</t>
  </si>
  <si>
    <t>中国西电</t>
  </si>
  <si>
    <t>浩宁达</t>
  </si>
  <si>
    <t>兴民钢圈</t>
  </si>
  <si>
    <t>科冕木业</t>
  </si>
  <si>
    <t>湖南汉森制药股份有限公司首发招股说明书（申报稿）</t>
  </si>
  <si>
    <t>江苏九九久科技股份有限公司首发招股说明书（申报稿）</t>
  </si>
  <si>
    <t>鼎泰新材</t>
  </si>
  <si>
    <t>漫步者</t>
  </si>
  <si>
    <t>杰瑞股份</t>
  </si>
  <si>
    <t>文峰连锁</t>
  </si>
  <si>
    <t>文峰大世界连锁发展股份有限公司首发招股说明书（申报稿）</t>
  </si>
  <si>
    <t>正泰电器</t>
  </si>
  <si>
    <t>精华制药</t>
  </si>
  <si>
    <t>高乐股份</t>
  </si>
  <si>
    <t>北京科锐</t>
  </si>
  <si>
    <t>皖新传媒</t>
  </si>
  <si>
    <t>泰尔重工</t>
  </si>
  <si>
    <t>柘中建设</t>
  </si>
  <si>
    <t>潮宏基</t>
  </si>
  <si>
    <t>中海科技</t>
  </si>
  <si>
    <t>上海交技发展股份有限公司首发招股说明书（申报稿）</t>
  </si>
  <si>
    <t>禾欣股份</t>
  </si>
  <si>
    <t>海宁皮城</t>
  </si>
  <si>
    <t>巨力索具</t>
  </si>
  <si>
    <t>积成电子</t>
  </si>
  <si>
    <t>格林美</t>
  </si>
  <si>
    <t>新纶科技</t>
  </si>
  <si>
    <t>台基股份</t>
  </si>
  <si>
    <t>华力创通</t>
  </si>
  <si>
    <t>福瑞股份</t>
  </si>
  <si>
    <t>赛为智能</t>
  </si>
  <si>
    <t>天源迪科</t>
  </si>
  <si>
    <t>中国化学</t>
  </si>
  <si>
    <t>合康变频</t>
  </si>
  <si>
    <t>世纪鼎利</t>
  </si>
  <si>
    <t>星辉车模</t>
  </si>
  <si>
    <t>奥普光电</t>
  </si>
  <si>
    <t>赛象科技</t>
  </si>
  <si>
    <t>科华恒盛</t>
  </si>
  <si>
    <t>英威腾</t>
  </si>
  <si>
    <t>人人乐</t>
  </si>
  <si>
    <t>厦门三维丝环保股份有限公司创业板首发招股说明书（申报稿）</t>
  </si>
  <si>
    <t>罗普斯金</t>
  </si>
  <si>
    <t>仙琚制药</t>
  </si>
  <si>
    <t>洋河股份</t>
  </si>
  <si>
    <t>南国置业</t>
  </si>
  <si>
    <t>西部建设</t>
  </si>
  <si>
    <t>美盈森</t>
  </si>
  <si>
    <t>华谊兄弟</t>
  </si>
  <si>
    <t>吉峰农机</t>
  </si>
  <si>
    <t>红日药业</t>
  </si>
  <si>
    <t>银江股份</t>
  </si>
  <si>
    <t>机器人</t>
  </si>
  <si>
    <t>宝德股份</t>
  </si>
  <si>
    <t>华星创业</t>
  </si>
  <si>
    <t>大禹节水</t>
  </si>
  <si>
    <t>金亚科技</t>
  </si>
  <si>
    <t>中元华电</t>
  </si>
  <si>
    <t>硅宝科技</t>
  </si>
  <si>
    <t>网宿科技</t>
  </si>
  <si>
    <t>新宁物流</t>
  </si>
  <si>
    <t>亿纬锂能</t>
  </si>
  <si>
    <t>爱尔眼科</t>
  </si>
  <si>
    <t>华测检测</t>
  </si>
  <si>
    <t>北陆药业</t>
  </si>
  <si>
    <t>鼎汉技术</t>
  </si>
  <si>
    <t>齐心文具</t>
  </si>
  <si>
    <t>圣农发展</t>
  </si>
  <si>
    <t>太阳电缆</t>
  </si>
  <si>
    <t>探路者</t>
  </si>
  <si>
    <t>安科生物</t>
  </si>
  <si>
    <t>南风股份</t>
  </si>
  <si>
    <t>汉威电子</t>
  </si>
  <si>
    <t>特锐德</t>
  </si>
  <si>
    <t>立思辰</t>
  </si>
  <si>
    <t>上海佳豪</t>
  </si>
  <si>
    <t>乐普医疗</t>
  </si>
  <si>
    <t>莱美药业</t>
  </si>
  <si>
    <t>博云新材</t>
  </si>
  <si>
    <t>鑫龙电器</t>
  </si>
  <si>
    <t>精艺股份</t>
  </si>
  <si>
    <t>辉煌科技</t>
  </si>
  <si>
    <t>信立泰</t>
  </si>
  <si>
    <t>奥飞动漫</t>
  </si>
  <si>
    <t>禾盛新材</t>
  </si>
  <si>
    <t>星期六</t>
  </si>
  <si>
    <t>宇顺电子</t>
  </si>
  <si>
    <t>超华科技</t>
  </si>
  <si>
    <t>保龄宝</t>
  </si>
  <si>
    <t>奇正藏药</t>
  </si>
  <si>
    <t>亚太股份</t>
  </si>
  <si>
    <t>世联地产</t>
  </si>
  <si>
    <t>天润曲轴</t>
  </si>
  <si>
    <t>博深工具</t>
  </si>
  <si>
    <t>光迅科技</t>
  </si>
  <si>
    <t>新世纪</t>
  </si>
  <si>
    <t>久其软件</t>
  </si>
  <si>
    <t>神开股份</t>
  </si>
  <si>
    <t>家润多</t>
  </si>
  <si>
    <t>万马电缆</t>
  </si>
  <si>
    <t>桂林三金</t>
  </si>
  <si>
    <t>华昌化工</t>
  </si>
  <si>
    <t>川润股份</t>
  </si>
  <si>
    <t>水晶光电</t>
  </si>
  <si>
    <t>东方雨虹</t>
  </si>
  <si>
    <t>建设银行</t>
  </si>
  <si>
    <t>北京银行</t>
  </si>
  <si>
    <t>宁波银行</t>
  </si>
  <si>
    <t>南京银行</t>
  </si>
  <si>
    <t>交通银行</t>
  </si>
  <si>
    <t>中信银行</t>
  </si>
  <si>
    <t>兴业银行</t>
  </si>
  <si>
    <t>新宙邦</t>
  </si>
  <si>
    <t>上海凯宝</t>
  </si>
  <si>
    <t>九洲电气</t>
  </si>
  <si>
    <t>梅泰诺</t>
  </si>
  <si>
    <t>朗科科技</t>
  </si>
  <si>
    <t>回天胶业</t>
  </si>
  <si>
    <t>湖北国创</t>
  </si>
  <si>
    <t>湖北国创高新材料股份有限公司首发招股说明书（申报稿）</t>
  </si>
  <si>
    <t>深圳市佳创视讯技术股份有限公司创业板首发招股说明书（申报稿）</t>
  </si>
  <si>
    <t>宜宾天原</t>
  </si>
  <si>
    <t>宜宾天原集团股份有限公司首发招股说明书(申报稿)</t>
  </si>
  <si>
    <t>皖通科技</t>
  </si>
  <si>
    <t>得利斯</t>
  </si>
  <si>
    <t>中青宝网</t>
  </si>
  <si>
    <t>深圳市中青宝网网络科技股份有限公司创业板首发招股说明书（申报稿）</t>
  </si>
  <si>
    <t>苏州东山</t>
  </si>
  <si>
    <t>苏州东山精密制造股份有限公司首发招股说明书（申报稿）</t>
  </si>
  <si>
    <t>北京大北农科技集团股份有限公司首发招股说明书（申报稿）</t>
  </si>
  <si>
    <t>皇氏乳业</t>
  </si>
  <si>
    <t>厦门三五互联科技股份有限公司创业板首发招股说明书（申报稿）</t>
  </si>
  <si>
    <t>深圳海联讯科技股份有限公司创业板首发招股说明书（申报稿）</t>
  </si>
  <si>
    <t>北京利尔高温材料股份有限公司首发招股说明书（申报稿）</t>
  </si>
  <si>
    <t>华西能源工业股份有限公司首发招股说明书（申报稿）</t>
  </si>
  <si>
    <t>深圳达实智能股份有限公司首发招股说明书（申报稿）</t>
  </si>
  <si>
    <t>蓝帆塑胶</t>
  </si>
  <si>
    <t>山东蓝帆塑胶股份有限公司首发招股说明书(申报稿)</t>
  </si>
  <si>
    <t>新朋股份</t>
  </si>
  <si>
    <t>富安娜</t>
  </si>
  <si>
    <t>山东隆基机械股份有限公司首发招股说明书（申报稿）</t>
  </si>
  <si>
    <t>北京合众思壮科技股份有限公司首发招股说明书（申报稿）</t>
  </si>
  <si>
    <t>鲁丰铝箔</t>
  </si>
  <si>
    <t>山东鲁丰铝箔股份有限公司首发招股说明书（申报稿）</t>
  </si>
  <si>
    <t>超图软件</t>
  </si>
  <si>
    <t>宝通带业</t>
  </si>
  <si>
    <t>金龙机电</t>
  </si>
  <si>
    <t>天龙光电</t>
  </si>
  <si>
    <t>钢研高纳</t>
  </si>
  <si>
    <t>中科电气</t>
  </si>
  <si>
    <t>中国重工</t>
  </si>
  <si>
    <t>中国重工首次公开发行A股股票招股说明书</t>
  </si>
  <si>
    <t>同花顺</t>
  </si>
  <si>
    <t>阳普医疗</t>
  </si>
  <si>
    <t>广东星辉车模股份有限公司创业板首发招股说明书（申报稿）</t>
  </si>
  <si>
    <t>鼎利通信</t>
  </si>
  <si>
    <t>珠海世纪鼎利通信科技股份有限公司创业板首发招股说明书（申报稿）</t>
  </si>
  <si>
    <t>深圳市赛为智能股份有限公司创业板首发招股说明书（申报稿）</t>
  </si>
  <si>
    <t>湖北台基半导体股份有限公司创业板首发招股说明书（申报稿）</t>
  </si>
  <si>
    <t>中国第一重型机械股份公司首发招股说明书（申报稿）</t>
  </si>
  <si>
    <t>崇义章源钨业股份有限公司首发招股说明书（申报稿）</t>
  </si>
  <si>
    <t>湖南梦洁家纺股份有限公司首发招股说明书（申报稿）</t>
  </si>
  <si>
    <t>山东新北洋信息技术股份有限公司首发招股说明书（申报稿）</t>
  </si>
  <si>
    <t>洪涛股份</t>
  </si>
  <si>
    <t>中国太保</t>
  </si>
  <si>
    <t>中国太保关于刊发H股招股说明书、H股发行价格区间及H股香港公开发售等相关事宜的公告</t>
  </si>
  <si>
    <t>永太科技</t>
  </si>
  <si>
    <t>理工监测</t>
  </si>
  <si>
    <t>中联电气</t>
  </si>
  <si>
    <t>首次公开发行股票(A股)招股说明书</t>
  </si>
  <si>
    <t>合康亿盛</t>
  </si>
  <si>
    <t>北京合康亿盛变频科技股份有限公司创业板首发招股说明书（申报稿）</t>
  </si>
  <si>
    <t>南京科远</t>
  </si>
  <si>
    <t>南京科远自动化集团股份有限公司首发招股说明书（申报稿）</t>
  </si>
  <si>
    <t>集安益盛</t>
  </si>
  <si>
    <t>吉林省集安益盛药业股份有限公司首发招股说明书（申报稿）</t>
  </si>
  <si>
    <t>普利特</t>
  </si>
  <si>
    <t>北京联信永益科技股份有限公司首发招股说明书（申报稿）</t>
  </si>
  <si>
    <t>浙江伟星新型建材股份有限公司招股说明书（申报稿）</t>
  </si>
  <si>
    <t>深圳市朗科科技股份有限公司创业板首发招股说明书（申报稿）</t>
  </si>
  <si>
    <t>二重装备</t>
  </si>
  <si>
    <t>二重集团（德阳）重型装备股份有限公司首发招股说明书（申报稿)</t>
  </si>
  <si>
    <t>内蒙古福瑞中蒙药科技股份有限公司创业板首发招股说明书（申报稿）</t>
  </si>
  <si>
    <t>深圳天源迪科信息技术股份有限公司创业板首发招股说明书（申报稿）</t>
  </si>
  <si>
    <t>北京华力创通科技股份有限公司创业板首发招股说明书（申报稿）</t>
  </si>
  <si>
    <t>北京七星华创电子股份首发招股说明书(申报稿)</t>
  </si>
  <si>
    <t>山东丽鹏股份有限公司首次公开发行股票招股说明书（申报稿）</t>
  </si>
  <si>
    <t>太极计算机股份有限公司首发招股说明书（申报稿）</t>
  </si>
  <si>
    <t>华英农业</t>
  </si>
  <si>
    <t>海峡股份</t>
  </si>
  <si>
    <t>凯宝药业</t>
  </si>
  <si>
    <t>上海凯宝药业股份有限公司创业板首发招股说明书（申报稿）</t>
  </si>
  <si>
    <t>安徽神剑新材料股份有限公司首发招股说明书（申报稿）</t>
  </si>
  <si>
    <t>中国西电电气股份有限公司首发招股说明书（申报稿）</t>
  </si>
  <si>
    <t>康力电梯股份有限公司首发招股说明书（申报稿）</t>
  </si>
  <si>
    <t>四川丹甫制冷压缩机股份有限公司首发招股说明书（申报稿）</t>
  </si>
  <si>
    <t>乐通股份</t>
  </si>
  <si>
    <t>众生药业</t>
  </si>
  <si>
    <t>久立特材</t>
  </si>
  <si>
    <t>杭州中恒电气股份有限公司首发招股说明书（申报稿）</t>
  </si>
  <si>
    <t>山西同德化工股份有限公司首发招股说明书（申报稿）</t>
  </si>
  <si>
    <t>赛轮股份有限公司创业板首发招股说明书（申报稿）</t>
  </si>
  <si>
    <t>哈尔滨九洲电气股份有限公司创业板首发招股说明书(申报稿)</t>
  </si>
  <si>
    <t>深圳市卓翼科技股份有限公司首发招股说明书(申报稿)</t>
  </si>
  <si>
    <t>华泰证券股份有限公司首发招股说明书（申报稿）</t>
  </si>
  <si>
    <t>焦点科技</t>
  </si>
  <si>
    <t>键桥通讯</t>
  </si>
  <si>
    <t>浙江亚太药业股份有限公司首发招股说明书（申报稿）</t>
  </si>
  <si>
    <t>亚厦装饰</t>
  </si>
  <si>
    <t>浙江亚厦装饰股份有限公司首发招股说明书（申报稿）</t>
  </si>
  <si>
    <t>雅致股份</t>
  </si>
  <si>
    <t>三泰电子</t>
  </si>
  <si>
    <t>日海通讯</t>
  </si>
  <si>
    <t>北京梅泰诺通信技术股份有限公司创业板首发招股说明书（申报稿）</t>
  </si>
  <si>
    <t>百川化工</t>
  </si>
  <si>
    <t>无锡百川化工股份有限公司首发招股说明书（申报稿）</t>
  </si>
  <si>
    <t>四川富临运业集团股份有限公司首发招股说明书（申报稿）</t>
  </si>
  <si>
    <t>湖北回天胶业股份有限公司创业板首发招股说明书（申报稿）</t>
  </si>
  <si>
    <t>深圳新宙邦科技股份有限公司创业板首发招股说明书（申报稿）</t>
  </si>
  <si>
    <t>河南森源电气股份有限公司首发招股说明书(申报稿)</t>
  </si>
  <si>
    <t>凯美特</t>
  </si>
  <si>
    <t>湖南凯美特气体股份有限公司首发招股说明书（申报稿）</t>
  </si>
  <si>
    <t>东方园林</t>
  </si>
  <si>
    <t>广州阳普医疗科技股份有限公司创业板首发招股说明书（申报稿）</t>
  </si>
  <si>
    <t>北京超图软件股份有限公司创业板首发招股说明书（申报稿）</t>
  </si>
  <si>
    <t>安徽桑乐金股份有限公司创业板首发招股说明书（申报稿）</t>
  </si>
  <si>
    <t>海大集团</t>
  </si>
  <si>
    <t>湖南中科电气股份有限公司创业板首发招股说明书（申报稿）</t>
  </si>
  <si>
    <t>山东齐星铁塔科技股份有限公司首发招股说明书（申报稿）</t>
  </si>
  <si>
    <t>招商证券</t>
  </si>
  <si>
    <t>招商证券首次公开发行股票招股说明书</t>
  </si>
  <si>
    <t>大连科冕木业股份有限公司首发招股说明书（申报稿）</t>
  </si>
  <si>
    <t>华盛天龙</t>
  </si>
  <si>
    <t>江苏华盛天龙光电设备股份有限公司创业板首发招股说明书（申报稿）</t>
  </si>
  <si>
    <t>山东兴民钢圈股份有限公司首发招股说明书（申报稿）</t>
  </si>
  <si>
    <t>威创股份</t>
  </si>
  <si>
    <t>中利科技</t>
  </si>
  <si>
    <t>民生银行</t>
  </si>
  <si>
    <t>民生银行关于刊发H股招股说明书、H股发行价格区间及H股香港公开发售等相关事宜的公告</t>
  </si>
  <si>
    <t>烟台杰瑞</t>
  </si>
  <si>
    <t>烟台杰瑞石油服务集团股份有限公司首发招股说明书(申报稿)</t>
  </si>
  <si>
    <t>江西恒大高新技术股份有限公司创业板首发招股说明书（申报稿）</t>
  </si>
  <si>
    <t>深圳市漫步者科技股份有限公司首发招股说明书（申报稿）</t>
  </si>
  <si>
    <t>马鞍山鼎泰稀土新材料股份有限公司首发招股说明书（申报稿）</t>
  </si>
  <si>
    <t>北京钢研高纳科技股份有限公司创业板首发招股说明书（申报稿）</t>
  </si>
  <si>
    <t>金龙机电股份有限公司创业板首发招股说明书（申报稿）</t>
  </si>
  <si>
    <t>浙江双箭橡胶股份有限公司首发招股说明书（申报稿）</t>
  </si>
  <si>
    <t>广东高乐玩具股份有限公司首发招股说明书（申报稿）</t>
  </si>
  <si>
    <t>安徽泰尔重工股份有限公司首发招股说明书(申报稿)</t>
  </si>
  <si>
    <t>上海柘中建设股份有限公司首发招股说明书（申报稿）</t>
  </si>
  <si>
    <t>湘鄂情</t>
  </si>
  <si>
    <t>北新路桥</t>
  </si>
  <si>
    <t>北新路桥首次公开发行股票招股说明书</t>
  </si>
  <si>
    <t>禾欣实业</t>
  </si>
  <si>
    <t>浙江禾欣实业集团股份有限公司首发招股说明书（申报稿）</t>
  </si>
  <si>
    <t>广东潮宏基实业股份有限公司首发招股说明书（申报稿）</t>
  </si>
  <si>
    <t>浙江核新同花顺网络信息股份有限公司创业板首发招股说明书（申报稿）</t>
  </si>
  <si>
    <t>安徽省司尔特肥业股份有限公司首发招股说明书（申报稿）</t>
  </si>
  <si>
    <t>无锡宝通带业股份有限公司创业板首发招股说明书（申报稿）</t>
  </si>
  <si>
    <t>巨力索具股份有限公司首发招股说明书(申报稿)</t>
  </si>
  <si>
    <t>北京福星晓程电子科技股份有限公司创业板首发招股说明书（申报稿）</t>
  </si>
  <si>
    <t>海宁皮革</t>
  </si>
  <si>
    <t>海宁中国皮革城股份有限公司首发招股说明书（申报稿）</t>
  </si>
  <si>
    <t>深圳市新纶科技股份有限公司首发招股说明书（申报稿）</t>
  </si>
  <si>
    <t>积成电子股份有限公司首发招股说明书（申报稿）</t>
  </si>
  <si>
    <t>上海徐家汇商城股份有限公司首发招股说明书（申报稿）</t>
  </si>
  <si>
    <t>深圳市格林美高新技术股份有限公司首发招股说明书（申报稿）</t>
  </si>
  <si>
    <t>长春奥普光电技术股份有限公司首发招股说明书（申报稿）</t>
  </si>
  <si>
    <t>厦门科华恒盛股份有限公司首发招股说明书(申报稿)</t>
  </si>
  <si>
    <t>天津赛象科技股份有限公司首发招股说明书（申报稿）</t>
  </si>
  <si>
    <t>人人乐连锁商业集团股份有限公司首发招股说明书（申报稿）</t>
  </si>
  <si>
    <t>深圳英威腾电气股份有限公司首发招股说明书（申报稿）</t>
  </si>
  <si>
    <t>浙江仙琚制药股份有限公司首发招股说明书（申报稿）</t>
  </si>
  <si>
    <t>苏州罗普斯金铝业股份有限公司首发招股说明书（申报稿）</t>
  </si>
  <si>
    <t>广西皇氏甲天下乳业股份有限公司首发招股说明书（申报稿）</t>
  </si>
  <si>
    <t>山东得利斯食品股份有限公司首发招股说明书（申报稿）</t>
  </si>
  <si>
    <t>江苏中联电气股份有限公司首发招股说明书（申报稿）</t>
  </si>
  <si>
    <t>浙江永太科技股份有限公司首发招股说明书（申报稿）</t>
  </si>
  <si>
    <t>宁波理工监测科技股份有限公司首发招股说明书（申报稿）</t>
  </si>
  <si>
    <t>上海普利特复合材料股份有限公司首发招股说明书（申报稿）</t>
  </si>
  <si>
    <t>天津红日药业股份有限公司创业板首发招股说明书（申报稿）</t>
  </si>
  <si>
    <t>兄弟传媒</t>
  </si>
  <si>
    <t>华谊兄弟传媒股份有限公司创业板首发招股说明书（申报稿）</t>
  </si>
  <si>
    <t>华星股份</t>
  </si>
  <si>
    <t>杭州华星创业通信技术股份有限公司创业板首发招股说明书（申报稿）</t>
  </si>
  <si>
    <t>成都金亚科技股份有限公司创业板首发招股说明书（申报稿）</t>
  </si>
  <si>
    <t>甘肃大禹节水股份有限公司创业板首发招股说明书（申报稿）</t>
  </si>
  <si>
    <t>银江电子</t>
  </si>
  <si>
    <t>浙江银江电子股份有限公司创业板首发招股说明书（申报稿）</t>
  </si>
  <si>
    <t>新松机器人</t>
  </si>
  <si>
    <t>沈阳新松机器人自动化股份有限公司创业板首发招股说明书（申报稿）</t>
  </si>
  <si>
    <t>成都硅宝</t>
  </si>
  <si>
    <t>成都硅宝科技股份有限公司创业板首发招股说明书（申报稿）</t>
  </si>
  <si>
    <t>四川吉峰农机连锁股份有限公司创业板首发招股说明书（申报稿）</t>
  </si>
  <si>
    <t>华谊股份</t>
  </si>
  <si>
    <t>北京华谊嘉信整合营销顾问股份有限公司创业板首发招股说明书（申报稿）</t>
  </si>
  <si>
    <t>上海网宿科技股份有限公司创业板首发招股说明书（申报稿）</t>
  </si>
  <si>
    <t>浙江正泰电器股份有限公司首发招股说明书（申报稿）</t>
  </si>
  <si>
    <t>爱尔眼科医院集团股份有限公司创业板首发招股说明书（申报稿）</t>
  </si>
  <si>
    <t>海峡航运</t>
  </si>
  <si>
    <t>海南海峡航运股份有限公司首发招股说明书（申报稿）</t>
  </si>
  <si>
    <t>深圳市华测检测技术股份有限公司创业板首发招股说明书（申报稿）</t>
  </si>
  <si>
    <t>西安宝德自动化股份有限公司创业板首发招股说明书（申报稿）</t>
  </si>
  <si>
    <t>新朋实业</t>
  </si>
  <si>
    <t>上海新朋实业股份有限公司首发招股说明书（申报稿）</t>
  </si>
  <si>
    <t>安徽新华传媒股份有限公司首发招股说明书（申报稿）</t>
  </si>
  <si>
    <t>北京北陆药业股份有限公司创业板首发招股说明书（申报稿）</t>
  </si>
  <si>
    <t>华电科技</t>
  </si>
  <si>
    <t>武汉中元华电科技股份有限公司创业板首发招股说明书（申报稿）</t>
  </si>
  <si>
    <t>惠州亿纬锂能股份有限公司创业板首发招股说明书（申报稿）</t>
  </si>
  <si>
    <t>河南汉威电子股份有限公司创业板首发招股说明书（申报稿）</t>
  </si>
  <si>
    <t>北京探路者户外用品股份有限公司创业板首发招股说明书（申报稿）</t>
  </si>
  <si>
    <t>江苏新宁现代物流股份有限公司创业板首发招股说明书（申报稿）</t>
  </si>
  <si>
    <t>安徽安科生物工程（集团）股份有限公司创业板首发招股说明书（申报稿）</t>
  </si>
  <si>
    <t>北京鼎汉技术股份有限公司创业板首发招股说明书（申报稿）</t>
  </si>
  <si>
    <t>南方风机</t>
  </si>
  <si>
    <t>南方风机股份有限公司创业板首发招股说明书（申报稿）</t>
  </si>
  <si>
    <t>佳豪船舶</t>
  </si>
  <si>
    <t>上海佳豪船舶工程设计股份有限公司创业板首发招股说明书(申报稿)</t>
  </si>
  <si>
    <t>特锐德电气</t>
  </si>
  <si>
    <t>青岛特锐德电气股份有限公司创业板首发招股说明书(申报稿)</t>
  </si>
  <si>
    <t>神州泰岳</t>
  </si>
  <si>
    <t>北京神州泰岳软件股份有限公司创业板首发招股说明书(申报稿)</t>
  </si>
  <si>
    <t>北京立思辰科技股份有限公司创业板首发招股说明书(申报稿)</t>
  </si>
  <si>
    <t>乐普（北京）医疗器械股份有限公司创业板首发招股说明书(申报稿)</t>
  </si>
  <si>
    <t>重庆莱美药业股份有限公司创业板首发招股说明书(申报稿)</t>
  </si>
  <si>
    <t>安徽皖通科技股份有限公司首发招股说明书（申报稿）</t>
  </si>
  <si>
    <t>洪涛装饰</t>
  </si>
  <si>
    <t>深圳市洪涛装饰股份有限公司首发招股说明书（申报稿）</t>
  </si>
  <si>
    <t>福建榕基软件股份有限公司首发招股说明书（申报稿）</t>
  </si>
  <si>
    <t>河南华英农业发展股份有限公司首发招股说明书（申报稿）</t>
  </si>
  <si>
    <t>乐通化工</t>
  </si>
  <si>
    <t>珠海市乐通化工股份有限公司首发招股说明书（申报稿）</t>
  </si>
  <si>
    <t>广东众生药业股份有限公司首发招股说明书（申报稿）</t>
  </si>
  <si>
    <t>富安娜家</t>
  </si>
  <si>
    <t>久立科技</t>
  </si>
  <si>
    <t>罗莱家纺</t>
  </si>
  <si>
    <t>罗莱家纺首次公开发行股票招股说明书</t>
  </si>
  <si>
    <t>中国化学工程股份有限公司首发招股说明书（申报稿）</t>
  </si>
  <si>
    <t>深圳浩宁达仪表股份有限公司首发招股说明书（申报稿）</t>
  </si>
  <si>
    <t>雅致集成</t>
  </si>
  <si>
    <t>雅致集成房屋股份有限公司首发招股说明书（申报稿）</t>
  </si>
  <si>
    <t>中国中冶</t>
  </si>
  <si>
    <t>株洲天桥</t>
  </si>
  <si>
    <t>株洲天桥起重机股份有限公司首发招股说明书（申报稿）</t>
  </si>
  <si>
    <t>成都三泰电子实业股份有限公司首发招股说明书申报稿</t>
  </si>
  <si>
    <t>广东海大集团股份有限公司首发招股说明书（申报稿）</t>
  </si>
  <si>
    <t>中国北车股份有限公司首发招股说明书（申报稿）</t>
  </si>
  <si>
    <t>燃气集团</t>
  </si>
  <si>
    <t>深圳市燃气集团股份有限公司首发招股说明书（申报稿）</t>
  </si>
  <si>
    <t>中利科技集团股份有限公司首发招股说明书（申报稿）</t>
  </si>
  <si>
    <t>北京东方园林股份有限公司首发招股说明书（申报稿）</t>
  </si>
  <si>
    <t>威创科技</t>
  </si>
  <si>
    <t>广东威创视讯科技股份有限公司首发招股说明书（申报稿）</t>
  </si>
  <si>
    <t>潜江永安药业股份有限公司首次公开发行股票招股说明书（申报稿）</t>
  </si>
  <si>
    <t>洋河酒厂</t>
  </si>
  <si>
    <t>洋河酒厂股份有限公司首发招股说明书（申报稿）</t>
  </si>
  <si>
    <t>浙江永强集团股份有限公司首发招股说明书(申报稿)</t>
  </si>
  <si>
    <t>中国国旅</t>
  </si>
  <si>
    <t>上海超日</t>
  </si>
  <si>
    <t>上海超日太阳能科技股份有限公司首发招股说明书（申报稿）</t>
  </si>
  <si>
    <t>上海电气</t>
  </si>
  <si>
    <t>上海电气首次公开发行A股招股说明书暨换股吸收合并上海输配电股份有限公司报告书</t>
  </si>
  <si>
    <t>上海电气首次公开发行A股招股说明书暨换股吸收合并上海输配电股份有限公司报告书附录</t>
  </si>
  <si>
    <t>济南钢铁</t>
  </si>
  <si>
    <t>济南钢铁公开增发A股招股说明书</t>
  </si>
  <si>
    <t>博云股份</t>
  </si>
  <si>
    <t>湖南博云新材料股份有限公司首发招股说明书(申报稿)</t>
  </si>
  <si>
    <t>招商证券股份有限公司首发招股说明书(申报稿)</t>
  </si>
  <si>
    <t>深圳信立泰药业股份有限公司首发招股说明书(申报稿)</t>
  </si>
  <si>
    <t>罗莱家纺股份有限公司首发招股说明书(申报稿)</t>
  </si>
  <si>
    <t>广东奥飞动漫文化股份有限公司招股说明书(申报稿)</t>
  </si>
  <si>
    <t>星期六鞋业</t>
  </si>
  <si>
    <t>佛山星期六鞋业股份有限公司首发招股说明书(申报稿)</t>
  </si>
  <si>
    <t>南平电缆</t>
  </si>
  <si>
    <t>福建南平太阳电缆股份有限公司首发招股说明书(申报稿)</t>
  </si>
  <si>
    <t>法因数控</t>
  </si>
  <si>
    <t>河南辉煌</t>
  </si>
  <si>
    <t>河南辉煌科技股份有限公司首发招股说明书(申报稿)</t>
  </si>
  <si>
    <t>精艺金属</t>
  </si>
  <si>
    <t>广东精艺金属股份有限公司首发招股说明书(申报稿)</t>
  </si>
  <si>
    <t>美邦服饰</t>
  </si>
  <si>
    <t>禾盛材料</t>
  </si>
  <si>
    <t>苏州禾盛新型材料股份有限公司首次发行股票招股说明书(申报稿)</t>
  </si>
  <si>
    <t>深圳市宇顺电子股份有限公司首次公开发行股票招股说明书(申报稿)</t>
  </si>
  <si>
    <t>广东超华科技股份有限公司首发招股说明书(申报稿)</t>
  </si>
  <si>
    <t>奇正藏药股份有限公司首发招股说明书(申报稿)</t>
  </si>
  <si>
    <t>保龄宝生物股份有限公司首发招股说明书(申报稿)</t>
  </si>
  <si>
    <t>武汉光迅科技股份有限公司首发招股说明书(申报稿)</t>
  </si>
  <si>
    <t>世联顾问</t>
  </si>
  <si>
    <t>深圳世联地产顾问股份有限公司首发招股说明书(申报稿)</t>
  </si>
  <si>
    <t>陕天然气</t>
  </si>
  <si>
    <t>卫 士 通</t>
  </si>
  <si>
    <t>北京久其软件股份有限公司首发招股说明书(申报稿)</t>
  </si>
  <si>
    <t>新世纪信息</t>
  </si>
  <si>
    <t>杭州新世纪信息技术股份有限公司首发招股说明书(申报稿)</t>
  </si>
  <si>
    <t>西仪股份</t>
  </si>
  <si>
    <t>首次公开发行股票并上市之招股说明书</t>
  </si>
  <si>
    <t>浙富股份</t>
  </si>
  <si>
    <t>太钢不锈</t>
  </si>
  <si>
    <t>向非特定对象公开发行A股股票招股说明书</t>
  </si>
  <si>
    <t>广州珠江啤酒股份有限公司首发招股说明书(申报稿)</t>
  </si>
  <si>
    <t>盛通印刷</t>
  </si>
  <si>
    <t>北京盛通印刷股份有限公司首发招股说明书(申报稿)</t>
  </si>
  <si>
    <t>新 华 都</t>
  </si>
  <si>
    <t>上海神开石油化工装备股份有限公司首发招股说明书(申报稿)</t>
  </si>
  <si>
    <t>上海电气集团股份有限公司首发招股说明书暨换股吸收合并报告书(申报稿)</t>
  </si>
  <si>
    <t>大 东 南</t>
  </si>
  <si>
    <t>恩华药业</t>
  </si>
  <si>
    <t>拓维信息</t>
  </si>
  <si>
    <t>长城汽车股份有限公司首发A股招股说明书(申报稿)</t>
  </si>
  <si>
    <t>家润多商业股份有限公司首发招股说明书(申报稿)</t>
  </si>
  <si>
    <t>北京神州泰岳软件股份有限公司招股说明书(申报稿)</t>
  </si>
  <si>
    <t>神通阀门</t>
  </si>
  <si>
    <t>江苏神通阀门股份有限公司首发招股说明书(申报稿)</t>
  </si>
  <si>
    <t>升达林业</t>
  </si>
  <si>
    <t>伊 立 浦</t>
  </si>
  <si>
    <t>博深工具股份有限公司首发招股说明书(申报稿)</t>
  </si>
  <si>
    <t>汉王科技股份有限公司首发招股说明书(申报稿)</t>
  </si>
  <si>
    <t>天润曲轴股份有限公司首发招股说明书(申报稿)</t>
  </si>
  <si>
    <t>浙江亚太</t>
  </si>
  <si>
    <t>浙江亚太机电股份有限公司首发招股说明书(申报稿)</t>
  </si>
  <si>
    <t>浙江万马电缆股份有限公司首次公开发行A股股票招股说明书(申报稿)</t>
  </si>
  <si>
    <t>中国南车</t>
  </si>
  <si>
    <t>中国南车股份有限公司首发A股招股说明书(申报稿)</t>
  </si>
  <si>
    <t>光大证券</t>
  </si>
  <si>
    <t>光大证券股份有限公司首发招股说明书(申报稿)</t>
  </si>
  <si>
    <t>利尔化学</t>
  </si>
  <si>
    <t>四川成渝</t>
  </si>
  <si>
    <t>四川成渝高速公路股份有限公司招股说明书(申报稿)</t>
  </si>
  <si>
    <t>锐捷通讯</t>
  </si>
  <si>
    <t>福建星网锐捷通讯股份有限公司首发招股说明书(申报稿)</t>
  </si>
  <si>
    <t>墨龙机械</t>
  </si>
  <si>
    <t>山东墨龙石油机械股份有限公司首发A股招股说明书(申报稿)</t>
  </si>
  <si>
    <t>浙江水晶光电科技股份有限公司首发招股说明书(申报稿)</t>
  </si>
  <si>
    <t>三金药业</t>
  </si>
  <si>
    <t>桂林三金药业股份有限公司首次公开发行股票招股说明书(申报稿)</t>
  </si>
  <si>
    <t>富春江</t>
  </si>
  <si>
    <t>浙江富春江水电设备股份有限公司首发招股说明书(申报稿)</t>
  </si>
  <si>
    <t>四川川润股份有限公司首发招股说明书(申报稿)</t>
  </si>
  <si>
    <t>美特斯邦威</t>
  </si>
  <si>
    <t>上海美特斯邦威服饰股份有限公司首发招股说明书(申报稿)</t>
  </si>
  <si>
    <t>广东盛路通信科技股份有限公司首发招股说明书(申报稿)</t>
  </si>
  <si>
    <t>山东法因数控机械股份有限公司首发招股说明书（申报稿）</t>
  </si>
  <si>
    <t>海陆重工</t>
  </si>
  <si>
    <t>彩虹精化</t>
  </si>
  <si>
    <t>烟台氨纶</t>
  </si>
  <si>
    <t>北京东方雨虹防水技术股份有限公司首发招股说明书(申报稿)</t>
  </si>
  <si>
    <t>上海莱士</t>
  </si>
  <si>
    <t>川大智胜</t>
  </si>
  <si>
    <t>步 步 高</t>
  </si>
  <si>
    <t>联化科技</t>
  </si>
  <si>
    <t>晨鸣纸业</t>
  </si>
  <si>
    <t>大洋电机</t>
  </si>
  <si>
    <t>华东数控</t>
  </si>
  <si>
    <t>陕西天然气</t>
  </si>
  <si>
    <t>陕西省天然气股份有限公司首发招股说明书(申报稿)</t>
  </si>
  <si>
    <t>中国建筑</t>
  </si>
  <si>
    <t>中国建筑股份有限公司首发招股说明书(申报稿)</t>
  </si>
  <si>
    <t>帝龙新材</t>
  </si>
  <si>
    <t>北化股份</t>
  </si>
  <si>
    <t>澳洋顺昌</t>
  </si>
  <si>
    <t>通产丽星</t>
  </si>
  <si>
    <t>滨江集团</t>
  </si>
  <si>
    <t>九阳股份</t>
  </si>
  <si>
    <t>歌尔声学</t>
  </si>
  <si>
    <t>威华股份</t>
  </si>
  <si>
    <t>奥维通信</t>
  </si>
  <si>
    <t>天威视讯</t>
  </si>
  <si>
    <t>金 飞 达</t>
  </si>
  <si>
    <t>恒邦股份</t>
  </si>
  <si>
    <t>赛马实业</t>
  </si>
  <si>
    <t>赛马实业公开增发A股招股说明书</t>
  </si>
  <si>
    <t>民和股份</t>
  </si>
  <si>
    <t>安妮股份</t>
  </si>
  <si>
    <t>塔牌集团</t>
  </si>
  <si>
    <t>启明信息</t>
  </si>
  <si>
    <t>科大讯飞</t>
  </si>
  <si>
    <t>联化科技股份有限公司首发招股说明书(申报稿)</t>
  </si>
  <si>
    <t>新华都</t>
  </si>
  <si>
    <t>福建新华都购物广场股份有限公司招股说明书(申报稿)</t>
  </si>
  <si>
    <t>奥 特 迅</t>
  </si>
  <si>
    <t>合兴包装</t>
  </si>
  <si>
    <t>鸿博股份</t>
  </si>
  <si>
    <t>天虹商场股份有限公司首发招股说明书(申报稿)</t>
  </si>
  <si>
    <t>利尔化学股份有限公司首发招股说明书(申报稿)</t>
  </si>
  <si>
    <t>伊立浦</t>
  </si>
  <si>
    <t>广东伊立浦电器股份有限公司首发招股说明书(申报稿)</t>
  </si>
  <si>
    <t>江苏恩华药业股份有限公司首发招股说明书(申报稿)</t>
  </si>
  <si>
    <t>四川升达林业产业股份有限公司首发招股说明书(申报稿)</t>
  </si>
  <si>
    <t>二重集团（德阳）重型装备股份有限公司首发招股说明书(申报稿)</t>
  </si>
  <si>
    <t>苏州海陆重工股份有限公司首发招股说明书(申报稿)</t>
  </si>
  <si>
    <t>拓维股份</t>
  </si>
  <si>
    <t>湖南拓维信息系统股份有限公司首发招股说明书(申报稿)</t>
  </si>
  <si>
    <t>濮耐股份</t>
  </si>
  <si>
    <t>彩虹化工</t>
  </si>
  <si>
    <t>深圳市彩虹精细化工股份有限公司首发招股说明书(申报稿)</t>
  </si>
  <si>
    <t>步步高</t>
  </si>
  <si>
    <t>步步高商业连锁股份有限公司首发招股说明书(申报稿)</t>
  </si>
  <si>
    <t>江苏华昌化工股份有限公司首发招股说明书(申报稿)</t>
  </si>
  <si>
    <t>二六三网</t>
  </si>
  <si>
    <t>二六三网络通信股份有限公司首发招股说明书(申报稿)</t>
  </si>
  <si>
    <t>四方继保</t>
  </si>
  <si>
    <t>北京四方继保自动化股份有限公司首发招股说明书(申报稿)</t>
  </si>
  <si>
    <t>东南包装</t>
  </si>
  <si>
    <t>浙江大东南包装股份有限公司首发招股说明书(申报稿)</t>
  </si>
  <si>
    <t>河南省中原内配股份有限公司首发招股说明书(申报稿)</t>
  </si>
  <si>
    <t>鱼跃医疗</t>
  </si>
  <si>
    <t>威海华东数控股份有限公司首发招股说明书(申报稿)</t>
  </si>
  <si>
    <t>东华能源</t>
  </si>
  <si>
    <t>天宝股份</t>
  </si>
  <si>
    <t>特尔佳</t>
  </si>
  <si>
    <t>华锐铸钢</t>
  </si>
  <si>
    <t>中泰化学</t>
  </si>
  <si>
    <t>2007年增发新股招股说明书</t>
  </si>
  <si>
    <t>九鼎新材</t>
  </si>
  <si>
    <t>嘉应制药</t>
  </si>
  <si>
    <t>证通电子</t>
  </si>
  <si>
    <t>成飞集成</t>
  </si>
  <si>
    <t>利达光电</t>
  </si>
  <si>
    <t>延华智能</t>
  </si>
  <si>
    <t>江特电机</t>
  </si>
  <si>
    <t>山下湖</t>
  </si>
  <si>
    <t>梅花伞</t>
  </si>
  <si>
    <t>澳洋科技</t>
  </si>
  <si>
    <t>精诚铜业</t>
  </si>
  <si>
    <t>智光电气</t>
  </si>
  <si>
    <t>芭田股份</t>
  </si>
  <si>
    <t>深圳惠程</t>
  </si>
  <si>
    <t>东方锆业</t>
  </si>
  <si>
    <t>莱茵生物</t>
  </si>
  <si>
    <t>红宝丽</t>
  </si>
  <si>
    <t>东力传动</t>
  </si>
  <si>
    <t>常铝股份</t>
  </si>
  <si>
    <t>远望谷</t>
  </si>
  <si>
    <t>斯米克</t>
  </si>
  <si>
    <t>汉钟精机</t>
  </si>
  <si>
    <t>正邦科技</t>
  </si>
  <si>
    <t>报喜鸟</t>
  </si>
  <si>
    <t>通富微电</t>
  </si>
  <si>
    <t>辰州矿业</t>
  </si>
  <si>
    <t>北斗星通</t>
  </si>
  <si>
    <t>广电运通</t>
  </si>
  <si>
    <t>北纬通信</t>
  </si>
  <si>
    <t>西部材料</t>
  </si>
  <si>
    <t>荣盛发展</t>
  </si>
  <si>
    <t>方圆支承</t>
  </si>
  <si>
    <t>宏达经编</t>
  </si>
  <si>
    <t>中核钛白</t>
  </si>
  <si>
    <t>高金食品</t>
  </si>
  <si>
    <t>蓉胜超微</t>
  </si>
  <si>
    <t>东华科技</t>
  </si>
  <si>
    <t>拓邦电子</t>
  </si>
  <si>
    <t>顺络电子</t>
  </si>
  <si>
    <t>实益达</t>
  </si>
  <si>
    <t>安纳达</t>
  </si>
  <si>
    <t>招股说明书</t>
  </si>
  <si>
    <t>东南网架</t>
  </si>
  <si>
    <t>天津普林</t>
  </si>
  <si>
    <t>恒星科技</t>
  </si>
  <si>
    <t>利欧股份</t>
  </si>
  <si>
    <t>沃尔核材</t>
  </si>
  <si>
    <t>中环股份</t>
  </si>
  <si>
    <t>露天煤业</t>
  </si>
  <si>
    <t>银轮股份</t>
  </si>
  <si>
    <t>S湘火炬</t>
  </si>
  <si>
    <t>潍柴动力股份有限公司公开发行A股招股说明书暨换股吸收合并湘火炬汽车集团股份有限公司报告书</t>
  </si>
  <si>
    <t>天邦股份</t>
  </si>
  <si>
    <t>湘潭电化</t>
  </si>
  <si>
    <t>荣信股份</t>
  </si>
  <si>
    <t>天马股份</t>
  </si>
  <si>
    <t>新海股份</t>
  </si>
  <si>
    <t>康强电子</t>
  </si>
  <si>
    <t>东港股份</t>
  </si>
  <si>
    <t>中国海诚</t>
  </si>
  <si>
    <t>三维通信</t>
  </si>
  <si>
    <t>三变科技</t>
  </si>
  <si>
    <t>天润发展</t>
  </si>
  <si>
    <t>公开发行股票招股说明书</t>
  </si>
  <si>
    <t>三钢闽光</t>
  </si>
  <si>
    <t>沧州明珠</t>
  </si>
  <si>
    <t>沃华医药</t>
  </si>
  <si>
    <t>莱宝高科</t>
  </si>
  <si>
    <t>信隆实业</t>
  </si>
  <si>
    <t>广博股份</t>
  </si>
  <si>
    <t>恒宝股份</t>
  </si>
  <si>
    <t>广东鸿图</t>
  </si>
  <si>
    <t>冠福家用</t>
  </si>
  <si>
    <t>海翔药业</t>
  </si>
  <si>
    <t>山河智能</t>
  </si>
  <si>
    <t>南岭民爆</t>
  </si>
  <si>
    <t>浔兴股份</t>
  </si>
  <si>
    <t>万丰奥威</t>
  </si>
  <si>
    <t>新海宜</t>
  </si>
  <si>
    <t>标题</t>
    <phoneticPr fontId="2" type="noConversion"/>
  </si>
  <si>
    <t>公告网页链接（万得）</t>
    <phoneticPr fontId="2" type="noConversion"/>
  </si>
  <si>
    <t>http://snap.windin.com/ns/bulletin.php?id=68053616&amp;type=1</t>
  </si>
  <si>
    <t>http://snap.windin.com/ns/bulletin.php?id=68053702&amp;type=1</t>
  </si>
  <si>
    <t>http://snap.windin.com/ns/bulletin.php?id=68053700&amp;type=1</t>
  </si>
  <si>
    <t>http://snap.windin.com/ns/bulletin.php?id=68053690&amp;type=1</t>
  </si>
  <si>
    <t>http://snap.windin.com/ns/bulletin.php?id=68029878&amp;type=1</t>
  </si>
  <si>
    <t>http://snap.windin.com/ns/bulletin.php?id=68029880&amp;type=1</t>
  </si>
  <si>
    <t>http://snap.windin.com/ns/bulletin.php?id=67201572&amp;type=1</t>
  </si>
  <si>
    <t>http://snap.windin.com/ns/bulletin.php?id=67192508&amp;type=1</t>
  </si>
  <si>
    <t>http://snap.windin.com/ns/bulletin.php?id=67189402&amp;type=1</t>
  </si>
  <si>
    <t>http://snap.windin.com/ns/bulletin.php?id=67192572&amp;type=1</t>
  </si>
  <si>
    <t>http://snap.windin.com/ns/bulletin.php?id=67192552&amp;type=1</t>
  </si>
  <si>
    <t>http://snap.windin.com/ns/bulletin.php?id=67149414&amp;type=1</t>
  </si>
  <si>
    <t>http://snap.windin.com/ns/bulletin.php?id=67149412&amp;type=1</t>
  </si>
  <si>
    <t>http://snap.windin.com/ns/bulletin.php?id=67108246&amp;type=1</t>
  </si>
  <si>
    <t>http://snap.windin.com/ns/bulletin.php?id=67079172&amp;type=1</t>
  </si>
  <si>
    <t>http://snap.windin.com/ns/bulletin.php?id=67079174&amp;type=1</t>
  </si>
  <si>
    <t>http://snap.windin.com/ns/bulletin.php?id=67079176&amp;type=1</t>
  </si>
  <si>
    <t>http://snap.windin.com/ns/bulletin.php?id=66692758&amp;type=1</t>
  </si>
  <si>
    <t>http://snap.windin.com/ns/bulletin.php?id=67027754&amp;type=1</t>
  </si>
  <si>
    <t>http://snap.windin.com/ns/bulletin.php?id=66496618&amp;type=1</t>
  </si>
  <si>
    <t>http://snap.windin.com/ns/bulletin.php?id=66201586&amp;type=1</t>
  </si>
  <si>
    <t>http://snap.windin.com/ns/bulletin.php?id=66202036&amp;type=1</t>
  </si>
  <si>
    <t>http://snap.windin.com/ns/bulletin.php?id=66193868&amp;type=1</t>
  </si>
  <si>
    <t>http://snap.windin.com/ns/bulletin.php?id=66193870&amp;type=1</t>
  </si>
  <si>
    <t>http://snap.windin.com/ns/bulletin.php?id=66193872&amp;type=1</t>
  </si>
  <si>
    <t>http://snap.windin.com/ns/bulletin.php?id=66193874&amp;type=1</t>
  </si>
  <si>
    <t>http://snap.windin.com/ns/bulletin.php?id=66193890&amp;type=1</t>
  </si>
  <si>
    <t>http://snap.windin.com/ns/bulletin.php?id=66184938&amp;type=1</t>
  </si>
  <si>
    <t>http://snap.windin.com/ns/bulletin.php?id=66184940&amp;type=1</t>
  </si>
  <si>
    <t>http://snap.windin.com/ns/bulletin.php?id=66184988&amp;type=1</t>
  </si>
  <si>
    <t>http://snap.windin.com/ns/bulletin.php?id=66184970&amp;type=1</t>
  </si>
  <si>
    <t>http://snap.windin.com/ns/bulletin.php?id=66184984&amp;type=1</t>
  </si>
  <si>
    <t>http://snap.windin.com/ns/bulletin.php?id=66184986&amp;type=1</t>
  </si>
  <si>
    <t>http://snap.windin.com/ns/bulletin.php?id=66167918&amp;type=1</t>
  </si>
  <si>
    <t>http://snap.windin.com/ns/bulletin.php?id=64450112&amp;type=1</t>
  </si>
  <si>
    <t>http://snap.windin.com/ns/bulletin.php?id=64450078&amp;type=1</t>
  </si>
  <si>
    <t>http://snap.windin.com/ns/bulletin.php?id=64450092&amp;type=1</t>
  </si>
  <si>
    <t>http://snap.windin.com/ns/bulletin.php?id=64450048&amp;type=1</t>
  </si>
  <si>
    <t>http://snap.windin.com/ns/bulletin.php?id=64450020&amp;type=1</t>
  </si>
  <si>
    <t>http://snap.windin.com/ns/bulletin.php?id=64450034&amp;type=1</t>
  </si>
  <si>
    <t>http://snap.windin.com/ns/bulletin.php?id=64450026&amp;type=1</t>
  </si>
  <si>
    <t>http://snap.windin.com/ns/bulletin.php?id=64450064&amp;type=1</t>
  </si>
  <si>
    <t>http://snap.windin.com/ns/bulletin.php?id=64450030&amp;type=1</t>
  </si>
  <si>
    <t>http://snap.windin.com/ns/bulletin.php?id=64449992&amp;type=1</t>
  </si>
  <si>
    <t>http://snap.windin.com/ns/bulletin.php?id=64449982&amp;type=1</t>
  </si>
  <si>
    <t>http://snap.windin.com/ns/bulletin.php?id=64548098&amp;type=1</t>
  </si>
  <si>
    <t>http://snap.windin.com/ns/bulletin.php?id=64548084&amp;type=1</t>
  </si>
  <si>
    <t>http://snap.windin.com/ns/bulletin.php?id=64548070&amp;type=1</t>
  </si>
  <si>
    <t>http://snap.windin.com/ns/bulletin.php?id=64548090&amp;type=1</t>
  </si>
  <si>
    <t>http://snap.windin.com/ns/bulletin.php?id=64450140&amp;type=1</t>
  </si>
  <si>
    <t>http://snap.windin.com/ns/bulletin.php?id=64450106&amp;type=1</t>
  </si>
  <si>
    <t>http://snap.windin.com/ns/bulletin.php?id=64450038&amp;type=1</t>
  </si>
  <si>
    <t>http://snap.windin.com/ns/bulletin.php?id=64450042&amp;type=1</t>
  </si>
  <si>
    <t>http://snap.windin.com/ns/bulletin.php?id=64450036&amp;type=1</t>
  </si>
  <si>
    <t>http://snap.windin.com/ns/bulletin.php?id=64450052&amp;type=1</t>
  </si>
  <si>
    <t>http://snap.windin.com/ns/bulletin.php?id=64450028&amp;type=1</t>
  </si>
  <si>
    <t>http://snap.windin.com/ns/bulletin.php?id=64450058&amp;type=1</t>
  </si>
  <si>
    <t>http://snap.windin.com/ns/bulletin.php?id=63045474&amp;type=1</t>
  </si>
  <si>
    <t>http://snap.windin.com/ns/bulletin.php?id=63045518&amp;type=1</t>
  </si>
  <si>
    <t>http://snap.windin.com/ns/bulletin.php?id=63045396&amp;type=1</t>
  </si>
  <si>
    <t>http://snap.windin.com/ns/bulletin.php?id=63045528&amp;type=1</t>
  </si>
  <si>
    <t>http://snap.windin.com/ns/bulletin.php?id=63045490&amp;type=1</t>
  </si>
  <si>
    <t>http://snap.windin.com/ns/bulletin.php?id=63045508&amp;type=1</t>
  </si>
  <si>
    <t>http://snap.windin.com/ns/bulletin.php?id=63045450&amp;type=1</t>
  </si>
  <si>
    <t>http://snap.windin.com/ns/bulletin.php?id=63045378&amp;type=1</t>
  </si>
  <si>
    <t>http://snap.windin.com/ns/bulletin.php?id=63045370&amp;type=1</t>
  </si>
  <si>
    <t>http://snap.windin.com/ns/bulletin.php?id=63045372&amp;type=1</t>
  </si>
  <si>
    <t>http://snap.windin.com/ns/bulletin.php?id=63045368&amp;type=1</t>
  </si>
  <si>
    <t>http://snap.windin.com/ns/bulletin.php?id=63134806&amp;type=1</t>
  </si>
  <si>
    <t>http://snap.windin.com/ns/bulletin.php?id=63134928&amp;type=1</t>
  </si>
  <si>
    <t>http://snap.windin.com/ns/bulletin.php?id=63134934&amp;type=1</t>
  </si>
  <si>
    <t>http://snap.windin.com/ns/bulletin.php?id=63134978&amp;type=1</t>
  </si>
  <si>
    <t>http://snap.windin.com/ns/bulletin.php?id=63134616&amp;type=1</t>
  </si>
  <si>
    <t>http://snap.windin.com/ns/bulletin.php?id=63135496&amp;type=1</t>
  </si>
  <si>
    <t>http://snap.windin.com/ns/bulletin.php?id=63134622&amp;type=1</t>
  </si>
  <si>
    <t>http://snap.windin.com/ns/bulletin.php?id=63134668&amp;type=1</t>
  </si>
  <si>
    <t>http://snap.windin.com/ns/bulletin.php?id=63135522&amp;type=1</t>
  </si>
  <si>
    <t>http://snap.windin.com/ns/bulletin.php?id=63135480&amp;type=1</t>
  </si>
  <si>
    <t>http://snap.windin.com/ns/bulletin.php?id=63134686&amp;type=1</t>
  </si>
  <si>
    <t>http://snap.windin.com/ns/bulletin.php?id=63134992&amp;type=1</t>
  </si>
  <si>
    <t>http://snap.windin.com/ns/bulletin.php?id=63135080&amp;type=1</t>
  </si>
  <si>
    <t>http://snap.windin.com/ns/bulletin.php?id=63135064&amp;type=1</t>
  </si>
  <si>
    <t>http://snap.windin.com/ns/bulletin.php?id=63135414&amp;type=1</t>
  </si>
  <si>
    <t>http://snap.windin.com/ns/bulletin.php?id=63135428&amp;type=1</t>
  </si>
  <si>
    <t>http://snap.windin.com/ns/bulletin.php?id=63134462&amp;type=1</t>
  </si>
  <si>
    <t>http://snap.windin.com/ns/bulletin.php?id=63135464&amp;type=1</t>
  </si>
  <si>
    <t>http://snap.windin.com/ns/bulletin.php?id=63135470&amp;type=1</t>
  </si>
  <si>
    <t>http://snap.windin.com/ns/bulletin.php?id=63134564&amp;type=1</t>
  </si>
  <si>
    <t>http://snap.windin.com/ns/bulletin.php?id=63135150&amp;type=1</t>
  </si>
  <si>
    <t>http://snap.windin.com/ns/bulletin.php?id=63135122&amp;type=1</t>
  </si>
  <si>
    <t>http://snap.windin.com/ns/bulletin.php?id=63135114&amp;type=1</t>
  </si>
  <si>
    <t>http://snap.windin.com/ns/bulletin.php?id=63135100&amp;type=1</t>
  </si>
  <si>
    <t>http://snap.windin.com/ns/bulletin.php?id=63135192&amp;type=1</t>
  </si>
  <si>
    <t>http://snap.windin.com/ns/bulletin.php?id=63135274&amp;type=1</t>
  </si>
  <si>
    <t>http://snap.windin.com/ns/bulletin.php?id=63135340&amp;type=1</t>
  </si>
  <si>
    <t>http://snap.windin.com/ns/bulletin.php?id=63134776&amp;type=1</t>
  </si>
  <si>
    <t>http://snap.windin.com/ns/bulletin.php?id=63134708&amp;type=1</t>
  </si>
  <si>
    <t>http://snap.windin.com/ns/bulletin.php?id=63134696&amp;type=1</t>
  </si>
  <si>
    <t>http://snap.windin.com/ns/bulletin.php?id=63134518&amp;type=1</t>
  </si>
  <si>
    <t>http://snap.windin.com/ns/bulletin.php?id=63135466&amp;type=1</t>
  </si>
  <si>
    <t>http://snap.windin.com/ns/bulletin.php?id=63134422&amp;type=1</t>
  </si>
  <si>
    <t>http://snap.windin.com/ns/bulletin.php?id=63134162&amp;type=1</t>
  </si>
  <si>
    <t>http://snap.windin.com/ns/bulletin.php?id=63135384&amp;type=1</t>
  </si>
  <si>
    <t>http://snap.windin.com/ns/bulletin.php?id=63134078&amp;type=1</t>
  </si>
  <si>
    <t>http://snap.windin.com/ns/bulletin.php?id=63135346&amp;type=1</t>
  </si>
  <si>
    <t>http://snap.windin.com/ns/bulletin.php?id=63133874&amp;type=1</t>
  </si>
  <si>
    <t>http://snap.windin.com/ns/bulletin.php?id=63134946&amp;type=1</t>
  </si>
  <si>
    <t>http://snap.windin.com/ns/bulletin.php?id=63134888&amp;type=1</t>
  </si>
  <si>
    <t>http://snap.windin.com/ns/bulletin.php?id=63134828&amp;type=1</t>
  </si>
  <si>
    <t>http://snap.windin.com/ns/bulletin.php?id=63134782&amp;type=1</t>
  </si>
  <si>
    <t>http://snap.windin.com/ns/bulletin.php?id=63134590&amp;type=1</t>
  </si>
  <si>
    <t>http://snap.windin.com/ns/bulletin.php?id=63134784&amp;type=1</t>
  </si>
  <si>
    <t>http://snap.windin.com/ns/bulletin.php?id=63045578&amp;type=1</t>
  </si>
  <si>
    <t>http://snap.windin.com/ns/bulletin.php?id=62639226&amp;type=1</t>
  </si>
  <si>
    <t>http://snap.windin.com/ns/bulletin.php?id=62639150&amp;type=1</t>
  </si>
  <si>
    <t>http://snap.windin.com/ns/bulletin.php?id=62639108&amp;type=1</t>
  </si>
  <si>
    <t>http://snap.windin.com/ns/bulletin.php?id=62639030&amp;type=1</t>
  </si>
  <si>
    <t>http://snap.windin.com/ns/bulletin.php?id=62638930&amp;type=1</t>
  </si>
  <si>
    <t>http://snap.windin.com/ns/bulletin.php?id=62638966&amp;type=1</t>
  </si>
  <si>
    <t>http://snap.windin.com/ns/bulletin.php?id=62884762&amp;type=1</t>
  </si>
  <si>
    <t>http://snap.windin.com/ns/bulletin.php?id=62639080&amp;type=1</t>
  </si>
  <si>
    <t>http://snap.windin.com/ns/bulletin.php?id=62639098&amp;type=1</t>
  </si>
  <si>
    <t>http://snap.windin.com/ns/bulletin.php?id=62639304&amp;type=1</t>
  </si>
  <si>
    <t>http://snap.windin.com/ns/bulletin.php?id=62329428&amp;type=1</t>
  </si>
  <si>
    <t>http://snap.windin.com/ns/bulletin.php?id=62329460&amp;type=1</t>
  </si>
  <si>
    <t>http://snap.windin.com/ns/bulletin.php?id=62329432&amp;type=1</t>
  </si>
  <si>
    <t>http://snap.windin.com/ns/bulletin.php?id=62329490&amp;type=1</t>
  </si>
  <si>
    <t>http://snap.windin.com/ns/bulletin.php?id=62329458&amp;type=1</t>
  </si>
  <si>
    <t>http://snap.windin.com/ns/bulletin.php?id=62329430&amp;type=1</t>
  </si>
  <si>
    <t>http://snap.windin.com/ns/bulletin.php?id=62329518&amp;type=1</t>
  </si>
  <si>
    <t>http://snap.windin.com/ns/bulletin.php?id=62329438&amp;type=1</t>
  </si>
  <si>
    <t>http://snap.windin.com/ns/bulletin.php?id=62329510&amp;type=1</t>
  </si>
  <si>
    <t>http://snap.windin.com/ns/bulletin.php?id=62329528&amp;type=1</t>
  </si>
  <si>
    <t>http://snap.windin.com/ns/bulletin.php?id=62329440&amp;type=1</t>
  </si>
  <si>
    <t>http://snap.windin.com/ns/bulletin.php?id=62060280&amp;type=1</t>
  </si>
  <si>
    <t>http://snap.windin.com/ns/bulletin.php?id=62060276&amp;type=1</t>
  </si>
  <si>
    <t>http://snap.windin.com/ns/bulletin.php?id=62060256&amp;type=1</t>
  </si>
  <si>
    <t>http://snap.windin.com/ns/bulletin.php?id=62060266&amp;type=1</t>
  </si>
  <si>
    <t>http://snap.windin.com/ns/bulletin.php?id=62060250&amp;type=1</t>
  </si>
  <si>
    <t>http://snap.windin.com/ns/bulletin.php?id=61923728&amp;type=1</t>
  </si>
  <si>
    <t>http://snap.windin.com/ns/bulletin.php?id=61924058&amp;type=1</t>
  </si>
  <si>
    <t>http://snap.windin.com/ns/bulletin.php?id=61923956&amp;type=1</t>
  </si>
  <si>
    <t>http://snap.windin.com/ns/bulletin.php?id=61924032&amp;type=1</t>
  </si>
  <si>
    <t>http://snap.windin.com/ns/bulletin.php?id=61923962&amp;type=1</t>
  </si>
  <si>
    <t>http://snap.windin.com/ns/bulletin.php?id=61924060&amp;type=1</t>
  </si>
  <si>
    <t>http://snap.windin.com/ns/bulletin.php?id=61923828&amp;type=1</t>
  </si>
  <si>
    <t>http://snap.windin.com/ns/bulletin.php?id=61923826&amp;type=1</t>
  </si>
  <si>
    <t>http://snap.windin.com/ns/bulletin.php?id=61923836&amp;type=1</t>
  </si>
  <si>
    <t>http://snap.windin.com/ns/bulletin.php?id=61923744&amp;type=1</t>
  </si>
  <si>
    <t>http://snap.windin.com/ns/bulletin.php?id=61923778&amp;type=1</t>
  </si>
  <si>
    <t>http://snap.windin.com/ns/bulletin.php?id=61923736&amp;type=1</t>
  </si>
  <si>
    <t>http://snap.windin.com/ns/bulletin.php?id=61804840&amp;type=1</t>
  </si>
  <si>
    <t>http://snap.windin.com/ns/bulletin.php?id=61394660&amp;type=1</t>
  </si>
  <si>
    <t>http://snap.windin.com/ns/bulletin.php?id=61394662&amp;type=1</t>
  </si>
  <si>
    <t>http://snap.windin.com/ns/bulletin.php?id=61394618&amp;type=1</t>
  </si>
  <si>
    <t>http://snap.windin.com/ns/bulletin.php?id=61394598&amp;type=1</t>
  </si>
  <si>
    <t>http://snap.windin.com/ns/bulletin.php?id=61394648&amp;type=1</t>
  </si>
  <si>
    <t>http://snap.windin.com/ns/bulletin.php?id=61394656&amp;type=1</t>
  </si>
  <si>
    <t>http://snap.windin.com/ns/bulletin.php?id=61394502&amp;type=1</t>
  </si>
  <si>
    <t>http://snap.windin.com/ns/bulletin.php?id=61394454&amp;type=1</t>
  </si>
  <si>
    <t>http://snap.windin.com/ns/bulletin.php?id=61394622&amp;type=1</t>
  </si>
  <si>
    <t>http://snap.windin.com/ns/bulletin.php?id=61394572&amp;type=1</t>
  </si>
  <si>
    <t>http://snap.windin.com/ns/bulletin.php?id=61264434&amp;type=1</t>
  </si>
  <si>
    <t>http://snap.windin.com/ns/bulletin.php?id=61264558&amp;type=1</t>
  </si>
  <si>
    <t>http://snap.windin.com/ns/bulletin.php?id=61394692&amp;type=1</t>
  </si>
  <si>
    <t>http://snap.windin.com/ns/bulletin.php?id=61394672&amp;type=1</t>
  </si>
  <si>
    <t>http://snap.windin.com/ns/bulletin.php?id=61394700&amp;type=1</t>
  </si>
  <si>
    <t>http://snap.windin.com/ns/bulletin.php?id=61394674&amp;type=1</t>
  </si>
  <si>
    <t>http://snap.windin.com/ns/bulletin.php?id=60994452&amp;type=1</t>
  </si>
  <si>
    <t>http://snap.windin.com/ns/bulletin.php?id=61225092&amp;type=1</t>
  </si>
  <si>
    <t>http://snap.windin.com/ns/bulletin.php?id=61224922&amp;type=1</t>
  </si>
  <si>
    <t>http://snap.windin.com/ns/bulletin.php?id=61224920&amp;type=1</t>
  </si>
  <si>
    <t>http://snap.windin.com/ns/bulletin.php?id=60603816&amp;type=1</t>
  </si>
  <si>
    <t>http://snap.windin.com/ns/bulletin.php?id=60603824&amp;type=1</t>
  </si>
  <si>
    <t>http://snap.windin.com/ns/bulletin.php?id=60906932&amp;type=1</t>
  </si>
  <si>
    <t>http://snap.windin.com/ns/bulletin.php?id=60906906&amp;type=1</t>
  </si>
  <si>
    <t>http://snap.windin.com/ns/bulletin.php?id=60906928&amp;type=1</t>
  </si>
  <si>
    <t>http://snap.windin.com/ns/bulletin.php?id=60906930&amp;type=1</t>
  </si>
  <si>
    <t>http://snap.windin.com/ns/bulletin.php?id=60906842&amp;type=1</t>
  </si>
  <si>
    <t>http://snap.windin.com/ns/bulletin.php?id=60514814&amp;type=1</t>
  </si>
  <si>
    <t>http://snap.windin.com/ns/bulletin.php?id=60201802&amp;type=1</t>
  </si>
  <si>
    <t>http://snap.windin.com/ns/bulletin.php?id=60514800&amp;type=1</t>
  </si>
  <si>
    <t>http://snap.windin.com/ns/bulletin.php?id=60197566&amp;type=1</t>
  </si>
  <si>
    <t>http://snap.windin.com/ns/bulletin.php?id=60198330&amp;type=1</t>
  </si>
  <si>
    <t>http://snap.windin.com/ns/bulletin.php?id=60198378&amp;type=1</t>
  </si>
  <si>
    <t>http://snap.windin.com/ns/bulletin.php?id=60106354&amp;type=1</t>
  </si>
  <si>
    <t>http://snap.windin.com/ns/bulletin.php?id=60106300&amp;type=1</t>
  </si>
  <si>
    <t>http://snap.windin.com/ns/bulletin.php?id=60106302&amp;type=1</t>
  </si>
  <si>
    <t>http://snap.windin.com/ns/bulletin.php?id=60106298&amp;type=1</t>
  </si>
  <si>
    <t>http://snap.windin.com/ns/bulletin.php?id=60106290&amp;type=1</t>
  </si>
  <si>
    <t>http://snap.windin.com/ns/bulletin.php?id=60106328&amp;type=1</t>
  </si>
  <si>
    <t>http://snap.windin.com/ns/bulletin.php?id=60106272&amp;type=1</t>
  </si>
  <si>
    <t>http://snap.windin.com/ns/bulletin.php?id=60106282&amp;type=1</t>
  </si>
  <si>
    <t>http://snap.windin.com/ns/bulletin.php?id=58863974&amp;type=1</t>
  </si>
  <si>
    <t>http://snap.windin.com/ns/bulletin.php?id=58863938&amp;type=1</t>
  </si>
  <si>
    <t>http://snap.windin.com/ns/bulletin.php?id=58863904&amp;type=1</t>
  </si>
  <si>
    <t>http://snap.windin.com/ns/bulletin.php?id=58863844&amp;type=1</t>
  </si>
  <si>
    <t>http://snap.windin.com/ns/bulletin.php?id=58863850&amp;type=1</t>
  </si>
  <si>
    <t>http://snap.windin.com/ns/bulletin.php?id=58863838&amp;type=1</t>
  </si>
  <si>
    <t>http://snap.windin.com/ns/bulletin.php?id=58863856&amp;type=1</t>
  </si>
  <si>
    <t>http://snap.windin.com/ns/bulletin.php?id=58863888&amp;type=1</t>
  </si>
  <si>
    <t>http://snap.windin.com/ns/bulletin.php?id=58863882&amp;type=1</t>
  </si>
  <si>
    <t>http://snap.windin.com/ns/bulletin.php?id=58863964&amp;type=1</t>
  </si>
  <si>
    <t>http://snap.windin.com/ns/bulletin.php?id=58863940&amp;type=1</t>
  </si>
  <si>
    <t>http://snap.windin.com/ns/bulletin.php?id=58768036&amp;type=1</t>
  </si>
  <si>
    <t>http://snap.windin.com/ns/bulletin.php?id=58768034&amp;type=1</t>
  </si>
  <si>
    <t>http://snap.windin.com/ns/bulletin.php?id=58757280&amp;type=1</t>
  </si>
  <si>
    <t>http://snap.windin.com/ns/bulletin.php?id=58757284&amp;type=1</t>
  </si>
  <si>
    <t>http://snap.windin.com/ns/bulletin.php?id=58757288&amp;type=1</t>
  </si>
  <si>
    <t>http://snap.windin.com/ns/bulletin.php?id=58757286&amp;type=1</t>
  </si>
  <si>
    <t>http://snap.windin.com/ns/bulletin.php?id=58757282&amp;type=1</t>
  </si>
  <si>
    <t>http://snap.windin.com/ns/bulletin.php?id=58757290&amp;type=1</t>
  </si>
  <si>
    <t>http://snap.windin.com/ns/bulletin.php?id=58752356&amp;type=1</t>
  </si>
  <si>
    <t>http://snap.windin.com/ns/bulletin.php?id=58752082&amp;type=1</t>
  </si>
  <si>
    <t>http://snap.windin.com/ns/bulletin.php?id=58752074&amp;type=1</t>
  </si>
  <si>
    <t>http://snap.windin.com/ns/bulletin.php?id=58752054&amp;type=1</t>
  </si>
  <si>
    <t>http://snap.windin.com/ns/bulletin.php?id=58752012&amp;type=1</t>
  </si>
  <si>
    <t>http://snap.windin.com/ns/bulletin.php?id=58752110&amp;type=1</t>
  </si>
  <si>
    <t>http://snap.windin.com/ns/bulletin.php?id=57824086&amp;type=1</t>
  </si>
  <si>
    <t>http://snap.windin.com/ns/bulletin.php?id=57823402&amp;type=1</t>
  </si>
  <si>
    <t>http://snap.windin.com/ns/bulletin.php?id=57823236&amp;type=1</t>
  </si>
  <si>
    <t>http://snap.windin.com/ns/bulletin.php?id=57823132&amp;type=1</t>
  </si>
  <si>
    <t>http://snap.windin.com/ns/bulletin.php?id=57823126&amp;type=1</t>
  </si>
  <si>
    <t>http://snap.windin.com/ns/bulletin.php?id=57823104&amp;type=1</t>
  </si>
  <si>
    <t>http://snap.windin.com/ns/bulletin.php?id=57823226&amp;type=1</t>
  </si>
  <si>
    <t>http://snap.windin.com/ns/bulletin.php?id=57823128&amp;type=1</t>
  </si>
  <si>
    <t>http://snap.windin.com/ns/bulletin.php?id=57823130&amp;type=1</t>
  </si>
  <si>
    <t>http://snap.windin.com/ns/bulletin.php?id=57823020&amp;type=1</t>
  </si>
  <si>
    <t>http://snap.windin.com/ns/bulletin.php?id=57823042&amp;type=1</t>
  </si>
  <si>
    <t>http://snap.windin.com/ns/bulletin.php?id=57353618&amp;type=1</t>
  </si>
  <si>
    <t>http://snap.windin.com/ns/bulletin.php?id=57353600&amp;type=1</t>
  </si>
  <si>
    <t>http://snap.windin.com/ns/bulletin.php?id=57353602&amp;type=1</t>
  </si>
  <si>
    <t>http://snap.windin.com/ns/bulletin.php?id=57353604&amp;type=1</t>
  </si>
  <si>
    <t>http://snap.windin.com/ns/bulletin.php?id=57353608&amp;type=1</t>
  </si>
  <si>
    <t>http://snap.windin.com/ns/bulletin.php?id=57353614&amp;type=1</t>
  </si>
  <si>
    <t>http://snap.windin.com/ns/bulletin.php?id=57353632&amp;type=1</t>
  </si>
  <si>
    <t>http://snap.windin.com/ns/bulletin.php?id=57353616&amp;type=1</t>
  </si>
  <si>
    <t>http://snap.windin.com/ns/bulletin.php?id=57353624&amp;type=1</t>
  </si>
  <si>
    <t>http://snap.windin.com/ns/bulletin.php?id=57353620&amp;type=1</t>
  </si>
  <si>
    <t>http://snap.windin.com/ns/bulletin.php?id=57345080&amp;type=1</t>
  </si>
  <si>
    <t>http://snap.windin.com/ns/bulletin.php?id=57345074&amp;type=1</t>
  </si>
  <si>
    <t>http://snap.windin.com/ns/bulletin.php?id=57345078&amp;type=1</t>
  </si>
  <si>
    <t>http://snap.windin.com/ns/bulletin.php?id=57334042&amp;type=1</t>
  </si>
  <si>
    <t>http://snap.windin.com/ns/bulletin.php?id=57333976&amp;type=1</t>
  </si>
  <si>
    <t>http://snap.windin.com/ns/bulletin.php?id=57333978&amp;type=1</t>
  </si>
  <si>
    <t>http://snap.windin.com/ns/bulletin.php?id=57334060&amp;type=1</t>
  </si>
  <si>
    <t>http://snap.windin.com/ns/bulletin.php?id=57333980&amp;type=1</t>
  </si>
  <si>
    <t>http://snap.windin.com/ns/bulletin.php?id=57321170&amp;type=1</t>
  </si>
  <si>
    <t>http://snap.windin.com/ns/bulletin.php?id=57321176&amp;type=1</t>
  </si>
  <si>
    <t>http://snap.windin.com/ns/bulletin.php?id=57321166&amp;type=1</t>
  </si>
  <si>
    <t>http://snap.windin.com/ns/bulletin.php?id=57321172&amp;type=1</t>
  </si>
  <si>
    <t>http://snap.windin.com/ns/bulletin.php?id=57321174&amp;type=1</t>
  </si>
  <si>
    <t>http://snap.windin.com/ns/bulletin.php?id=57321282&amp;type=1</t>
  </si>
  <si>
    <t>http://snap.windin.com/ns/bulletin.php?id=57321168&amp;type=1</t>
  </si>
  <si>
    <t>http://snap.windin.com/ns/bulletin.php?id=57303656&amp;type=1</t>
  </si>
  <si>
    <t>http://snap.windin.com/ns/bulletin.php?id=57303620&amp;type=1</t>
  </si>
  <si>
    <t>http://snap.windin.com/ns/bulletin.php?id=57303630&amp;type=1</t>
  </si>
  <si>
    <t>http://snap.windin.com/ns/bulletin.php?id=57303640&amp;type=1</t>
  </si>
  <si>
    <t>http://snap.windin.com/ns/bulletin.php?id=57303636&amp;type=1</t>
  </si>
  <si>
    <t>http://snap.windin.com/ns/bulletin.php?id=57303626&amp;type=1</t>
  </si>
  <si>
    <t>http://snap.windin.com/ns/bulletin.php?id=57303628&amp;type=1</t>
  </si>
  <si>
    <t>http://snap.windin.com/ns/bulletin.php?id=57303634&amp;type=1</t>
  </si>
  <si>
    <t>http://snap.windin.com/ns/bulletin.php?id=57303654&amp;type=1</t>
  </si>
  <si>
    <t>http://snap.windin.com/ns/bulletin.php?id=57303652&amp;type=1</t>
  </si>
  <si>
    <t>http://snap.windin.com/ns/bulletin.php?id=57303646&amp;type=1</t>
  </si>
  <si>
    <t>http://snap.windin.com/ns/bulletin.php?id=57303642&amp;type=1</t>
  </si>
  <si>
    <t>http://snap.windin.com/ns/bulletin.php?id=57303624&amp;type=1</t>
  </si>
  <si>
    <t>http://snap.windin.com/ns/bulletin.php?id=57303644&amp;type=1</t>
  </si>
  <si>
    <t>http://snap.windin.com/ns/bulletin.php?id=57303648&amp;type=1</t>
  </si>
  <si>
    <t>http://snap.windin.com/ns/bulletin.php?id=57303622&amp;type=1</t>
  </si>
  <si>
    <t>http://snap.windin.com/ns/bulletin.php?id=57303638&amp;type=1</t>
  </si>
  <si>
    <t>http://snap.windin.com/ns/bulletin.php?id=57303650&amp;type=1</t>
  </si>
  <si>
    <t>http://snap.windin.com/ns/bulletin.php?id=57303618&amp;type=1</t>
  </si>
  <si>
    <t>http://snap.windin.com/ns/bulletin.php?id=57303632&amp;type=1</t>
  </si>
  <si>
    <t>http://snap.windin.com/ns/bulletin.php?id=57292866&amp;type=1</t>
  </si>
  <si>
    <t>http://snap.windin.com/ns/bulletin.php?id=57292876&amp;type=1</t>
  </si>
  <si>
    <t>http://snap.windin.com/ns/bulletin.php?id=57293978&amp;type=1</t>
  </si>
  <si>
    <t>http://snap.windin.com/ns/bulletin.php?id=57294332&amp;type=1</t>
  </si>
  <si>
    <t>http://snap.windin.com/ns/bulletin.php?id=57281894&amp;type=1</t>
  </si>
  <si>
    <t>http://snap.windin.com/ns/bulletin.php?id=57281904&amp;type=1</t>
  </si>
  <si>
    <t>http://snap.windin.com/ns/bulletin.php?id=57281892&amp;type=1</t>
  </si>
  <si>
    <t>http://snap.windin.com/ns/bulletin.php?id=57281890&amp;type=1</t>
  </si>
  <si>
    <t>http://snap.windin.com/ns/bulletin.php?id=57281896&amp;type=1</t>
  </si>
  <si>
    <t>http://snap.windin.com/ns/bulletin.php?id=57281900&amp;type=1</t>
  </si>
  <si>
    <t>http://snap.windin.com/ns/bulletin.php?id=57281924&amp;type=1</t>
  </si>
  <si>
    <t>http://snap.windin.com/ns/bulletin.php?id=57281906&amp;type=1</t>
  </si>
  <si>
    <t>http://snap.windin.com/ns/bulletin.php?id=57281902&amp;type=1</t>
  </si>
  <si>
    <t>http://snap.windin.com/ns/bulletin.php?id=57281886&amp;type=1</t>
  </si>
  <si>
    <t>http://snap.windin.com/ns/bulletin.php?id=57281888&amp;type=1</t>
  </si>
  <si>
    <t>http://snap.windin.com/ns/bulletin.php?id=57281910&amp;type=1</t>
  </si>
  <si>
    <t>http://snap.windin.com/ns/bulletin.php?id=57281898&amp;type=1</t>
  </si>
  <si>
    <t>http://snap.windin.com/ns/bulletin.php?id=57281920&amp;type=1</t>
  </si>
  <si>
    <t>http://snap.windin.com/ns/bulletin.php?id=56810306&amp;type=1</t>
  </si>
  <si>
    <t>http://snap.windin.com/ns/bulletin.php?id=56810284&amp;type=1</t>
  </si>
  <si>
    <t>http://snap.windin.com/ns/bulletin.php?id=56810282&amp;type=1</t>
  </si>
  <si>
    <t>http://snap.windin.com/ns/bulletin.php?id=56810280&amp;type=1</t>
  </si>
  <si>
    <t>http://snap.windin.com/ns/bulletin.php?id=56810258&amp;type=1</t>
  </si>
  <si>
    <t>http://snap.windin.com/ns/bulletin.php?id=56810394&amp;type=1</t>
  </si>
  <si>
    <t>http://snap.windin.com/ns/bulletin.php?id=56810392&amp;type=1</t>
  </si>
  <si>
    <t>http://snap.windin.com/ns/bulletin.php?id=56810390&amp;type=1</t>
  </si>
  <si>
    <t>http://snap.windin.com/ns/bulletin.php?id=56810368&amp;type=1</t>
  </si>
  <si>
    <t>http://snap.windin.com/ns/bulletin.php?id=55658426&amp;type=1</t>
  </si>
  <si>
    <t>http://snap.windin.com/ns/bulletin.php?id=55658364&amp;type=1</t>
  </si>
  <si>
    <t>http://snap.windin.com/ns/bulletin.php?id=55658342&amp;type=1</t>
  </si>
  <si>
    <t>http://snap.windin.com/ns/bulletin.php?id=53445036&amp;type=1</t>
  </si>
  <si>
    <t>http://snap.windin.com/ns/bulletin.php?id=53444982&amp;type=1</t>
  </si>
  <si>
    <t>http://snap.windin.com/ns/bulletin.php?id=53444980&amp;type=1</t>
  </si>
  <si>
    <t>http://snap.windin.com/ns/bulletin.php?id=53444978&amp;type=1</t>
  </si>
  <si>
    <t>http://snap.windin.com/ns/bulletin.php?id=53445566&amp;type=1</t>
  </si>
  <si>
    <t>http://snap.windin.com/ns/bulletin.php?id=53444976&amp;type=1</t>
  </si>
  <si>
    <t>http://snap.windin.com/ns/bulletin.php?id=53446856&amp;type=1</t>
  </si>
  <si>
    <t>http://snap.windin.com/ns/bulletin.php?id=53448236&amp;type=1</t>
  </si>
  <si>
    <t>http://snap.windin.com/ns/bulletin.php?id=52825348&amp;type=1</t>
  </si>
  <si>
    <t>http://snap.windin.com/ns/bulletin.php?id=52825306&amp;type=1</t>
  </si>
  <si>
    <t>http://snap.windin.com/ns/bulletin.php?id=52826698&amp;type=1</t>
  </si>
  <si>
    <t>http://snap.windin.com/ns/bulletin.php?id=52490344&amp;type=1</t>
  </si>
  <si>
    <t>http://snap.windin.com/ns/bulletin.php?id=52490348&amp;type=1</t>
  </si>
  <si>
    <t>http://snap.windin.com/ns/bulletin.php?id=52490346&amp;type=1</t>
  </si>
  <si>
    <t>http://snap.windin.com/ns/bulletin.php?id=52479620&amp;type=1</t>
  </si>
  <si>
    <t>http://snap.windin.com/ns/bulletin.php?id=52479618&amp;type=1</t>
  </si>
  <si>
    <t>http://snap.windin.com/ns/bulletin.php?id=52479616&amp;type=1</t>
  </si>
  <si>
    <t>http://snap.windin.com/ns/bulletin.php?id=52479610&amp;type=1</t>
  </si>
  <si>
    <t>http://snap.windin.com/ns/bulletin.php?id=52479602&amp;type=1</t>
  </si>
  <si>
    <t>http://snap.windin.com/ns/bulletin.php?id=52479612&amp;type=1</t>
  </si>
  <si>
    <t>http://snap.windin.com/ns/bulletin.php?id=52479590&amp;type=1</t>
  </si>
  <si>
    <t>http://snap.windin.com/ns/bulletin.php?id=51817850&amp;type=1</t>
  </si>
  <si>
    <t>http://snap.windin.com/ns/bulletin.php?id=51817406&amp;type=1</t>
  </si>
  <si>
    <t>http://snap.windin.com/ns/bulletin.php?id=51817284&amp;type=1</t>
  </si>
  <si>
    <t>http://snap.windin.com/ns/bulletin.php?id=51817162&amp;type=1</t>
  </si>
  <si>
    <t>http://snap.windin.com/ns/bulletin.php?id=51817020&amp;type=1</t>
  </si>
  <si>
    <t>http://snap.windin.com/ns/bulletin.php?id=51816938&amp;type=1</t>
  </si>
  <si>
    <t>http://snap.windin.com/ns/bulletin.php?id=51816696&amp;type=1</t>
  </si>
  <si>
    <t>http://snap.windin.com/ns/bulletin.php?id=51816468&amp;type=1</t>
  </si>
  <si>
    <t>http://snap.windin.com/ns/bulletin.php?id=51816344&amp;type=1</t>
  </si>
  <si>
    <t>http://snap.windin.com/ns/bulletin.php?id=51816182&amp;type=1</t>
  </si>
  <si>
    <t>http://snap.windin.com/ns/bulletin.php?id=51816000&amp;type=1</t>
  </si>
  <si>
    <t>http://snap.windin.com/ns/bulletin.php?id=51817672&amp;type=1</t>
  </si>
  <si>
    <t>http://snap.windin.com/ns/bulletin.php?id=51817510&amp;type=1</t>
  </si>
  <si>
    <t>http://snap.windin.com/ns/bulletin.php?id=51818218&amp;type=1</t>
  </si>
  <si>
    <t>http://snap.windin.com/ns/bulletin.php?id=51818056&amp;type=1</t>
  </si>
  <si>
    <t>http://snap.windin.com/ns/bulletin.php?id=50139890&amp;type=1</t>
  </si>
  <si>
    <t>http://snap.windin.com/ns/bulletin.php?id=50110912&amp;type=1</t>
  </si>
  <si>
    <t>http://snap.windin.com/ns/bulletin.php?id=50115576&amp;type=1</t>
  </si>
  <si>
    <t>http://snap.windin.com/ns/bulletin.php?id=50121946&amp;type=1</t>
  </si>
  <si>
    <t>http://snap.windin.com/ns/bulletin.php?id=50110210&amp;type=1</t>
  </si>
  <si>
    <t>http://snap.windin.com/ns/bulletin.php?id=50107994&amp;type=1</t>
  </si>
  <si>
    <t>http://snap.windin.com/ns/bulletin.php?id=50121994&amp;type=1</t>
  </si>
  <si>
    <t>http://snap.windin.com/ns/bulletin.php?id=49828976&amp;type=1</t>
  </si>
  <si>
    <t>http://snap.windin.com/ns/bulletin.php?id=49828980&amp;type=1</t>
  </si>
  <si>
    <t>http://snap.windin.com/ns/bulletin.php?id=49828972&amp;type=1</t>
  </si>
  <si>
    <t>http://snap.windin.com/ns/bulletin.php?id=49828966&amp;type=1</t>
  </si>
  <si>
    <t>http://snap.windin.com/ns/bulletin.php?id=49828978&amp;type=1</t>
  </si>
  <si>
    <t>http://snap.windin.com/ns/bulletin.php?id=49828968&amp;type=1</t>
  </si>
  <si>
    <t>http://snap.windin.com/ns/bulletin.php?id=49828970&amp;type=1</t>
  </si>
  <si>
    <t>http://snap.windin.com/ns/bulletin.php?id=49828974&amp;type=1</t>
  </si>
  <si>
    <t>http://snap.windin.com/ns/bulletin.php?id=49792226&amp;type=1</t>
  </si>
  <si>
    <t>http://snap.windin.com/ns/bulletin.php?id=49792220&amp;type=1</t>
  </si>
  <si>
    <t>http://snap.windin.com/ns/bulletin.php?id=49792224&amp;type=1</t>
  </si>
  <si>
    <t>http://snap.windin.com/ns/bulletin.php?id=49792218&amp;type=1</t>
  </si>
  <si>
    <t>http://snap.windin.com/ns/bulletin.php?id=49792232&amp;type=1</t>
  </si>
  <si>
    <t>http://snap.windin.com/ns/bulletin.php?id=49792230&amp;type=1</t>
  </si>
  <si>
    <t>http://snap.windin.com/ns/bulletin.php?id=49792228&amp;type=1</t>
  </si>
  <si>
    <t>http://snap.windin.com/ns/bulletin.php?id=49641042&amp;type=1</t>
  </si>
  <si>
    <t>http://snap.windin.com/ns/bulletin.php?id=49641032&amp;type=1</t>
  </si>
  <si>
    <t>http://snap.windin.com/ns/bulletin.php?id=49184072&amp;type=1</t>
  </si>
  <si>
    <t>http://snap.windin.com/ns/bulletin.php?id=49184156&amp;type=1</t>
  </si>
  <si>
    <t>http://snap.windin.com/ns/bulletin.php?id=49184260&amp;type=1</t>
  </si>
  <si>
    <t>http://snap.windin.com/ns/bulletin.php?id=49184282&amp;type=1</t>
  </si>
  <si>
    <t>http://snap.windin.com/ns/bulletin.php?id=49184324&amp;type=1</t>
  </si>
  <si>
    <t>http://snap.windin.com/ns/bulletin.php?id=49184198&amp;type=1</t>
  </si>
  <si>
    <t>http://snap.windin.com/ns/bulletin.php?id=49058210&amp;type=1</t>
  </si>
  <si>
    <t>http://snap.windin.com/ns/bulletin.php?id=49058204&amp;type=1</t>
  </si>
  <si>
    <t>http://snap.windin.com/ns/bulletin.php?id=49058206&amp;type=1</t>
  </si>
  <si>
    <t>http://snap.windin.com/ns/bulletin.php?id=49058212&amp;type=1</t>
  </si>
  <si>
    <t>http://snap.windin.com/ns/bulletin.php?id=49058208&amp;type=1</t>
  </si>
  <si>
    <t>http://snap.windin.com/ns/bulletin.php?id=49058214&amp;type=1</t>
  </si>
  <si>
    <t>http://snap.windin.com/ns/bulletin.php?id=49049120&amp;type=1</t>
  </si>
  <si>
    <t>http://snap.windin.com/ns/bulletin.php?id=49049748&amp;type=1</t>
  </si>
  <si>
    <t>http://snap.windin.com/ns/bulletin.php?id=49049220&amp;type=1</t>
  </si>
  <si>
    <t>http://snap.windin.com/ns/bulletin.php?id=49049744&amp;type=1</t>
  </si>
  <si>
    <t>http://snap.windin.com/ns/bulletin.php?id=49049150&amp;type=1</t>
  </si>
  <si>
    <t>http://snap.windin.com/ns/bulletin.php?id=49049228&amp;type=1</t>
  </si>
  <si>
    <t>http://snap.windin.com/ns/bulletin.php?id=49039012&amp;type=1</t>
  </si>
  <si>
    <t>http://snap.windin.com/ns/bulletin.php?id=49038994&amp;type=1</t>
  </si>
  <si>
    <t>http://snap.windin.com/ns/bulletin.php?id=49039008&amp;type=1</t>
  </si>
  <si>
    <t>http://snap.windin.com/ns/bulletin.php?id=49039004&amp;type=1</t>
  </si>
  <si>
    <t>http://snap.windin.com/ns/bulletin.php?id=49038998&amp;type=1</t>
  </si>
  <si>
    <t>http://snap.windin.com/ns/bulletin.php?id=49039010&amp;type=1</t>
  </si>
  <si>
    <t>http://snap.windin.com/ns/bulletin.php?id=49038996&amp;type=1</t>
  </si>
  <si>
    <t>http://snap.windin.com/ns/bulletin.php?id=49038990&amp;type=1</t>
  </si>
  <si>
    <t>http://snap.windin.com/ns/bulletin.php?id=49038986&amp;type=1</t>
  </si>
  <si>
    <t>http://snap.windin.com/ns/bulletin.php?id=49038984&amp;type=1</t>
  </si>
  <si>
    <t>http://snap.windin.com/ns/bulletin.php?id=49038982&amp;type=1</t>
  </si>
  <si>
    <t>http://snap.windin.com/ns/bulletin.php?id=49038952&amp;type=1</t>
  </si>
  <si>
    <t>http://snap.windin.com/ns/bulletin.php?id=49038962&amp;type=1</t>
  </si>
  <si>
    <t>http://snap.windin.com/ns/bulletin.php?id=49038960&amp;type=1</t>
  </si>
  <si>
    <t>http://snap.windin.com/ns/bulletin.php?id=49038920&amp;type=1</t>
  </si>
  <si>
    <t>http://snap.windin.com/ns/bulletin.php?id=49038964&amp;type=1</t>
  </si>
  <si>
    <t>http://snap.windin.com/ns/bulletin.php?id=49038936&amp;type=1</t>
  </si>
  <si>
    <t>http://snap.windin.com/ns/bulletin.php?id=49038970&amp;type=1</t>
  </si>
  <si>
    <t>http://snap.windin.com/ns/bulletin.php?id=49038908&amp;type=1</t>
  </si>
  <si>
    <t>http://snap.windin.com/ns/bulletin.php?id=49038914&amp;type=1</t>
  </si>
  <si>
    <t>http://snap.windin.com/ns/bulletin.php?id=49038910&amp;type=1</t>
  </si>
  <si>
    <t>http://snap.windin.com/ns/bulletin.php?id=49038878&amp;type=1</t>
  </si>
  <si>
    <t>http://snap.windin.com/ns/bulletin.php?id=49039712&amp;type=1</t>
  </si>
  <si>
    <t>http://snap.windin.com/ns/bulletin.php?id=49038980&amp;type=1</t>
  </si>
  <si>
    <t>http://snap.windin.com/ns/bulletin.php?id=49039000&amp;type=1</t>
  </si>
  <si>
    <t>http://snap.windin.com/ns/bulletin.php?id=49029310&amp;type=1</t>
  </si>
  <si>
    <t>http://snap.windin.com/ns/bulletin.php?id=49029330&amp;type=1</t>
  </si>
  <si>
    <t>http://snap.windin.com/ns/bulletin.php?id=49029222&amp;type=1</t>
  </si>
  <si>
    <t>http://snap.windin.com/ns/bulletin.php?id=49029304&amp;type=1</t>
  </si>
  <si>
    <t>http://snap.windin.com/ns/bulletin.php?id=49029386&amp;type=1</t>
  </si>
  <si>
    <t>http://snap.windin.com/ns/bulletin.php?id=49029288&amp;type=1</t>
  </si>
  <si>
    <t>http://snap.windin.com/ns/bulletin.php?id=49029302&amp;type=1</t>
  </si>
  <si>
    <t>http://snap.windin.com/ns/bulletin.php?id=49029234&amp;type=1</t>
  </si>
  <si>
    <t>http://snap.windin.com/ns/bulletin.php?id=49029236&amp;type=1</t>
  </si>
  <si>
    <t>http://snap.windin.com/ns/bulletin.php?id=49029238&amp;type=1</t>
  </si>
  <si>
    <t>http://snap.windin.com/ns/bulletin.php?id=49029230&amp;type=1</t>
  </si>
  <si>
    <t>http://snap.windin.com/ns/bulletin.php?id=49029242&amp;type=1</t>
  </si>
  <si>
    <t>http://snap.windin.com/ns/bulletin.php?id=49029232&amp;type=1</t>
  </si>
  <si>
    <t>http://snap.windin.com/ns/bulletin.php?id=49029286&amp;type=1</t>
  </si>
  <si>
    <t>http://snap.windin.com/ns/bulletin.php?id=49029240&amp;type=1</t>
  </si>
  <si>
    <t>http://snap.windin.com/ns/bulletin.php?id=49029290&amp;type=1</t>
  </si>
  <si>
    <t>http://snap.windin.com/ns/bulletin.php?id=49029308&amp;type=1</t>
  </si>
  <si>
    <t>http://snap.windin.com/ns/bulletin.php?id=49029292&amp;type=1</t>
  </si>
  <si>
    <t>http://snap.windin.com/ns/bulletin.php?id=49029306&amp;type=1</t>
  </si>
  <si>
    <t>http://snap.windin.com/ns/bulletin.php?id=49029300&amp;type=1</t>
  </si>
  <si>
    <t>http://snap.windin.com/ns/bulletin.php?id=49029224&amp;type=1</t>
  </si>
  <si>
    <t>http://snap.windin.com/ns/bulletin.php?id=49029226&amp;type=1</t>
  </si>
  <si>
    <t>http://snap.windin.com/ns/bulletin.php?id=49029228&amp;type=1</t>
  </si>
  <si>
    <t>http://snap.windin.com/ns/bulletin.php?id=49029220&amp;type=1</t>
  </si>
  <si>
    <t>http://snap.windin.com/ns/bulletin.php?id=49029322&amp;type=1</t>
  </si>
  <si>
    <t>http://snap.windin.com/ns/bulletin.php?id=49029314&amp;type=1</t>
  </si>
  <si>
    <t>http://snap.windin.com/ns/bulletin.php?id=49029318&amp;type=1</t>
  </si>
  <si>
    <t>http://snap.windin.com/ns/bulletin.php?id=49029324&amp;type=1</t>
  </si>
  <si>
    <t>http://snap.windin.com/ns/bulletin.php?id=49029312&amp;type=1</t>
  </si>
  <si>
    <t>http://snap.windin.com/ns/bulletin.php?id=49029320&amp;type=1</t>
  </si>
  <si>
    <t>http://snap.windin.com/ns/bulletin.php?id=49029328&amp;type=1</t>
  </si>
  <si>
    <t>http://snap.windin.com/ns/bulletin.php?id=49029332&amp;type=1</t>
  </si>
  <si>
    <t>http://snap.windin.com/ns/bulletin.php?id=47802912&amp;type=1</t>
  </si>
  <si>
    <t>http://snap.windin.com/ns/bulletin.php?id=47802538&amp;type=1</t>
  </si>
  <si>
    <t>http://snap.windin.com/ns/bulletin.php?id=47804524&amp;type=1</t>
  </si>
  <si>
    <t>http://snap.windin.com/ns/bulletin.php?id=47804408&amp;type=1</t>
  </si>
  <si>
    <t>http://snap.windin.com/ns/bulletin.php?id=47804348&amp;type=1</t>
  </si>
  <si>
    <t>http://snap.windin.com/ns/bulletin.php?id=47820364&amp;type=1</t>
  </si>
  <si>
    <t>http://snap.windin.com/ns/bulletin.php?id=47821732&amp;type=1</t>
  </si>
  <si>
    <t>http://snap.windin.com/ns/bulletin.php?id=47820190&amp;type=1</t>
  </si>
  <si>
    <t>http://snap.windin.com/ns/bulletin.php?id=47820192&amp;type=1</t>
  </si>
  <si>
    <t>http://snap.windin.com/ns/bulletin.php?id=47820014&amp;type=1</t>
  </si>
  <si>
    <t>http://snap.windin.com/ns/bulletin.php?id=47819970&amp;type=1</t>
  </si>
  <si>
    <t>http://snap.windin.com/ns/bulletin.php?id=47819278&amp;type=1</t>
  </si>
  <si>
    <t>http://snap.windin.com/ns/bulletin.php?id=47818192&amp;type=1</t>
  </si>
  <si>
    <t>http://snap.windin.com/ns/bulletin.php?id=47818084&amp;type=1</t>
  </si>
  <si>
    <t>http://snap.windin.com/ns/bulletin.php?id=47818106&amp;type=1</t>
  </si>
  <si>
    <t>http://snap.windin.com/ns/bulletin.php?id=47817890&amp;type=1</t>
  </si>
  <si>
    <t>http://snap.windin.com/ns/bulletin.php?id=47817892&amp;type=1</t>
  </si>
  <si>
    <t>http://snap.windin.com/ns/bulletin.php?id=47817888&amp;type=1</t>
  </si>
  <si>
    <t>http://snap.windin.com/ns/bulletin.php?id=47804212&amp;type=1</t>
  </si>
  <si>
    <t>http://snap.windin.com/ns/bulletin.php?id=47803954&amp;type=1</t>
  </si>
  <si>
    <t>http://snap.windin.com/ns/bulletin.php?id=47803718&amp;type=1</t>
  </si>
  <si>
    <t>http://snap.windin.com/ns/bulletin.php?id=47803492&amp;type=1</t>
  </si>
  <si>
    <t>http://snap.windin.com/ns/bulletin.php?id=47803488&amp;type=1</t>
  </si>
  <si>
    <t>http://snap.windin.com/ns/bulletin.php?id=47803372&amp;type=1</t>
  </si>
  <si>
    <t>http://snap.windin.com/ns/bulletin.php?id=47803122&amp;type=1</t>
  </si>
  <si>
    <t>http://snap.windin.com/ns/bulletin.php?id=47817458&amp;type=1</t>
  </si>
  <si>
    <t>http://snap.windin.com/ns/bulletin.php?id=47817190&amp;type=1</t>
  </si>
  <si>
    <t>http://snap.windin.com/ns/bulletin.php?id=47813560&amp;type=1</t>
  </si>
  <si>
    <t>http://snap.windin.com/ns/bulletin.php?id=47822760&amp;type=1</t>
  </si>
  <si>
    <t>http://snap.windin.com/ns/bulletin.php?id=46240520&amp;type=1</t>
  </si>
  <si>
    <t>http://snap.windin.com/ns/bulletin.php?id=46240442&amp;type=1</t>
  </si>
  <si>
    <t>http://snap.windin.com/ns/bulletin.php?id=46240434&amp;type=1</t>
  </si>
  <si>
    <t>http://snap.windin.com/ns/bulletin.php?id=46240320&amp;type=1</t>
  </si>
  <si>
    <t>http://snap.windin.com/ns/bulletin.php?id=46240260&amp;type=1</t>
  </si>
  <si>
    <t>http://snap.windin.com/ns/bulletin.php?id=46240104&amp;type=1</t>
  </si>
  <si>
    <t>http://snap.windin.com/ns/bulletin.php?id=46240024&amp;type=1</t>
  </si>
  <si>
    <t>http://snap.windin.com/ns/bulletin.php?id=46240026&amp;type=1</t>
  </si>
  <si>
    <t>http://snap.windin.com/ns/bulletin.php?id=46240022&amp;type=1</t>
  </si>
  <si>
    <t>http://snap.windin.com/ns/bulletin.php?id=46239814&amp;type=1</t>
  </si>
  <si>
    <t>http://snap.windin.com/ns/bulletin.php?id=46240020&amp;type=1</t>
  </si>
  <si>
    <t>http://snap.windin.com/ns/bulletin.php?id=46239936&amp;type=1</t>
  </si>
  <si>
    <t>http://snap.windin.com/ns/bulletin.php?id=46239832&amp;type=1</t>
  </si>
  <si>
    <t>http://snap.windin.com/ns/bulletin.php?id=46240018&amp;type=1</t>
  </si>
  <si>
    <t>http://snap.windin.com/ns/bulletin.php?id=46240016&amp;type=1</t>
  </si>
  <si>
    <t>http://snap.windin.com/ns/bulletin.php?id=46239884&amp;type=1</t>
  </si>
  <si>
    <t>http://snap.windin.com/ns/bulletin.php?id=46239774&amp;type=1</t>
  </si>
  <si>
    <t>http://snap.windin.com/ns/bulletin.php?id=46239776&amp;type=1</t>
  </si>
  <si>
    <t>http://snap.windin.com/ns/bulletin.php?id=46239772&amp;type=1</t>
  </si>
  <si>
    <t>http://snap.windin.com/ns/bulletin.php?id=46239766&amp;type=1</t>
  </si>
  <si>
    <t>http://snap.windin.com/ns/bulletin.php?id=46239768&amp;type=1</t>
  </si>
  <si>
    <t>http://snap.windin.com/ns/bulletin.php?id=46240794&amp;type=1</t>
  </si>
  <si>
    <t>http://snap.windin.com/ns/bulletin.php?id=46240792&amp;type=1</t>
  </si>
  <si>
    <t>http://snap.windin.com/ns/bulletin.php?id=46240420&amp;type=1</t>
  </si>
  <si>
    <t>http://snap.windin.com/ns/bulletin.php?id=46239876&amp;type=1</t>
  </si>
  <si>
    <t>http://snap.windin.com/ns/bulletin.php?id=39401832&amp;type=1</t>
  </si>
  <si>
    <t>http://snap.windin.com/ns/bulletin.php?id=39401894&amp;type=1</t>
  </si>
  <si>
    <t>http://snap.windin.com/ns/bulletin.php?id=39401916&amp;type=1</t>
  </si>
  <si>
    <t>http://snap.windin.com/ns/bulletin.php?id=39401880&amp;type=1</t>
  </si>
  <si>
    <t>http://snap.windin.com/ns/bulletin.php?id=39401924&amp;type=1</t>
  </si>
  <si>
    <t>http://snap.windin.com/ns/bulletin.php?id=39401698&amp;type=1</t>
  </si>
  <si>
    <t>http://snap.windin.com/ns/bulletin.php?id=39401658&amp;type=1</t>
  </si>
  <si>
    <t>http://snap.windin.com/ns/bulletin.php?id=39401726&amp;type=1</t>
  </si>
  <si>
    <t>http://snap.windin.com/ns/bulletin.php?id=39401700&amp;type=1</t>
  </si>
  <si>
    <t>http://snap.windin.com/ns/bulletin.php?id=39401714&amp;type=1</t>
  </si>
  <si>
    <t>http://snap.windin.com/ns/bulletin.php?id=39401712&amp;type=1</t>
  </si>
  <si>
    <t>http://snap.windin.com/ns/bulletin.php?id=39401702&amp;type=1</t>
  </si>
  <si>
    <t>http://snap.windin.com/ns/bulletin.php?id=39401708&amp;type=1</t>
  </si>
  <si>
    <t>http://snap.windin.com/ns/bulletin.php?id=39401706&amp;type=1</t>
  </si>
  <si>
    <t>http://snap.windin.com/ns/bulletin.php?id=39401426&amp;type=1</t>
  </si>
  <si>
    <t>http://snap.windin.com/ns/bulletin.php?id=39401474&amp;type=1</t>
  </si>
  <si>
    <t>http://snap.windin.com/ns/bulletin.php?id=39401430&amp;type=1</t>
  </si>
  <si>
    <t>http://snap.windin.com/ns/bulletin.php?id=39401538&amp;type=1</t>
  </si>
  <si>
    <t>http://snap.windin.com/ns/bulletin.php?id=39401598&amp;type=1</t>
  </si>
  <si>
    <t>http://snap.windin.com/ns/bulletin.php?id=39401518&amp;type=1</t>
  </si>
  <si>
    <t>http://snap.windin.com/ns/bulletin.php?id=39401326&amp;type=1</t>
  </si>
  <si>
    <t>http://snap.windin.com/ns/bulletin.php?id=39401452&amp;type=1</t>
  </si>
  <si>
    <t>http://snap.windin.com/ns/bulletin.php?id=39401424&amp;type=1</t>
  </si>
  <si>
    <t>http://snap.windin.com/ns/bulletin.php?id=39401288&amp;type=1</t>
  </si>
  <si>
    <t>http://snap.windin.com/ns/bulletin.php?id=39400876&amp;type=1</t>
  </si>
  <si>
    <t>http://snap.windin.com/ns/bulletin.php?id=39401020&amp;type=1</t>
  </si>
  <si>
    <t>http://snap.windin.com/ns/bulletin.php?id=39401106&amp;type=1</t>
  </si>
  <si>
    <t>http://snap.windin.com/ns/bulletin.php?id=39400874&amp;type=1</t>
  </si>
  <si>
    <t>http://snap.windin.com/ns/bulletin.php?id=39401108&amp;type=1</t>
  </si>
  <si>
    <t>http://snap.windin.com/ns/bulletin.php?id=39512034&amp;type=1</t>
  </si>
  <si>
    <t>http://snap.windin.com/ns/bulletin.php?id=65435858&amp;type=1</t>
  </si>
  <si>
    <t>http://snap.windin.com/ns/bulletin.php?id=68017238&amp;type=1</t>
  </si>
  <si>
    <t>http://snap.windin.com/ns/bulletin.php?id=38069114&amp;type=1</t>
  </si>
  <si>
    <t>http://snap.windin.com/ns/bulletin.php?id=38069118&amp;type=1</t>
  </si>
  <si>
    <t>http://snap.windin.com/ns/bulletin.php?id=38069120&amp;type=1</t>
  </si>
  <si>
    <t>http://snap.windin.com/ns/bulletin.php?id=38069566&amp;type=1</t>
  </si>
  <si>
    <t>http://snap.windin.com/ns/bulletin.php?id=38069508&amp;type=1</t>
  </si>
  <si>
    <t>http://snap.windin.com/ns/bulletin.php?id=38064700&amp;type=1</t>
  </si>
  <si>
    <t>http://snap.windin.com/ns/bulletin.php?id=38064602&amp;type=1</t>
  </si>
  <si>
    <t>http://snap.windin.com/ns/bulletin.php?id=38065058&amp;type=1</t>
  </si>
  <si>
    <t>http://snap.windin.com/ns/bulletin.php?id=38064698&amp;type=1</t>
  </si>
  <si>
    <t>http://snap.windin.com/ns/bulletin.php?id=38065646&amp;type=1</t>
  </si>
  <si>
    <t>http://snap.windin.com/ns/bulletin.php?id=38069116&amp;type=1</t>
  </si>
  <si>
    <t>http://snap.windin.com/ns/bulletin.php?id=36824744&amp;type=1</t>
  </si>
  <si>
    <t>http://snap.windin.com/ns/bulletin.php?id=36824942&amp;type=1</t>
  </si>
  <si>
    <t>http://snap.windin.com/ns/bulletin.php?id=36824742&amp;type=1</t>
  </si>
  <si>
    <t>http://snap.windin.com/ns/bulletin.php?id=36824750&amp;type=1</t>
  </si>
  <si>
    <t>http://snap.windin.com/ns/bulletin.php?id=36824746&amp;type=1</t>
  </si>
  <si>
    <t>http://snap.windin.com/ns/bulletin.php?id=36825138&amp;type=1</t>
  </si>
  <si>
    <t>http://snap.windin.com/ns/bulletin.php?id=36825118&amp;type=1</t>
  </si>
  <si>
    <t>http://snap.windin.com/ns/bulletin.php?id=36825140&amp;type=1</t>
  </si>
  <si>
    <t>http://snap.windin.com/ns/bulletin.php?id=36825144&amp;type=1</t>
  </si>
  <si>
    <t>http://snap.windin.com/ns/bulletin.php?id=36854724&amp;type=1</t>
  </si>
  <si>
    <t>http://snap.windin.com/ns/bulletin.php?id=36854722&amp;type=1</t>
  </si>
  <si>
    <t>http://snap.windin.com/ns/bulletin.php?id=36825142&amp;type=1</t>
  </si>
  <si>
    <t>http://snap.windin.com/ns/bulletin.php?id=36825146&amp;type=1</t>
  </si>
  <si>
    <t>http://snap.windin.com/ns/bulletin.php?id=36825148&amp;type=1</t>
  </si>
  <si>
    <t>http://snap.windin.com/ns/bulletin.php?id=36854788&amp;type=1</t>
  </si>
  <si>
    <t>http://snap.windin.com/ns/bulletin.php?id=36854886&amp;type=1</t>
  </si>
  <si>
    <t>http://snap.windin.com/ns/bulletin.php?id=36854890&amp;type=1</t>
  </si>
  <si>
    <t>http://snap.windin.com/ns/bulletin.php?id=36854730&amp;type=1</t>
  </si>
  <si>
    <t>http://snap.windin.com/ns/bulletin.php?id=36854726&amp;type=1</t>
  </si>
  <si>
    <t>http://snap.windin.com/ns/bulletin.php?id=36822734&amp;type=1</t>
  </si>
  <si>
    <t>http://snap.windin.com/ns/bulletin.php?id=68017338&amp;type=1</t>
  </si>
  <si>
    <t>http://snap.windin.com/ns/bulletin.php?id=68017336&amp;type=1</t>
  </si>
  <si>
    <t>http://snap.windin.com/ns/bulletin.php?id=33105194&amp;type=1</t>
  </si>
  <si>
    <t>http://snap.windin.com/ns/bulletin.php?id=33105294&amp;type=1</t>
  </si>
  <si>
    <t>http://snap.windin.com/ns/bulletin.php?id=33105196&amp;type=1</t>
  </si>
  <si>
    <t>http://snap.windin.com/ns/bulletin.php?id=33104960&amp;type=1</t>
  </si>
  <si>
    <t>http://snap.windin.com/ns/bulletin.php?id=33104964&amp;type=1</t>
  </si>
  <si>
    <t>http://snap.windin.com/ns/bulletin.php?id=33105198&amp;type=1</t>
  </si>
  <si>
    <t>http://snap.windin.com/ns/bulletin.php?id=33105296&amp;type=1</t>
  </si>
  <si>
    <t>http://snap.windin.com/ns/bulletin.php?id=33104880&amp;type=1</t>
  </si>
  <si>
    <t>http://snap.windin.com/ns/bulletin.php?id=33104962&amp;type=1</t>
  </si>
  <si>
    <t>http://snap.windin.com/ns/bulletin.php?id=33068792&amp;type=1</t>
  </si>
  <si>
    <t>http://snap.windin.com/ns/bulletin.php?id=33068890&amp;type=1</t>
  </si>
  <si>
    <t>http://snap.windin.com/ns/bulletin.php?id=33072070&amp;type=1</t>
  </si>
  <si>
    <t>http://snap.windin.com/ns/bulletin.php?id=33104724&amp;type=1</t>
  </si>
  <si>
    <t>http://snap.windin.com/ns/bulletin.php?id=33068932&amp;type=1</t>
  </si>
  <si>
    <t>http://snap.windin.com/ns/bulletin.php?id=33104726&amp;type=1</t>
  </si>
  <si>
    <t>http://snap.windin.com/ns/bulletin.php?id=33068910&amp;type=1</t>
  </si>
  <si>
    <t>http://snap.windin.com/ns/bulletin.php?id=33104782&amp;type=1</t>
  </si>
  <si>
    <t>http://snap.windin.com/ns/bulletin.php?id=33068930&amp;type=1</t>
  </si>
  <si>
    <t>http://snap.windin.com/ns/bulletin.php?id=33104842&amp;type=1</t>
  </si>
  <si>
    <t>http://snap.windin.com/ns/bulletin.php?id=32208538&amp;type=1</t>
  </si>
  <si>
    <t>http://snap.windin.com/ns/bulletin.php?id=32258244&amp;type=1</t>
  </si>
  <si>
    <t>http://snap.windin.com/ns/bulletin.php?id=32207914&amp;type=1</t>
  </si>
  <si>
    <t>http://snap.windin.com/ns/bulletin.php?id=32208504&amp;type=1</t>
  </si>
  <si>
    <t>http://snap.windin.com/ns/bulletin.php?id=32208528&amp;type=1</t>
  </si>
  <si>
    <t>http://snap.windin.com/ns/bulletin.php?id=32208812&amp;type=1</t>
  </si>
  <si>
    <t>http://snap.windin.com/ns/bulletin.php?id=32208536&amp;type=1</t>
  </si>
  <si>
    <t>http://snap.windin.com/ns/bulletin.php?id=32208582&amp;type=1</t>
  </si>
  <si>
    <t>http://snap.windin.com/ns/bulletin.php?id=32209416&amp;type=1</t>
  </si>
  <si>
    <t>http://snap.windin.com/ns/bulletin.php?id=32209594&amp;type=1</t>
  </si>
  <si>
    <t>http://snap.windin.com/ns/bulletin.php?id=32209466&amp;type=1</t>
  </si>
  <si>
    <t>http://snap.windin.com/ns/bulletin.php?id=32208922&amp;type=1</t>
  </si>
  <si>
    <t>http://snap.windin.com/ns/bulletin.php?id=32209408&amp;type=1</t>
  </si>
  <si>
    <t>http://snap.windin.com/ns/bulletin.php?id=32209382&amp;type=1</t>
  </si>
  <si>
    <t>http://snap.windin.com/ns/bulletin.php?id=32209410&amp;type=1</t>
  </si>
  <si>
    <t>http://snap.windin.com/ns/bulletin.php?id=32209598&amp;type=1</t>
  </si>
  <si>
    <t>http://snap.windin.com/ns/bulletin.php?id=32209678&amp;type=1</t>
  </si>
  <si>
    <t>http://snap.windin.com/ns/bulletin.php?id=32221862&amp;type=1</t>
  </si>
  <si>
    <t>http://snap.windin.com/ns/bulletin.php?id=32209682&amp;type=1</t>
  </si>
  <si>
    <t>http://snap.windin.com/ns/bulletin.php?id=32209686&amp;type=1</t>
  </si>
  <si>
    <t>http://snap.windin.com/ns/bulletin.php?id=32221958&amp;type=1</t>
  </si>
  <si>
    <t>http://snap.windin.com/ns/bulletin.php?id=58753814&amp;type=1</t>
  </si>
  <si>
    <t>http://snap.windin.com/ns/bulletin.php?id=58753818&amp;type=1</t>
  </si>
  <si>
    <t>http://snap.windin.com/ns/bulletin.php?id=58753820&amp;type=1</t>
  </si>
  <si>
    <t>http://snap.windin.com/ns/bulletin.php?id=31505658&amp;type=1</t>
  </si>
  <si>
    <t>http://snap.windin.com/ns/bulletin.php?id=31505578&amp;type=1</t>
  </si>
  <si>
    <t>http://snap.windin.com/ns/bulletin.php?id=31505576&amp;type=1</t>
  </si>
  <si>
    <t>http://snap.windin.com/ns/bulletin.php?id=31505542&amp;type=1</t>
  </si>
  <si>
    <t>http://snap.windin.com/ns/bulletin.php?id=31505394&amp;type=1</t>
  </si>
  <si>
    <t>http://snap.windin.com/ns/bulletin.php?id=31505538&amp;type=1</t>
  </si>
  <si>
    <t>http://snap.windin.com/ns/bulletin.php?id=31505660&amp;type=1</t>
  </si>
  <si>
    <t>http://snap.windin.com/ns/bulletin.php?id=31505780&amp;type=1</t>
  </si>
  <si>
    <t>http://snap.windin.com/ns/bulletin.php?id=31505662&amp;type=1</t>
  </si>
  <si>
    <t>http://snap.windin.com/ns/bulletin.php?id=31505782&amp;type=1</t>
  </si>
  <si>
    <t>http://snap.windin.com/ns/bulletin.php?id=31145186&amp;type=1</t>
  </si>
  <si>
    <t>http://snap.windin.com/ns/bulletin.php?id=31145034&amp;type=1</t>
  </si>
  <si>
    <t>http://snap.windin.com/ns/bulletin.php?id=31145188&amp;type=1</t>
  </si>
  <si>
    <t>http://snap.windin.com/ns/bulletin.php?id=31145212&amp;type=1</t>
  </si>
  <si>
    <t>http://snap.windin.com/ns/bulletin.php?id=31145078&amp;type=1</t>
  </si>
  <si>
    <t>http://snap.windin.com/ns/bulletin.php?id=31145128&amp;type=1</t>
  </si>
  <si>
    <t>http://snap.windin.com/ns/bulletin.php?id=31145102&amp;type=1</t>
  </si>
  <si>
    <t>http://snap.windin.com/ns/bulletin.php?id=31145136&amp;type=1</t>
  </si>
  <si>
    <t>http://snap.windin.com/ns/bulletin.php?id=31145162&amp;type=1</t>
  </si>
  <si>
    <t>http://snap.windin.com/ns/bulletin.php?id=31145138&amp;type=1</t>
  </si>
  <si>
    <t>http://snap.windin.com/ns/bulletin.php?id=31145132&amp;type=1</t>
  </si>
  <si>
    <t>http://snap.windin.com/ns/bulletin.php?id=31145134&amp;type=1</t>
  </si>
  <si>
    <t>http://snap.windin.com/ns/bulletin.php?id=31145190&amp;type=1</t>
  </si>
  <si>
    <t>http://snap.windin.com/ns/bulletin.php?id=31145164&amp;type=1</t>
  </si>
  <si>
    <t>http://snap.windin.com/ns/bulletin.php?id=31145160&amp;type=1</t>
  </si>
  <si>
    <t>http://snap.windin.com/ns/bulletin.php?id=31145080&amp;type=1</t>
  </si>
  <si>
    <t>http://snap.windin.com/ns/bulletin.php?id=31145126&amp;type=1</t>
  </si>
  <si>
    <t>http://snap.windin.com/ns/bulletin.php?id=31145104&amp;type=1</t>
  </si>
  <si>
    <t>http://snap.windin.com/ns/bulletin.php?id=31145130&amp;type=1</t>
  </si>
  <si>
    <t>http://snap.windin.com/ns/bulletin.php?id=30865786&amp;type=1</t>
  </si>
  <si>
    <t>http://snap.windin.com/ns/bulletin.php?id=30865760&amp;type=1</t>
  </si>
  <si>
    <t>http://snap.windin.com/ns/bulletin.php?id=30866226&amp;type=1</t>
  </si>
  <si>
    <t>http://snap.windin.com/ns/bulletin.php?id=30865710&amp;type=1</t>
  </si>
  <si>
    <t>http://snap.windin.com/ns/bulletin.php?id=30866114&amp;type=1</t>
  </si>
  <si>
    <t>http://snap.windin.com/ns/bulletin.php?id=30865756&amp;type=1</t>
  </si>
  <si>
    <t>http://snap.windin.com/ns/bulletin.php?id=30865708&amp;type=1</t>
  </si>
  <si>
    <t>http://snap.windin.com/ns/bulletin.php?id=30865704&amp;type=1</t>
  </si>
  <si>
    <t>http://snap.windin.com/ns/bulletin.php?id=30865762&amp;type=1</t>
  </si>
  <si>
    <t>http://snap.windin.com/ns/bulletin.php?id=30865656&amp;type=1</t>
  </si>
  <si>
    <t>http://snap.windin.com/ns/bulletin.php?id=30865764&amp;type=1</t>
  </si>
  <si>
    <t>http://snap.windin.com/ns/bulletin.php?id=30865624&amp;type=1</t>
  </si>
  <si>
    <t>http://snap.windin.com/ns/bulletin.php?id=30865950&amp;type=1</t>
  </si>
  <si>
    <t>http://snap.windin.com/ns/bulletin.php?id=30865856&amp;type=1</t>
  </si>
  <si>
    <t>http://snap.windin.com/ns/bulletin.php?id=30865630&amp;type=1</t>
  </si>
  <si>
    <t>http://snap.windin.com/ns/bulletin.php?id=30866304&amp;type=1</t>
  </si>
  <si>
    <t>http://snap.windin.com/ns/bulletin.php?id=30866124&amp;type=1</t>
  </si>
  <si>
    <t>http://snap.windin.com/ns/bulletin.php?id=30866262&amp;type=1</t>
  </si>
  <si>
    <t>http://snap.windin.com/ns/bulletin.php?id=58753812&amp;type=1</t>
  </si>
  <si>
    <t>http://snap.windin.com/ns/bulletin.php?id=58753784&amp;type=1</t>
  </si>
  <si>
    <t>http://snap.windin.com/ns/bulletin.php?id=68017302&amp;type=1</t>
  </si>
  <si>
    <t>http://snap.windin.com/ns/bulletin.php?id=30463574&amp;type=1</t>
  </si>
  <si>
    <t>http://snap.windin.com/ns/bulletin.php?id=30463596&amp;type=1</t>
  </si>
  <si>
    <t>http://snap.windin.com/ns/bulletin.php?id=30463848&amp;type=1</t>
  </si>
  <si>
    <t>http://snap.windin.com/ns/bulletin.php?id=30463422&amp;type=1</t>
  </si>
  <si>
    <t>http://snap.windin.com/ns/bulletin.php?id=30463386&amp;type=1</t>
  </si>
  <si>
    <t>http://snap.windin.com/ns/bulletin.php?id=30463410&amp;type=1</t>
  </si>
  <si>
    <t>http://snap.windin.com/ns/bulletin.php?id=30463420&amp;type=1</t>
  </si>
  <si>
    <t>http://snap.windin.com/ns/bulletin.php?id=30463412&amp;type=1</t>
  </si>
  <si>
    <t>http://snap.windin.com/ns/bulletin.php?id=30463416&amp;type=1</t>
  </si>
  <si>
    <t>http://snap.windin.com/ns/bulletin.php?id=30463414&amp;type=1</t>
  </si>
  <si>
    <t>http://snap.windin.com/ns/bulletin.php?id=30463382&amp;type=1</t>
  </si>
  <si>
    <t>http://snap.windin.com/ns/bulletin.php?id=30463354&amp;type=1</t>
  </si>
  <si>
    <t>http://snap.windin.com/ns/bulletin.php?id=30463356&amp;type=1</t>
  </si>
  <si>
    <t>http://snap.windin.com/ns/bulletin.php?id=30463358&amp;type=1</t>
  </si>
  <si>
    <t>http://snap.windin.com/ns/bulletin.php?id=30463408&amp;type=1</t>
  </si>
  <si>
    <t>http://snap.windin.com/ns/bulletin.php?id=30463384&amp;type=1</t>
  </si>
  <si>
    <t>http://snap.windin.com/ns/bulletin.php?id=30463380&amp;type=1</t>
  </si>
  <si>
    <t>http://snap.windin.com/ns/bulletin.php?id=30463598&amp;type=1</t>
  </si>
  <si>
    <t>http://snap.windin.com/ns/bulletin.php?id=30463600&amp;type=1</t>
  </si>
  <si>
    <t>http://snap.windin.com/ns/bulletin.php?id=30463622&amp;type=1</t>
  </si>
  <si>
    <t>http://snap.windin.com/ns/bulletin.php?id=30463624&amp;type=1</t>
  </si>
  <si>
    <t>http://snap.windin.com/ns/bulletin.php?id=30463626&amp;type=1</t>
  </si>
  <si>
    <t>http://snap.windin.com/ns/bulletin.php?id=30463418&amp;type=1</t>
  </si>
  <si>
    <t>http://snap.windin.com/ns/bulletin.php?id=30463566&amp;type=1</t>
  </si>
  <si>
    <t>http://snap.windin.com/ns/bulletin.php?id=30463568&amp;type=1</t>
  </si>
  <si>
    <t>http://snap.windin.com/ns/bulletin.php?id=30463570&amp;type=1</t>
  </si>
  <si>
    <t>http://snap.windin.com/ns/bulletin.php?id=30463572&amp;type=1</t>
  </si>
  <si>
    <t>http://snap.windin.com/ns/bulletin.php?id=58753788&amp;type=1</t>
  </si>
  <si>
    <t>http://snap.windin.com/ns/bulletin.php?id=21910988&amp;type=1</t>
  </si>
  <si>
    <t>http://snap.windin.com/ns/bulletin.php?id=21839968&amp;type=1</t>
  </si>
  <si>
    <t>http://snap.windin.com/ns/bulletin.php?id=11212440&amp;type=1</t>
  </si>
  <si>
    <t>http://snap.windin.com/ns/bulletin.php?id=11145380&amp;type=1</t>
  </si>
  <si>
    <t>http://snap.windin.com/ns/bulletin.php?id=11145370&amp;type=1</t>
  </si>
  <si>
    <t>http://snap.windin.com/ns/bulletin.php?id=11145360&amp;type=1</t>
  </si>
  <si>
    <t>http://snap.windin.com/ns/bulletin.php?id=58753930&amp;type=1</t>
  </si>
  <si>
    <t>http://snap.windin.com/ns/bulletin.php?id=18319226&amp;type=1</t>
  </si>
  <si>
    <t>http://snap.windin.com/ns/bulletin.php?id=18319220&amp;type=1</t>
  </si>
  <si>
    <t>http://snap.windin.com/ns/bulletin.php?id=18315616&amp;type=1</t>
  </si>
  <si>
    <t>http://snap.windin.com/ns/bulletin.php?id=18315606&amp;type=1</t>
  </si>
  <si>
    <t>http://snap.windin.com/ns/bulletin.php?id=18315604&amp;type=1</t>
  </si>
  <si>
    <t>http://snap.windin.com/ns/bulletin.php?id=18312148&amp;type=1</t>
  </si>
  <si>
    <t>http://snap.windin.com/ns/bulletin.php?id=2569236&amp;type=1</t>
  </si>
  <si>
    <t>http://snap.windin.com/ns/bulletin.php?id=2569235&amp;type=1</t>
  </si>
  <si>
    <t>http://snap.windin.com/ns/bulletin.php?id=2569234&amp;type=1</t>
  </si>
  <si>
    <t>http://snap.windin.com/ns/bulletin.php?id=2520728&amp;type=1</t>
  </si>
  <si>
    <t>http://snap.windin.com/ns/bulletin.php?id=2518386&amp;type=1</t>
  </si>
  <si>
    <t>http://snap.windin.com/ns/bulletin.php?id=2518385&amp;type=1</t>
  </si>
  <si>
    <t>http://snap.windin.com/ns/bulletin.php?id=2518384&amp;type=1</t>
  </si>
  <si>
    <t>http://snap.windin.com/ns/bulletin.php?id=2518383&amp;type=1</t>
  </si>
  <si>
    <t>http://snap.windin.com/ns/bulletin.php?id=2446746&amp;type=1</t>
  </si>
  <si>
    <t>http://snap.windin.com/ns/bulletin.php?id=2446745&amp;type=1</t>
  </si>
  <si>
    <t>http://snap.windin.com/ns/bulletin.php?id=2370898&amp;type=1</t>
  </si>
  <si>
    <t>http://snap.windin.com/ns/bulletin.php?id=2354452&amp;type=1</t>
  </si>
  <si>
    <t>http://snap.windin.com/ns/bulletin.php?id=2354451&amp;type=1</t>
  </si>
  <si>
    <t>http://snap.windin.com/ns/bulletin.php?id=2354450&amp;type=1</t>
  </si>
  <si>
    <t>http://snap.windin.com/ns/bulletin.php?id=58754264&amp;type=1</t>
  </si>
  <si>
    <t>http://snap.windin.com/ns/bulletin.php?id=58754266&amp;type=1</t>
  </si>
  <si>
    <t>http://snap.windin.com/ns/bulletin.php?id=2243092&amp;type=1</t>
  </si>
  <si>
    <t>http://snap.windin.com/ns/bulletin.php?id=2243684&amp;type=1</t>
  </si>
  <si>
    <t>http://snap.windin.com/ns/bulletin.php?id=68017274&amp;type=1</t>
  </si>
  <si>
    <t>http://snap.windin.com/ns/bulletin.php?id=68017276&amp;type=1</t>
  </si>
  <si>
    <t>http://snap.windin.com/ns/bulletin.php?id=1219262&amp;type=1</t>
  </si>
  <si>
    <t>http://snap.windin.com/ns/bulletin.php?id=1312396&amp;type=1</t>
  </si>
  <si>
    <t>http://snap.windin.com/ns/bulletin.php?id=1919800&amp;type=1</t>
  </si>
  <si>
    <t>http://snap.windin.com/ns/bulletin.php?id=1517905&amp;type=1</t>
  </si>
  <si>
    <t>http://snap.windin.com/ns/bulletin.php?id=1238627&amp;type=1</t>
  </si>
  <si>
    <t>http://snap.windin.com/ns/bulletin.php?id=1962774&amp;type=1</t>
  </si>
  <si>
    <t>http://snap.windin.com/ns/bulletin.php?id=803652&amp;type=1</t>
  </si>
  <si>
    <t>http://snap.windin.com/ns/bulletin.php?id=1807854&amp;type=1</t>
  </si>
  <si>
    <t>http://snap.windin.com/ns/bulletin.php?id=1696158&amp;type=1</t>
  </si>
  <si>
    <t>http://snap.windin.com/ns/bulletin.php?id=1741123&amp;type=1</t>
  </si>
  <si>
    <t>http://snap.windin.com/ns/bulletin.php?id=136036&amp;type=1</t>
  </si>
  <si>
    <t>http://snap.windin.com/ns/bulletin.php?id=1925688&amp;type=1</t>
  </si>
  <si>
    <t>http://snap.windin.com/ns/bulletin.php?id=1488736&amp;type=1</t>
  </si>
  <si>
    <t>http://snap.windin.com/ns/bulletin.php?id=1536359&amp;type=1</t>
  </si>
  <si>
    <t>http://snap.windin.com/ns/bulletin.php?id=1047467&amp;type=1</t>
  </si>
  <si>
    <t>http://snap.windin.com/ns/bulletin.php?id=1117625&amp;type=1</t>
  </si>
  <si>
    <t>http://snap.windin.com/ns/bulletin.php?id=800279&amp;type=1</t>
  </si>
  <si>
    <t>http://snap.windin.com/ns/bulletin.php?id=846764&amp;type=1</t>
  </si>
  <si>
    <t>http://snap.windin.com/ns/bulletin.php?id=780933&amp;type=1</t>
  </si>
  <si>
    <t>http://snap.windin.com/ns/bulletin.php?id=21843452&amp;type=1</t>
  </si>
  <si>
    <t>http://snap.windin.com/ns/bulletin.php?id=1968368&amp;type=1</t>
  </si>
  <si>
    <t>http://snap.windin.com/ns/bulletin.php?id=1547159&amp;type=1</t>
  </si>
  <si>
    <t>http://snap.windin.com/ns/bulletin.php?id=1124306&amp;type=1</t>
  </si>
  <si>
    <t>http://snap.windin.com/ns/bulletin.php?id=1806346&amp;type=1</t>
  </si>
  <si>
    <t>http://snap.windin.com/ns/bulletin.php?id=21810640&amp;type=1</t>
  </si>
  <si>
    <t>http://snap.windin.com/ns/bulletin.php?id=1172906&amp;type=1</t>
  </si>
  <si>
    <t>http://snap.windin.com/ns/bulletin.php?id=530989&amp;type=1</t>
  </si>
  <si>
    <t>http://snap.windin.com/ns/bulletin.php?id=2129698&amp;type=1</t>
  </si>
  <si>
    <t>http://snap.windin.com/ns/bulletin.php?id=825158&amp;type=1</t>
  </si>
  <si>
    <t>http://snap.windin.com/ns/bulletin.php?id=978006&amp;type=1</t>
  </si>
  <si>
    <t>http://snap.windin.com/ns/bulletin.php?id=21851294&amp;type=1</t>
  </si>
  <si>
    <t>http://snap.windin.com/ns/bulletin.php?id=1997514&amp;type=1</t>
  </si>
  <si>
    <t>http://snap.windin.com/ns/bulletin.php?id=414499&amp;type=1</t>
  </si>
  <si>
    <t>http://snap.windin.com/ns/bulletin.php?id=1926140&amp;type=1</t>
  </si>
  <si>
    <t>http://snap.windin.com/ns/bulletin.php?id=1813836&amp;type=1</t>
  </si>
  <si>
    <t>http://snap.windin.com/ns/bulletin.php?id=1882927&amp;type=1</t>
  </si>
  <si>
    <t>http://snap.windin.com/ns/bulletin.php?id=1902441&amp;type=1</t>
  </si>
  <si>
    <t>http://snap.windin.com/ns/bulletin.php?id=602437&amp;type=1</t>
  </si>
  <si>
    <t>http://snap.windin.com/ns/bulletin.php?id=21851094&amp;type=1</t>
  </si>
  <si>
    <t>http://snap.windin.com/ns/bulletin.php?id=21750488&amp;type=1</t>
  </si>
  <si>
    <t>http://snap.windin.com/ns/bulletin.php?id=1637420&amp;type=1</t>
  </si>
  <si>
    <t>http://snap.windin.com/ns/bulletin.php?id=106194&amp;type=1</t>
  </si>
  <si>
    <t>http://snap.windin.com/ns/bulletin.php?id=1250036&amp;type=1</t>
  </si>
  <si>
    <t>http://snap.windin.com/ns/bulletin.php?id=21811060&amp;type=1</t>
  </si>
  <si>
    <t>http://snap.windin.com/ns/bulletin.php?id=21851416&amp;type=1</t>
  </si>
  <si>
    <t>http://snap.windin.com/ns/bulletin.php?id=1793663&amp;type=1</t>
  </si>
  <si>
    <t>http://snap.windin.com/ns/bulletin.php?id=21753566&amp;type=1</t>
  </si>
  <si>
    <t>http://snap.windin.com/ns/bulletin.php?id=58754538&amp;type=1</t>
  </si>
  <si>
    <t>http://snap.windin.com/ns/bulletin.php?id=581390&amp;type=1</t>
  </si>
  <si>
    <t>http://snap.windin.com/ns/bulletin.php?id=21851494&amp;type=1</t>
  </si>
  <si>
    <t>http://snap.windin.com/ns/bulletin.php?id=58754270&amp;type=1</t>
  </si>
  <si>
    <t>http://snap.windin.com/ns/bulletin.php?id=21811406&amp;type=1</t>
  </si>
  <si>
    <t>http://snap.windin.com/ns/bulletin.php?id=1732823&amp;type=1</t>
  </si>
  <si>
    <t>http://snap.windin.com/ns/bulletin.php?id=1974959&amp;type=1</t>
  </si>
  <si>
    <t>http://snap.windin.com/ns/bulletin.php?id=683266&amp;type=1</t>
  </si>
  <si>
    <t>http://snap.windin.com/ns/bulletin.php?id=85247&amp;type=1</t>
  </si>
  <si>
    <t>http://snap.windin.com/ns/bulletin.php?id=1575075&amp;type=1</t>
  </si>
  <si>
    <t>http://snap.windin.com/ns/bulletin.php?id=576541&amp;type=1</t>
  </si>
  <si>
    <t>http://snap.windin.com/ns/bulletin.php?id=883020&amp;type=1</t>
  </si>
  <si>
    <t>http://snap.windin.com/ns/bulletin.php?id=58754268&amp;type=1</t>
  </si>
  <si>
    <t>http://snap.windin.com/ns/bulletin.php?id=21843026&amp;type=1</t>
  </si>
  <si>
    <t>http://snap.windin.com/ns/bulletin.php?id=21843028&amp;type=1</t>
  </si>
  <si>
    <t>http://snap.windin.com/ns/bulletin.php?id=177342&amp;type=1</t>
  </si>
  <si>
    <t>http://snap.windin.com/ns/bulletin.php?id=1415296&amp;type=1</t>
  </si>
  <si>
    <t>http://snap.windin.com/ns/bulletin.php?id=538481&amp;type=1</t>
  </si>
  <si>
    <t>http://snap.windin.com/ns/bulletin.php?id=1592714&amp;type=1</t>
  </si>
  <si>
    <t>http://snap.windin.com/ns/bulletin.php?id=1755369&amp;type=1</t>
  </si>
  <si>
    <t>http://snap.windin.com/ns/bulletin.php?id=58754536&amp;type=1</t>
  </si>
  <si>
    <t>http://snap.windin.com/ns/bulletin.php?id=1589594&amp;type=1</t>
  </si>
  <si>
    <t>http://snap.windin.com/ns/bulletin.php?id=1381772&amp;type=1</t>
  </si>
  <si>
    <t>http://snap.windin.com/ns/bulletin.php?id=1666813&amp;type=1</t>
  </si>
  <si>
    <t>http://snap.windin.com/ns/bulletin.php?id=1796354&amp;type=1</t>
  </si>
  <si>
    <t>http://snap.windin.com/ns/bulletin.php?id=1372268&amp;type=1</t>
  </si>
  <si>
    <t>http://snap.windin.com/ns/bulletin.php?id=1403967&amp;type=1</t>
  </si>
  <si>
    <t>http://snap.windin.com/ns/bulletin.php?id=582353&amp;type=1</t>
  </si>
  <si>
    <t>http://snap.windin.com/ns/bulletin.php?id=2128566&amp;type=1</t>
  </si>
  <si>
    <t>http://snap.windin.com/ns/bulletin.php?id=1585953&amp;type=1</t>
  </si>
  <si>
    <t>http://snap.windin.com/ns/bulletin.php?id=607624&amp;type=1</t>
  </si>
  <si>
    <t>http://snap.windin.com/ns/bulletin.php?id=636923&amp;type=1</t>
  </si>
  <si>
    <t>http://snap.windin.com/ns/bulletin.php?id=752650&amp;type=1</t>
  </si>
  <si>
    <t>http://snap.windin.com/ns/bulletin.php?id=21843162&amp;type=1</t>
  </si>
  <si>
    <t>http://snap.windin.com/ns/bulletin.php?id=21752700&amp;type=1</t>
  </si>
  <si>
    <t>http://snap.windin.com/ns/bulletin.php?id=243179&amp;type=1</t>
  </si>
  <si>
    <t>http://snap.windin.com/ns/bulletin.php?id=1168744&amp;type=1</t>
  </si>
  <si>
    <t>http://snap.windin.com/ns/bulletin.php?id=2077175&amp;type=1</t>
  </si>
  <si>
    <t>http://snap.windin.com/ns/bulletin.php?id=1481526&amp;type=1</t>
  </si>
  <si>
    <t>http://snap.windin.com/ns/bulletin.php?id=21760402&amp;type=1</t>
  </si>
  <si>
    <t>http://snap.windin.com/ns/bulletin.php?id=21752324&amp;type=1</t>
  </si>
  <si>
    <t>http://snap.windin.com/ns/bulletin.php?id=21810358&amp;type=1</t>
  </si>
  <si>
    <t>http://snap.windin.com/ns/bulletin.php?id=21750580&amp;type=1</t>
  </si>
  <si>
    <t>http://snap.windin.com/ns/bulletin.php?id=1235472&amp;type=1</t>
  </si>
  <si>
    <t>http://snap.windin.com/ns/bulletin.php?id=1871167&amp;type=1</t>
  </si>
  <si>
    <t>http://snap.windin.com/ns/bulletin.php?id=636575&amp;type=1</t>
  </si>
  <si>
    <t>http://snap.windin.com/ns/bulletin.php?id=1260108&amp;type=1</t>
  </si>
  <si>
    <t>http://snap.windin.com/ns/bulletin.php?id=1927716&amp;type=1</t>
  </si>
  <si>
    <t>http://snap.windin.com/ns/bulletin.php?id=1788575&amp;type=1</t>
  </si>
  <si>
    <t>http://snap.windin.com/ns/bulletin.php?id=1028719&amp;type=1</t>
  </si>
  <si>
    <t>http://snap.windin.com/ns/bulletin.php?id=21753772&amp;type=1</t>
  </si>
  <si>
    <t>http://snap.windin.com/ns/bulletin.php?id=21752318&amp;type=1</t>
  </si>
  <si>
    <t>http://snap.windin.com/ns/bulletin.php?id=2113341&amp;type=1</t>
  </si>
  <si>
    <t>http://snap.windin.com/ns/bulletin.php?id=410522&amp;type=1</t>
  </si>
  <si>
    <t>http://snap.windin.com/ns/bulletin.php?id=80822&amp;type=1</t>
  </si>
  <si>
    <t>http://snap.windin.com/ns/bulletin.php?id=2049533&amp;type=1</t>
  </si>
  <si>
    <t>http://snap.windin.com/ns/bulletin.php?id=21811408&amp;type=1</t>
  </si>
  <si>
    <t>http://snap.windin.com/ns/bulletin.php?id=107776&amp;type=1</t>
  </si>
  <si>
    <t>http://snap.windin.com/ns/bulletin.php?id=21843988&amp;type=1</t>
  </si>
  <si>
    <t>http://snap.windin.com/ns/bulletin.php?id=1523211&amp;type=1</t>
  </si>
  <si>
    <t>http://snap.windin.com/ns/bulletin.php?id=21851438&amp;type=1</t>
  </si>
  <si>
    <t>http://snap.windin.com/ns/bulletin.php?id=789793&amp;type=1</t>
  </si>
  <si>
    <t>http://snap.windin.com/ns/bulletin.php?id=2121255&amp;type=1</t>
  </si>
  <si>
    <t>http://snap.windin.com/ns/bulletin.php?id=2061812&amp;type=1</t>
  </si>
  <si>
    <t>http://snap.windin.com/ns/bulletin.php?id=1868734&amp;type=1</t>
  </si>
  <si>
    <t>http://snap.windin.com/ns/bulletin.php?id=1833514&amp;type=1</t>
  </si>
  <si>
    <t>http://snap.windin.com/ns/bulletin.php?id=1567367&amp;type=1</t>
  </si>
  <si>
    <t>http://snap.windin.com/ns/bulletin.php?id=1469502&amp;type=1</t>
  </si>
  <si>
    <t>http://snap.windin.com/ns/bulletin.php?id=1515330&amp;type=1</t>
  </si>
  <si>
    <t>http://snap.windin.com/ns/bulletin.php?id=1493426&amp;type=1</t>
  </si>
  <si>
    <t>http://snap.windin.com/ns/bulletin.php?id=1126793&amp;type=1</t>
  </si>
  <si>
    <t>http://snap.windin.com/ns/bulletin.php?id=974339&amp;type=1</t>
  </si>
  <si>
    <t>http://snap.windin.com/ns/bulletin.php?id=21846510&amp;type=1</t>
  </si>
  <si>
    <t>http://snap.windin.com/ns/bulletin.php?id=1327220&amp;type=1</t>
  </si>
  <si>
    <t>http://snap.windin.com/ns/bulletin.php?id=1719298&amp;type=1</t>
  </si>
  <si>
    <t>http://snap.windin.com/ns/bulletin.php?id=1985067&amp;type=1</t>
  </si>
  <si>
    <t>http://snap.windin.com/ns/bulletin.php?id=123544&amp;type=1</t>
  </si>
  <si>
    <t>http://snap.windin.com/ns/bulletin.php?id=238074&amp;type=1</t>
  </si>
  <si>
    <t>http://snap.windin.com/ns/bulletin.php?id=1198876&amp;type=1</t>
  </si>
  <si>
    <t>http://snap.windin.com/ns/bulletin.php?id=1232115&amp;type=1</t>
  </si>
  <si>
    <t>http://snap.windin.com/ns/bulletin.php?id=590371&amp;type=1</t>
  </si>
  <si>
    <t>http://snap.windin.com/ns/bulletin.php?id=2052795&amp;type=1</t>
  </si>
  <si>
    <t>http://snap.windin.com/ns/bulletin.php?id=1983034&amp;type=1</t>
  </si>
  <si>
    <t>http://snap.windin.com/ns/bulletin.php?id=1889392&amp;type=1</t>
  </si>
  <si>
    <t>http://snap.windin.com/ns/bulletin.php?id=1553797&amp;type=1</t>
  </si>
  <si>
    <t>http://snap.windin.com/ns/bulletin.php?id=1538535&amp;type=1</t>
  </si>
  <si>
    <t>http://snap.windin.com/ns/bulletin.php?id=731458&amp;type=1</t>
  </si>
  <si>
    <t>http://snap.windin.com/ns/bulletin.php?id=21760384&amp;type=1</t>
  </si>
  <si>
    <t>http://snap.windin.com/ns/bulletin.php?id=1369955&amp;type=1</t>
  </si>
  <si>
    <t>http://snap.windin.com/ns/bulletin.php?id=1142100&amp;type=1</t>
  </si>
  <si>
    <t>http://snap.windin.com/ns/bulletin.php?id=2064817&amp;type=1</t>
  </si>
  <si>
    <t>http://snap.windin.com/ns/bulletin.php?id=1860690&amp;type=1</t>
  </si>
  <si>
    <t>http://snap.windin.com/ns/bulletin.php?id=21810728&amp;type=1</t>
  </si>
  <si>
    <t>http://snap.windin.com/ns/bulletin.php?id=21810698&amp;type=1</t>
  </si>
  <si>
    <t>http://snap.windin.com/ns/bulletin.php?id=21811058&amp;type=1</t>
  </si>
  <si>
    <t>http://snap.windin.com/ns/bulletin.php?id=1633277&amp;type=1</t>
  </si>
  <si>
    <t>http://snap.windin.com/ns/bulletin.php?id=144555&amp;type=1</t>
  </si>
  <si>
    <t>http://snap.windin.com/ns/bulletin.php?id=1386271&amp;type=1</t>
  </si>
  <si>
    <t>http://snap.windin.com/ns/bulletin.php?id=1819393&amp;type=1</t>
  </si>
  <si>
    <t>http://snap.windin.com/ns/bulletin.php?id=1803446&amp;type=1</t>
  </si>
  <si>
    <t>http://snap.windin.com/ns/bulletin.php?id=21845686&amp;type=1</t>
  </si>
  <si>
    <t>http://snap.windin.com/ns/bulletin.php?id=1715565&amp;type=1</t>
  </si>
  <si>
    <t>http://snap.windin.com/ns/bulletin.php?id=1651333&amp;type=1</t>
  </si>
  <si>
    <t>http://snap.windin.com/ns/bulletin.php?id=239267&amp;type=1</t>
  </si>
  <si>
    <t>http://snap.windin.com/ns/bulletin.php?id=1570935&amp;type=1</t>
  </si>
  <si>
    <t>http://snap.windin.com/ns/bulletin.php?id=1562928&amp;type=1</t>
  </si>
  <si>
    <t>http://snap.windin.com/ns/bulletin.php?id=1541539&amp;type=1</t>
  </si>
  <si>
    <t>http://snap.windin.com/ns/bulletin.php?id=608196&amp;type=1</t>
  </si>
  <si>
    <t>http://snap.windin.com/ns/bulletin.php?id=1278367&amp;type=1</t>
  </si>
  <si>
    <t>http://snap.windin.com/ns/bulletin.php?id=844189&amp;type=1</t>
  </si>
  <si>
    <t>http://snap.windin.com/ns/bulletin.php?id=959845&amp;type=1</t>
  </si>
  <si>
    <t>http://snap.windin.com/ns/bulletin.php?id=21750420&amp;type=1</t>
  </si>
  <si>
    <t>http://snap.windin.com/ns/bulletin.php?id=1287718&amp;type=1</t>
  </si>
  <si>
    <t>http://snap.windin.com/ns/bulletin.php?id=1021849&amp;type=1</t>
  </si>
  <si>
    <t>http://snap.windin.com/ns/bulletin.php?id=21752492&amp;type=1</t>
  </si>
  <si>
    <t>http://snap.windin.com/ns/bulletin.php?id=21851498&amp;type=1</t>
  </si>
  <si>
    <t>http://snap.windin.com/ns/bulletin.php?id=21851318&amp;type=1</t>
  </si>
  <si>
    <t>http://snap.windin.com/ns/bulletin.php?id=1742525&amp;type=1</t>
  </si>
  <si>
    <t>http://snap.windin.com/ns/bulletin.php?id=1764925&amp;type=1</t>
  </si>
  <si>
    <t>http://snap.windin.com/ns/bulletin.php?id=81792&amp;type=1</t>
  </si>
  <si>
    <t>http://snap.windin.com/ns/bulletin.php?id=1572292&amp;type=1</t>
  </si>
  <si>
    <t>http://snap.windin.com/ns/bulletin.php?id=1454409&amp;type=1</t>
  </si>
  <si>
    <t>http://snap.windin.com/ns/bulletin.php?id=1489159&amp;type=1</t>
  </si>
  <si>
    <t>http://snap.windin.com/ns/bulletin.php?id=1535372&amp;type=1</t>
  </si>
  <si>
    <t>http://snap.windin.com/ns/bulletin.php?id=129032&amp;type=1</t>
  </si>
  <si>
    <t>http://snap.windin.com/ns/bulletin.php?id=21845736&amp;type=1</t>
  </si>
  <si>
    <t>http://snap.windin.com/ns/bulletin.php?id=21760428&amp;type=1</t>
  </si>
  <si>
    <t>http://snap.windin.com/ns/bulletin.php?id=21760408&amp;type=1</t>
  </si>
  <si>
    <t>http://snap.windin.com/ns/bulletin.php?id=21851538&amp;type=1</t>
  </si>
  <si>
    <t>http://snap.windin.com/ns/bulletin.php?id=21843048&amp;type=1</t>
  </si>
  <si>
    <t>http://snap.windin.com/ns/bulletin.php?id=114704&amp;type=1</t>
  </si>
  <si>
    <t>http://snap.windin.com/ns/bulletin.php?id=1326167&amp;type=1</t>
  </si>
  <si>
    <t>http://snap.windin.com/ns/bulletin.php?id=70268&amp;type=1</t>
  </si>
  <si>
    <t>http://snap.windin.com/ns/bulletin.php?id=2095913&amp;type=1</t>
  </si>
  <si>
    <t>http://snap.windin.com/ns/bulletin.php?id=2047660&amp;type=1</t>
  </si>
  <si>
    <t>http://snap.windin.com/ns/bulletin.php?id=2025215&amp;type=1</t>
  </si>
  <si>
    <t>http://snap.windin.com/ns/bulletin.php?id=1878317&amp;type=1</t>
  </si>
  <si>
    <t>http://snap.windin.com/ns/bulletin.php?id=1893385&amp;type=1</t>
  </si>
  <si>
    <t>http://snap.windin.com/ns/bulletin.php?id=1945836&amp;type=1</t>
  </si>
  <si>
    <t>http://snap.windin.com/ns/bulletin.php?id=1429640&amp;type=1</t>
  </si>
  <si>
    <t>http://snap.windin.com/ns/bulletin.php?id=1293510&amp;type=1</t>
  </si>
  <si>
    <t>http://snap.windin.com/ns/bulletin.php?id=1534184&amp;type=1</t>
  </si>
  <si>
    <t>http://snap.windin.com/ns/bulletin.php?id=857413&amp;type=1</t>
  </si>
  <si>
    <t>http://snap.windin.com/ns/bulletin.php?id=1507533&amp;type=1</t>
  </si>
  <si>
    <t>http://snap.windin.com/ns/bulletin.php?id=21851506&amp;type=1</t>
  </si>
  <si>
    <t>http://snap.windin.com/ns/bulletin.php?id=21851246&amp;type=1</t>
  </si>
  <si>
    <t>http://snap.windin.com/ns/bulletin.php?id=21843758&amp;type=1</t>
  </si>
  <si>
    <t>http://snap.windin.com/ns/bulletin.php?id=21843532&amp;type=1</t>
  </si>
  <si>
    <t>http://snap.windin.com/ns/bulletin.php?id=21843032&amp;type=1</t>
  </si>
  <si>
    <t>http://snap.windin.com/ns/bulletin.php?id=21811044&amp;type=1</t>
  </si>
  <si>
    <t>http://snap.windin.com/ns/bulletin.php?id=21811032&amp;type=1</t>
  </si>
  <si>
    <t>http://snap.windin.com/ns/bulletin.php?id=196278&amp;type=1</t>
  </si>
  <si>
    <t>http://snap.windin.com/ns/bulletin.php?id=1438791&amp;type=1</t>
  </si>
  <si>
    <t>http://snap.windin.com/ns/bulletin.php?id=1501266&amp;type=1</t>
  </si>
  <si>
    <t>http://snap.windin.com/ns/bulletin.php?id=633635&amp;type=1</t>
  </si>
  <si>
    <t>http://snap.windin.com/ns/bulletin.php?id=738489&amp;type=1</t>
  </si>
  <si>
    <t>http://snap.windin.com/ns/bulletin.php?id=1282653&amp;type=1</t>
  </si>
  <si>
    <t>http://snap.windin.com/ns/bulletin.php?id=1025693&amp;type=1</t>
  </si>
  <si>
    <t>http://snap.windin.com/ns/bulletin.php?id=978890&amp;type=1</t>
  </si>
  <si>
    <t>http://snap.windin.com/ns/bulletin.php?id=1002502&amp;type=1</t>
  </si>
  <si>
    <t>http://snap.windin.com/ns/bulletin.php?id=1083829&amp;type=1</t>
  </si>
  <si>
    <t>http://snap.windin.com/ns/bulletin.php?id=164306&amp;type=1</t>
  </si>
  <si>
    <t>http://snap.windin.com/ns/bulletin.php?id=2013770&amp;type=1</t>
  </si>
  <si>
    <t>http://snap.windin.com/ns/bulletin.php?id=21895906&amp;type=1</t>
  </si>
  <si>
    <t>http://snap.windin.com/ns/bulletin.php?id=1346799&amp;type=1</t>
  </si>
  <si>
    <t>http://snap.windin.com/ns/bulletin.php?id=1320152&amp;type=1</t>
  </si>
  <si>
    <t>http://snap.windin.com/ns/bulletin.php?id=540581&amp;type=1</t>
  </si>
  <si>
    <t>http://snap.windin.com/ns/bulletin.php?id=537321&amp;type=1</t>
  </si>
  <si>
    <t>http://snap.windin.com/ns/bulletin.php?id=1077665&amp;type=1</t>
  </si>
  <si>
    <t>http://snap.windin.com/ns/bulletin.php?id=21851594&amp;type=1</t>
  </si>
  <si>
    <t>http://snap.windin.com/ns/bulletin.php?id=1664749&amp;type=1</t>
  </si>
  <si>
    <t>http://snap.windin.com/ns/bulletin.php?id=1315461&amp;type=1</t>
  </si>
  <si>
    <t>http://snap.windin.com/ns/bulletin.php?id=2113224&amp;type=1</t>
  </si>
  <si>
    <t>http://snap.windin.com/ns/bulletin.php?id=1966640&amp;type=1</t>
  </si>
  <si>
    <t>http://snap.windin.com/ns/bulletin.php?id=1458169&amp;type=1</t>
  </si>
  <si>
    <t>http://snap.windin.com/ns/bulletin.php?id=870539&amp;type=1</t>
  </si>
  <si>
    <t>http://snap.windin.com/ns/bulletin.php?id=975277&amp;type=1</t>
  </si>
  <si>
    <t>http://snap.windin.com/ns/bulletin.php?id=1315696&amp;type=1</t>
  </si>
  <si>
    <t>http://snap.windin.com/ns/bulletin.php?id=2045445&amp;type=1</t>
  </si>
  <si>
    <t>http://snap.windin.com/ns/bulletin.php?id=1506461&amp;type=1</t>
  </si>
  <si>
    <t>http://snap.windin.com/ns/bulletin.php?id=21752876&amp;type=1</t>
  </si>
  <si>
    <t>http://snap.windin.com/ns/bulletin.php?id=2002363&amp;type=1</t>
  </si>
  <si>
    <t>http://snap.windin.com/ns/bulletin.php?id=1211388&amp;type=1</t>
  </si>
  <si>
    <t>http://snap.windin.com/ns/bulletin.php?id=1811603&amp;type=1</t>
  </si>
  <si>
    <t>http://snap.windin.com/ns/bulletin.php?id=1164638&amp;type=1</t>
  </si>
  <si>
    <t>http://snap.windin.com/ns/bulletin.php?id=752233&amp;type=1</t>
  </si>
  <si>
    <t>http://snap.windin.com/ns/bulletin.php?id=850330&amp;type=1</t>
  </si>
  <si>
    <t>http://snap.windin.com/ns/bulletin.php?id=1408940&amp;type=1</t>
  </si>
  <si>
    <t>http://snap.windin.com/ns/bulletin.php?id=605239&amp;type=1</t>
  </si>
  <si>
    <t>http://snap.windin.com/ns/bulletin.php?id=752132&amp;type=1</t>
  </si>
  <si>
    <t>http://snap.windin.com/ns/bulletin.php?id=1071656&amp;type=1</t>
  </si>
  <si>
    <t>http://snap.windin.com/ns/bulletin.php?id=1744541&amp;type=1</t>
  </si>
  <si>
    <t>http://snap.windin.com/ns/bulletin.php?id=1266548&amp;type=1</t>
  </si>
  <si>
    <t>http://snap.windin.com/ns/bulletin.php?id=1243277&amp;type=1</t>
  </si>
  <si>
    <t>http://snap.windin.com/ns/bulletin.php?id=1367453&amp;type=1</t>
  </si>
  <si>
    <t>http://snap.windin.com/ns/bulletin.php?id=1826887&amp;type=1</t>
  </si>
  <si>
    <t>http://snap.windin.com/ns/bulletin.php?id=1930150&amp;type=1</t>
  </si>
  <si>
    <t>http://snap.windin.com/ns/bulletin.php?id=1778145&amp;type=1</t>
  </si>
  <si>
    <t>http://snap.windin.com/ns/bulletin.php?id=1531220&amp;type=1</t>
  </si>
  <si>
    <t>http://snap.windin.com/ns/bulletin.php?id=1675978&amp;type=1</t>
  </si>
  <si>
    <t>http://snap.windin.com/ns/bulletin.php?id=1917938&amp;type=1</t>
  </si>
  <si>
    <t>http://snap.windin.com/ns/bulletin.php?id=1565398&amp;type=1</t>
  </si>
  <si>
    <t>http://snap.windin.com/ns/bulletin.php?id=1652372&amp;type=1</t>
  </si>
  <si>
    <t>http://snap.windin.com/ns/bulletin.php?id=1995094&amp;type=1</t>
  </si>
  <si>
    <t>http://snap.windin.com/ns/bulletin.php?id=145265&amp;type=1</t>
  </si>
  <si>
    <t>http://snap.windin.com/ns/bulletin.php?id=21811052&amp;type=1</t>
  </si>
  <si>
    <t>http://snap.windin.com/ns/bulletin.php?id=1715699&amp;type=1</t>
  </si>
  <si>
    <t>http://snap.windin.com/ns/bulletin.php?id=1706811&amp;type=1</t>
  </si>
  <si>
    <t>http://snap.windin.com/ns/bulletin.php?id=166535&amp;type=1</t>
  </si>
  <si>
    <t>http://snap.windin.com/ns/bulletin.php?id=1145046&amp;type=1</t>
  </si>
  <si>
    <t>http://snap.windin.com/ns/bulletin.php?id=2054561&amp;type=1</t>
  </si>
  <si>
    <t>http://snap.windin.com/ns/bulletin.php?id=2009950&amp;type=1</t>
  </si>
  <si>
    <t>http://snap.windin.com/ns/bulletin.php?id=1284993&amp;type=1</t>
  </si>
  <si>
    <t>http://snap.windin.com/ns/bulletin.php?id=1028863&amp;type=1</t>
  </si>
  <si>
    <t>http://snap.windin.com/ns/bulletin.php?id=1637317&amp;type=1</t>
  </si>
  <si>
    <t>http://snap.windin.com/ns/bulletin.php?id=2117875&amp;type=1</t>
  </si>
  <si>
    <t>http://snap.windin.com/ns/bulletin.php?id=181341&amp;type=1</t>
  </si>
  <si>
    <t>http://snap.windin.com/ns/bulletin.php?id=791473&amp;type=1</t>
  </si>
  <si>
    <t>http://snap.windin.com/ns/bulletin.php?id=1837989&amp;type=1</t>
  </si>
  <si>
    <t>http://snap.windin.com/ns/bulletin.php?id=1536658&amp;type=1</t>
  </si>
  <si>
    <t>http://snap.windin.com/ns/bulletin.php?id=131494&amp;type=1</t>
  </si>
  <si>
    <t>http://snap.windin.com/ns/bulletin.php?id=104975&amp;type=1</t>
  </si>
  <si>
    <t>http://snap.windin.com/ns/bulletin.php?id=1344215&amp;type=1</t>
  </si>
  <si>
    <t>http://snap.windin.com/ns/bulletin.php?id=445822&amp;type=1</t>
  </si>
  <si>
    <t>http://snap.windin.com/ns/bulletin.php?id=861765&amp;type=1</t>
  </si>
  <si>
    <t>http://snap.windin.com/ns/bulletin.php?id=1028120&amp;type=1</t>
  </si>
  <si>
    <t>http://snap.windin.com/ns/bulletin.php?id=1074256&amp;type=1</t>
  </si>
  <si>
    <t>http://snap.windin.com/ns/bulletin.php?id=1955834&amp;type=1</t>
  </si>
  <si>
    <t>http://snap.windin.com/ns/bulletin.php?id=1923846&amp;type=1</t>
  </si>
  <si>
    <t>http://snap.windin.com/ns/bulletin.php?id=939560&amp;type=1</t>
  </si>
  <si>
    <t>http://snap.windin.com/ns/bulletin.php?id=1746389&amp;type=1</t>
  </si>
  <si>
    <t>http://snap.windin.com/ns/bulletin.php?id=1801896&amp;type=1</t>
  </si>
  <si>
    <t>http://snap.windin.com/ns/bulletin.php?id=1951685&amp;type=1</t>
  </si>
  <si>
    <t>http://snap.windin.com/ns/bulletin.php?id=1939807&amp;type=1</t>
  </si>
  <si>
    <t>http://snap.windin.com/ns/bulletin.php?id=1933269&amp;type=1</t>
  </si>
  <si>
    <t>http://snap.windin.com/ns/bulletin.php?id=861306&amp;type=1</t>
  </si>
  <si>
    <t>http://snap.windin.com/ns/bulletin.php?id=1033178&amp;type=1</t>
  </si>
  <si>
    <t>http://snap.windin.com/ns/bulletin.php?id=1430966&amp;type=1</t>
  </si>
  <si>
    <t>http://snap.windin.com/ns/bulletin.php?id=1389563&amp;type=1</t>
  </si>
  <si>
    <t>http://snap.windin.com/ns/bulletin.php?id=867122&amp;type=1</t>
  </si>
  <si>
    <t>http://snap.windin.com/ns/bulletin.php?id=199191&amp;type=1</t>
  </si>
  <si>
    <t>http://snap.windin.com/ns/bulletin.php?id=1502086&amp;type=1</t>
  </si>
  <si>
    <t>http://snap.windin.com/ns/bulletin.php?id=1558898&amp;type=1</t>
  </si>
  <si>
    <t>http://snap.windin.com/ns/bulletin.php?id=638568&amp;type=1</t>
  </si>
  <si>
    <t>http://snap.windin.com/ns/bulletin.php?id=1768977&amp;type=1</t>
  </si>
  <si>
    <t>http://snap.windin.com/ns/bulletin.php?id=113420&amp;type=1</t>
  </si>
  <si>
    <t>http://snap.windin.com/ns/bulletin.php?id=2017961&amp;type=1</t>
  </si>
  <si>
    <t>http://snap.windin.com/ns/bulletin.php?id=1583315&amp;type=1</t>
  </si>
  <si>
    <t>http://snap.windin.com/ns/bulletin.php?id=178056&amp;type=1</t>
  </si>
  <si>
    <t>http://snap.windin.com/ns/bulletin.php?id=423681&amp;type=1</t>
  </si>
  <si>
    <t>http://snap.windin.com/ns/bulletin.php?id=680554&amp;type=1</t>
  </si>
  <si>
    <t>http://snap.windin.com/ns/bulletin.php?id=1725938&amp;type=1</t>
  </si>
  <si>
    <t>http://snap.windin.com/ns/bulletin.php?id=489202&amp;type=1</t>
  </si>
  <si>
    <t>http://snap.windin.com/ns/bulletin.php?id=1680294&amp;type=1</t>
  </si>
  <si>
    <t>http://snap.windin.com/ns/bulletin.php?id=2103176&amp;type=1</t>
  </si>
  <si>
    <t>http://snap.windin.com/ns/bulletin.php?id=1100005&amp;type=1</t>
  </si>
  <si>
    <t>http://snap.windin.com/ns/bulletin.php?id=1348990&amp;type=1</t>
  </si>
  <si>
    <t>http://snap.windin.com/ns/bulletin.php?id=927869&amp;type=1</t>
  </si>
  <si>
    <t>http://snap.windin.com/ns/bulletin.php?id=166431&amp;type=1</t>
  </si>
  <si>
    <t>http://snap.windin.com/ns/bulletin.php?id=1548911&amp;type=1</t>
  </si>
  <si>
    <t>http://snap.windin.com/ns/bulletin.php?id=936694&amp;type=1</t>
  </si>
  <si>
    <t>http://snap.windin.com/ns/bulletin.php?id=107692&amp;type=1</t>
  </si>
  <si>
    <t>http://snap.windin.com/ns/bulletin.php?id=997133&amp;type=1</t>
  </si>
  <si>
    <t>http://snap.windin.com/ns/bulletin.php?id=202572&amp;type=1</t>
  </si>
  <si>
    <t>http://snap.windin.com/ns/bulletin.php?id=89348&amp;type=1</t>
  </si>
  <si>
    <t>http://snap.windin.com/ns/bulletin.php?id=1422090&amp;type=1</t>
  </si>
  <si>
    <t>http://snap.windin.com/ns/bulletin.php?id=679251&amp;type=1</t>
  </si>
  <si>
    <t>http://snap.windin.com/ns/bulletin.php?id=539274&amp;type=1</t>
  </si>
  <si>
    <t>http://snap.windin.com/ns/bulletin.php?id=1921963&amp;type=1</t>
  </si>
  <si>
    <t>http://snap.windin.com/ns/bulletin.php?id=1135558&amp;type=1</t>
  </si>
  <si>
    <t>http://snap.windin.com/ns/bulletin.php?id=1377360&amp;type=1</t>
  </si>
  <si>
    <t>http://snap.windin.com/ns/bulletin.php?id=441504&amp;type=1</t>
  </si>
  <si>
    <t>http://snap.windin.com/ns/bulletin.php?id=1447029&amp;type=1</t>
  </si>
  <si>
    <t>http://snap.windin.com/ns/bulletin.php?id=1505992&amp;type=1</t>
  </si>
  <si>
    <t>http://snap.windin.com/ns/bulletin.php?id=1530174&amp;type=1</t>
  </si>
  <si>
    <t>http://snap.windin.com/ns/bulletin.php?id=726161&amp;type=1</t>
  </si>
  <si>
    <t>http://snap.windin.com/ns/bulletin.php?id=897130&amp;type=1</t>
  </si>
  <si>
    <t>http://snap.windin.com/ns/bulletin.php?id=952877&amp;type=1</t>
  </si>
  <si>
    <t>http://snap.windin.com/ns/bulletin.php?id=101921&amp;type=1</t>
  </si>
  <si>
    <t>http://snap.windin.com/ns/bulletin.php?id=590151&amp;type=1</t>
  </si>
  <si>
    <t>http://snap.windin.com/ns/bulletin.php?id=431062&amp;type=1</t>
  </si>
  <si>
    <t>http://snap.windin.com/ns/bulletin.php?id=1434747&amp;type=1</t>
  </si>
  <si>
    <t>http://snap.windin.com/ns/bulletin.php?id=627285&amp;type=1</t>
  </si>
  <si>
    <t>http://snap.windin.com/ns/bulletin.php?id=1060180&amp;type=1</t>
  </si>
  <si>
    <t>http://snap.windin.com/ns/bulletin.php?id=1677245&amp;type=1</t>
  </si>
  <si>
    <t>http://snap.windin.com/ns/bulletin.php?id=79930&amp;type=1</t>
  </si>
  <si>
    <t>http://snap.windin.com/ns/bulletin.php?id=116177&amp;type=1</t>
  </si>
  <si>
    <t>http://snap.windin.com/ns/bulletin.php?id=243619&amp;type=1</t>
  </si>
  <si>
    <t>http://snap.windin.com/ns/bulletin.php?id=1165076&amp;type=1</t>
  </si>
  <si>
    <t>http://snap.windin.com/ns/bulletin.php?id=966419&amp;type=1</t>
  </si>
  <si>
    <t>http://snap.windin.com/ns/bulletin.php?id=2129559&amp;type=1</t>
  </si>
  <si>
    <t>http://snap.windin.com/ns/bulletin.php?id=2065685&amp;type=1</t>
  </si>
  <si>
    <t>http://snap.windin.com/ns/bulletin.php?id=1844067&amp;type=1</t>
  </si>
  <si>
    <t>http://snap.windin.com/ns/bulletin.php?id=1674999&amp;type=1</t>
  </si>
  <si>
    <t>http://snap.windin.com/ns/bulletin.php?id=122836&amp;type=1</t>
  </si>
  <si>
    <t>http://snap.windin.com/ns/bulletin.php?id=1174445&amp;type=1</t>
  </si>
  <si>
    <t>http://snap.windin.com/ns/bulletin.php?id=1369694&amp;type=1</t>
  </si>
  <si>
    <t>http://snap.windin.com/ns/bulletin.php?id=934497&amp;type=1</t>
  </si>
  <si>
    <t>http://snap.windin.com/ns/bulletin.php?id=830076&amp;type=1</t>
  </si>
  <si>
    <t>http://snap.windin.com/ns/bulletin.php?id=1677214&amp;type=1</t>
  </si>
  <si>
    <t>http://snap.windin.com/ns/bulletin.php?id=1998136&amp;type=1</t>
  </si>
  <si>
    <t>http://snap.windin.com/ns/bulletin.php?id=119687&amp;type=1</t>
  </si>
  <si>
    <t>http://snap.windin.com/ns/bulletin.php?id=1924296&amp;type=1</t>
  </si>
  <si>
    <t>http://snap.windin.com/ns/bulletin.php?id=624230&amp;type=1</t>
  </si>
  <si>
    <t>http://snap.windin.com/ns/bulletin.php?id=1380944&amp;type=1</t>
  </si>
  <si>
    <t>http://snap.windin.com/ns/bulletin.php?id=1369584&amp;type=1</t>
  </si>
  <si>
    <t>http://snap.windin.com/ns/bulletin.php?id=2066174&amp;type=1</t>
  </si>
  <si>
    <t>http://snap.windin.com/ns/bulletin.php?id=2087232&amp;type=1</t>
  </si>
  <si>
    <t>http://snap.windin.com/ns/bulletin.php?id=472457&amp;type=1</t>
  </si>
  <si>
    <t>http://snap.windin.com/ns/bulletin.php?id=479971&amp;type=1</t>
  </si>
  <si>
    <t>http://snap.windin.com/ns/bulletin.php?id=80956&amp;type=1</t>
  </si>
  <si>
    <t>http://snap.windin.com/ns/bulletin.php?id=577514&amp;type=1</t>
  </si>
  <si>
    <t>http://snap.windin.com/ns/bulletin.php?id=233027&amp;type=1</t>
  </si>
  <si>
    <t>http://snap.windin.com/ns/bulletin.php?id=1373070&amp;type=1</t>
  </si>
  <si>
    <t>http://snap.windin.com/ns/bulletin.php?id=1920429&amp;type=1</t>
  </si>
  <si>
    <t>http://snap.windin.com/ns/bulletin.php?id=1801176&amp;type=1</t>
  </si>
  <si>
    <t>http://snap.windin.com/ns/bulletin.php?id=1588518&amp;type=1</t>
  </si>
  <si>
    <t>http://snap.windin.com/ns/bulletin.php?id=1179238&amp;type=1</t>
  </si>
  <si>
    <t>http://snap.windin.com/ns/bulletin.php?id=1225735&amp;type=1</t>
  </si>
  <si>
    <t>http://snap.windin.com/ns/bulletin.php?id=527228&amp;type=1</t>
  </si>
  <si>
    <t>http://snap.windin.com/ns/bulletin.php?id=2052419&amp;type=1</t>
  </si>
  <si>
    <t>http://snap.windin.com/ns/bulletin.php?id=1818749&amp;type=1</t>
  </si>
  <si>
    <t>http://snap.windin.com/ns/bulletin.php?id=211075&amp;type=1</t>
  </si>
  <si>
    <t>http://snap.windin.com/ns/bulletin.php?id=592698&amp;type=1</t>
  </si>
  <si>
    <t>http://snap.windin.com/ns/bulletin.php?id=1113257&amp;type=1</t>
  </si>
  <si>
    <t>http://snap.windin.com/ns/bulletin.php?id=959820&amp;type=1</t>
  </si>
  <si>
    <t>http://snap.windin.com/ns/bulletin.php?id=1660922&amp;type=1</t>
  </si>
  <si>
    <t>http://snap.windin.com/ns/bulletin.php?id=432953&amp;type=1</t>
  </si>
  <si>
    <t>http://snap.windin.com/ns/bulletin.php?id=157327&amp;type=1</t>
  </si>
  <si>
    <t>http://snap.windin.com/ns/bulletin.php?id=1197338&amp;type=1</t>
  </si>
  <si>
    <t>http://snap.windin.com/ns/bulletin.php?id=1983363&amp;type=1</t>
  </si>
  <si>
    <t>http://snap.windin.com/ns/bulletin.php?id=1265938&amp;type=1</t>
  </si>
  <si>
    <t>http://snap.windin.com/ns/bulletin.php?id=1644442&amp;type=1</t>
  </si>
  <si>
    <t>http://snap.windin.com/ns/bulletin.php?id=195342&amp;type=1</t>
  </si>
  <si>
    <t>http://snap.windin.com/ns/bulletin.php?id=703801&amp;type=1</t>
  </si>
  <si>
    <t>http://snap.windin.com/ns/bulletin.php?id=99059&amp;type=1</t>
  </si>
  <si>
    <t>http://snap.windin.com/ns/bulletin.php?id=1233625&amp;type=1</t>
  </si>
  <si>
    <t>http://snap.windin.com/ns/bulletin.php?id=2031461&amp;type=1</t>
  </si>
  <si>
    <t>http://snap.windin.com/ns/bulletin.php?id=1910128&amp;type=1</t>
  </si>
  <si>
    <t>http://snap.windin.com/ns/bulletin.php?id=1814151&amp;type=1</t>
  </si>
  <si>
    <t>http://snap.windin.com/ns/bulletin.php?id=1592481&amp;type=1</t>
  </si>
  <si>
    <t>http://snap.windin.com/ns/bulletin.php?id=1492760&amp;type=1</t>
  </si>
  <si>
    <t>http://snap.windin.com/ns/bulletin.php?id=659149&amp;type=1</t>
  </si>
  <si>
    <t>http://snap.windin.com/ns/bulletin.php?id=978956&amp;type=1</t>
  </si>
  <si>
    <t>http://snap.windin.com/ns/bulletin.php?id=1978234&amp;type=1</t>
  </si>
  <si>
    <t>http://snap.windin.com/ns/bulletin.php?id=1762642&amp;type=1</t>
  </si>
  <si>
    <t>http://snap.windin.com/ns/bulletin.php?id=1696655&amp;type=1</t>
  </si>
  <si>
    <t>http://snap.windin.com/ns/bulletin.php?id=674593&amp;type=1</t>
  </si>
  <si>
    <t>http://snap.windin.com/ns/bulletin.php?id=1665625&amp;type=1</t>
  </si>
  <si>
    <t>http://snap.windin.com/ns/bulletin.php?id=1893735&amp;type=1</t>
  </si>
  <si>
    <t>http://snap.windin.com/ns/bulletin.php?id=1856730&amp;type=1</t>
  </si>
  <si>
    <t>http://snap.windin.com/ns/bulletin.php?id=1885035&amp;type=1</t>
  </si>
  <si>
    <t>http://snap.windin.com/ns/bulletin.php?id=736302&amp;type=1</t>
  </si>
  <si>
    <t>http://snap.windin.com/ns/bulletin.php?id=1701213&amp;type=1</t>
  </si>
  <si>
    <t>http://snap.windin.com/ns/bulletin.php?id=494464&amp;type=1</t>
  </si>
  <si>
    <t>http://snap.windin.com/ns/bulletin.php?id=1914048&amp;type=1</t>
  </si>
  <si>
    <t>http://snap.windin.com/ns/bulletin.php?id=466539&amp;type=1</t>
  </si>
  <si>
    <t>http://snap.windin.com/ns/bulletin.php?id=663410&amp;type=1</t>
  </si>
  <si>
    <t>http://snap.windin.com/ns/bulletin.php?id=1480652&amp;type=1</t>
  </si>
  <si>
    <t>http://snap.windin.com/ns/bulletin.php?id=1040290&amp;type=1</t>
  </si>
  <si>
    <t>http://snap.windin.com/ns/bulletin.php?id=1041877&amp;type=1</t>
  </si>
  <si>
    <t>http://snap.windin.com/ns/bulletin.php?id=774271&amp;type=1</t>
  </si>
  <si>
    <t>http://snap.windin.com/ns/bulletin.php?id=2014017&amp;type=1</t>
  </si>
  <si>
    <t>http://snap.windin.com/ns/bulletin.php?id=1990845&amp;type=1</t>
  </si>
  <si>
    <t>http://snap.windin.com/ns/bulletin.php?id=1361648&amp;type=1</t>
  </si>
  <si>
    <t>http://snap.windin.com/ns/bulletin.php?id=2097530&amp;type=1</t>
  </si>
  <si>
    <t>http://snap.windin.com/ns/bulletin.php?id=1485555&amp;type=1</t>
  </si>
  <si>
    <t>http://snap.windin.com/ns/bulletin.php?id=1080508&amp;type=1</t>
  </si>
  <si>
    <t>http://snap.windin.com/ns/bulletin.php?id=663552&amp;type=1</t>
  </si>
  <si>
    <t>http://snap.windin.com/ns/bulletin.php?id=1495574&amp;type=1</t>
  </si>
  <si>
    <t>http://snap.windin.com/ns/bulletin.php?id=1880505&amp;type=1</t>
  </si>
  <si>
    <t>http://snap.windin.com/ns/bulletin.php?id=178085&amp;type=1</t>
  </si>
  <si>
    <t>http://snap.windin.com/ns/bulletin.php?id=538040&amp;type=1</t>
  </si>
  <si>
    <t>http://snap.windin.com/ns/bulletin.php?id=1443649&amp;type=1</t>
  </si>
  <si>
    <t>http://snap.windin.com/ns/bulletin.php?id=1539591&amp;type=1</t>
  </si>
  <si>
    <t>http://snap.windin.com/ns/bulletin.php?id=1382365&amp;type=1</t>
  </si>
  <si>
    <t>http://snap.windin.com/ns/bulletin.php?id=2051102&amp;type=1</t>
  </si>
  <si>
    <t>http://snap.windin.com/ns/bulletin.php?id=739326&amp;type=1</t>
  </si>
  <si>
    <t>http://snap.windin.com/ns/bulletin.php?id=1046986&amp;type=1</t>
  </si>
  <si>
    <t>http://snap.windin.com/ns/bulletin.php?id=869906&amp;type=1</t>
  </si>
  <si>
    <t>http://snap.windin.com/ns/bulletin.php?id=892901&amp;type=1</t>
  </si>
  <si>
    <t>http://snap.windin.com/ns/bulletin.php?id=1164081&amp;type=1</t>
  </si>
  <si>
    <t>http://snap.windin.com/ns/bulletin.php?id=505387&amp;type=1</t>
  </si>
  <si>
    <t>http://snap.windin.com/ns/bulletin.php?id=905597&amp;type=1</t>
  </si>
  <si>
    <t>http://snap.windin.com/ns/bulletin.php?id=145319&amp;type=1</t>
  </si>
  <si>
    <t>http://snap.windin.com/ns/bulletin.php?id=973429&amp;type=1</t>
  </si>
  <si>
    <t>http://snap.windin.com/ns/bulletin.php?id=1205401&amp;type=1</t>
  </si>
  <si>
    <t>http://snap.windin.com/ns/bulletin.php?id=2048324&amp;type=1</t>
  </si>
  <si>
    <t>http://snap.windin.com/ns/bulletin.php?id=190341&amp;type=1</t>
  </si>
  <si>
    <t>http://snap.windin.com/ns/bulletin.php?id=743476&amp;type=1</t>
  </si>
  <si>
    <t>http://snap.windin.com/ns/bulletin.php?id=1065021&amp;type=1</t>
  </si>
  <si>
    <t>http://snap.windin.com/ns/bulletin.php?id=964186&amp;type=1</t>
  </si>
  <si>
    <t>http://snap.windin.com/ns/bulletin.php?id=1793294&amp;type=1</t>
  </si>
  <si>
    <t>http://snap.windin.com/ns/bulletin.php?id=120359&amp;type=1</t>
  </si>
  <si>
    <t>http://snap.windin.com/ns/bulletin.php?id=203723&amp;type=1</t>
  </si>
  <si>
    <t>http://snap.windin.com/ns/bulletin.php?id=1947295&amp;type=1</t>
  </si>
  <si>
    <t>http://snap.windin.com/ns/bulletin.php?id=1271891&amp;type=1</t>
  </si>
  <si>
    <t>http://snap.windin.com/ns/bulletin.php?id=2022281&amp;type=1</t>
  </si>
  <si>
    <t>http://snap.windin.com/ns/bulletin.php?id=1702139&amp;type=1</t>
  </si>
  <si>
    <t>http://snap.windin.com/ns/bulletin.php?id=486980&amp;type=1</t>
  </si>
  <si>
    <t>http://snap.windin.com/ns/bulletin.php?id=2126194&amp;type=1</t>
  </si>
  <si>
    <t>http://snap.windin.com/ns/bulletin.php?id=1192297&amp;type=1</t>
  </si>
  <si>
    <t>http://snap.windin.com/ns/bulletin.php?id=2071189&amp;type=1</t>
  </si>
  <si>
    <t>http://snap.windin.com/ns/bulletin.php?id=149623&amp;type=1</t>
  </si>
  <si>
    <t>http://snap.windin.com/ns/bulletin.php?id=1963829&amp;type=1</t>
  </si>
  <si>
    <t>http://snap.windin.com/ns/bulletin.php?id=572403&amp;type=1</t>
  </si>
  <si>
    <t>http://snap.windin.com/ns/bulletin.php?id=585053&amp;type=1</t>
  </si>
  <si>
    <t>http://snap.windin.com/ns/bulletin.php?id=1453498&amp;type=1</t>
  </si>
  <si>
    <t>http://snap.windin.com/ns/bulletin.php?id=515607&amp;type=1</t>
  </si>
  <si>
    <t>http://snap.windin.com/ns/bulletin.php?id=1763027&amp;type=1</t>
  </si>
  <si>
    <t>http://snap.windin.com/ns/bulletin.php?id=1008235&amp;type=1</t>
  </si>
  <si>
    <t>http://snap.windin.com/ns/bulletin.php?id=21843704&amp;type=1</t>
  </si>
  <si>
    <t>http://snap.windin.com/ns/bulletin.php?id=100527&amp;type=1</t>
  </si>
  <si>
    <t>http://snap.windin.com/ns/bulletin.php?id=1561631&amp;type=1</t>
  </si>
  <si>
    <t>http://snap.windin.com/ns/bulletin.php?id=125340&amp;type=1</t>
  </si>
  <si>
    <t>http://snap.windin.com/ns/bulletin.php?id=145830&amp;type=1</t>
  </si>
  <si>
    <t>http://snap.windin.com/ns/bulletin.php?id=710202&amp;type=1</t>
  </si>
  <si>
    <t>http://snap.windin.com/ns/bulletin.php?id=2121096&amp;type=1</t>
  </si>
  <si>
    <t>http://snap.windin.com/ns/bulletin.php?id=1500596&amp;type=1</t>
  </si>
  <si>
    <t>http://snap.windin.com/ns/bulletin.php?id=1330868&amp;type=1</t>
  </si>
  <si>
    <t>http://snap.windin.com/ns/bulletin.php?id=1221704&amp;type=1</t>
  </si>
  <si>
    <t>http://snap.windin.com/ns/bulletin.php?id=128945&amp;type=1</t>
  </si>
  <si>
    <t>http://snap.windin.com/ns/bulletin.php?id=1668819&amp;type=1</t>
  </si>
  <si>
    <t>http://snap.windin.com/ns/bulletin.php?id=1967396&amp;type=1</t>
  </si>
  <si>
    <t>http://snap.windin.com/ns/bulletin.php?id=1682474&amp;type=1</t>
  </si>
  <si>
    <t>http://snap.windin.com/ns/bulletin.php?id=1639389&amp;type=1</t>
  </si>
  <si>
    <t>http://snap.windin.com/ns/bulletin.php?id=1387249&amp;type=1</t>
  </si>
  <si>
    <t>http://snap.windin.com/ns/bulletin.php?id=666615&amp;type=1</t>
  </si>
  <si>
    <t>http://snap.windin.com/ns/bulletin.php?id=412836&amp;type=1</t>
  </si>
  <si>
    <t>http://snap.windin.com/ns/bulletin.php?id=1568525&amp;type=1</t>
  </si>
  <si>
    <t>http://snap.windin.com/ns/bulletin.php?id=1500781&amp;type=1</t>
  </si>
  <si>
    <t>http://snap.windin.com/ns/bulletin.php?id=945073&amp;type=1</t>
  </si>
  <si>
    <t>http://snap.windin.com/ns/bulletin.php?id=1198205&amp;type=1</t>
  </si>
  <si>
    <t>http://snap.windin.com/ns/bulletin.php?id=1178624&amp;type=1</t>
  </si>
  <si>
    <t>http://snap.windin.com/ns/bulletin.php?id=1799568&amp;type=1</t>
  </si>
  <si>
    <t>http://snap.windin.com/ns/bulletin.php?id=1475479&amp;type=1</t>
  </si>
  <si>
    <t>http://snap.windin.com/ns/bulletin.php?id=1308582&amp;type=1</t>
  </si>
  <si>
    <t>http://snap.windin.com/ns/bulletin.php?id=2096303&amp;type=1</t>
  </si>
  <si>
    <t>http://snap.windin.com/ns/bulletin.php?id=2003144&amp;type=1</t>
  </si>
  <si>
    <t>http://snap.windin.com/ns/bulletin.php?id=920812&amp;type=1</t>
  </si>
  <si>
    <t>http://snap.windin.com/ns/bulletin.php?id=2111405&amp;type=1</t>
  </si>
  <si>
    <t>http://snap.windin.com/ns/bulletin.php?id=1914970&amp;type=1</t>
  </si>
  <si>
    <t>http://snap.windin.com/ns/bulletin.php?id=1568260&amp;type=1</t>
  </si>
  <si>
    <t>http://snap.windin.com/ns/bulletin.php?id=723035&amp;type=1</t>
  </si>
  <si>
    <t>http://snap.windin.com/ns/bulletin.php?id=1021862&amp;type=1</t>
  </si>
  <si>
    <t>http://snap.windin.com/ns/bulletin.php?id=1767212&amp;type=1</t>
  </si>
  <si>
    <t>http://snap.windin.com/ns/bulletin.php?id=1156021&amp;type=1</t>
  </si>
  <si>
    <t>http://snap.windin.com/ns/bulletin.php?id=461667&amp;type=1</t>
  </si>
  <si>
    <t>http://snap.windin.com/ns/bulletin.php?id=860388&amp;type=1</t>
  </si>
  <si>
    <t>http://snap.windin.com/ns/bulletin.php?id=1674232&amp;type=1</t>
  </si>
  <si>
    <t>http://snap.windin.com/ns/bulletin.php?id=1731207&amp;type=1</t>
  </si>
  <si>
    <t>http://snap.windin.com/ns/bulletin.php?id=235341&amp;type=1</t>
  </si>
  <si>
    <t>http://snap.windin.com/ns/bulletin.php?id=1517137&amp;type=1</t>
  </si>
  <si>
    <t>http://snap.windin.com/ns/bulletin.php?id=1522449&amp;type=1</t>
  </si>
  <si>
    <t>http://snap.windin.com/ns/bulletin.php?id=801167&amp;type=1</t>
  </si>
  <si>
    <t>http://snap.windin.com/ns/bulletin.php?id=405658&amp;type=1</t>
  </si>
  <si>
    <t>http://snap.windin.com/ns/bulletin.php?id=2035639&amp;type=1</t>
  </si>
  <si>
    <t>http://snap.windin.com/ns/bulletin.php?id=1477449&amp;type=1</t>
  </si>
  <si>
    <t>http://snap.windin.com/ns/bulletin.php?id=792709&amp;type=1</t>
  </si>
  <si>
    <t>http://snap.windin.com/ns/bulletin.php?id=153853&amp;type=1</t>
  </si>
  <si>
    <t>http://snap.windin.com/ns/bulletin.php?id=1891096&amp;type=1</t>
  </si>
  <si>
    <t>http://snap.windin.com/ns/bulletin.php?id=1081407&amp;type=1</t>
  </si>
  <si>
    <t>http://snap.windin.com/ns/bulletin.php?id=1612883&amp;type=1</t>
  </si>
  <si>
    <t>http://snap.windin.com/ns/bulletin.php?id=1224740&amp;type=1</t>
  </si>
  <si>
    <t>http://snap.windin.com/ns/bulletin.php?id=21843634&amp;type=1</t>
  </si>
  <si>
    <t>http://snap.windin.com/ns/bulletin.php?id=1720563&amp;type=1</t>
  </si>
  <si>
    <t>http://snap.windin.com/ns/bulletin.php?id=1636550&amp;type=1</t>
  </si>
  <si>
    <t>http://snap.windin.com/ns/bulletin.php?id=2007999&amp;type=1</t>
  </si>
  <si>
    <t>http://snap.windin.com/ns/bulletin.php?id=1246818&amp;type=1</t>
  </si>
  <si>
    <t>http://snap.windin.com/ns/bulletin.php?id=431029&amp;type=1</t>
  </si>
  <si>
    <t>http://snap.windin.com/ns/bulletin.php?id=1086564&amp;type=1</t>
  </si>
  <si>
    <t>http://snap.windin.com/ns/bulletin.php?id=996869&amp;type=1</t>
  </si>
  <si>
    <t>http://snap.windin.com/ns/bulletin.php?id=1664277&amp;type=1</t>
  </si>
  <si>
    <t>http://snap.windin.com/ns/bulletin.php?id=1888537&amp;type=1</t>
  </si>
  <si>
    <t>http://snap.windin.com/ns/bulletin.php?id=1215812&amp;type=1</t>
  </si>
  <si>
    <t>http://snap.windin.com/ns/bulletin.php?id=1966553&amp;type=1</t>
  </si>
  <si>
    <t>http://snap.windin.com/ns/bulletin.php?id=1592239&amp;type=1</t>
  </si>
  <si>
    <t>http://snap.windin.com/ns/bulletin.php?id=235547&amp;type=1</t>
  </si>
  <si>
    <t>http://snap.windin.com/ns/bulletin.php?id=1983043&amp;type=1</t>
  </si>
  <si>
    <t>http://snap.windin.com/ns/bulletin.php?id=1814517&amp;type=1</t>
  </si>
  <si>
    <t>http://snap.windin.com/ns/bulletin.php?id=2019935&amp;type=1</t>
  </si>
  <si>
    <t>http://snap.windin.com/ns/bulletin.php?id=143563&amp;type=1</t>
  </si>
  <si>
    <t>http://snap.windin.com/ns/bulletin.php?id=2068744&amp;type=1</t>
  </si>
  <si>
    <t>http://snap.windin.com/ns/bulletin.php?id=1022602&amp;type=1</t>
  </si>
  <si>
    <t>http://snap.windin.com/ns/bulletin.php?id=558220&amp;type=1</t>
  </si>
  <si>
    <t>http://snap.windin.com/ns/bulletin.php?id=2096523&amp;type=1</t>
  </si>
  <si>
    <t>http://snap.windin.com/ns/bulletin.php?id=718360&amp;type=1</t>
  </si>
  <si>
    <t>http://snap.windin.com/ns/bulletin.php?id=527680&amp;type=1</t>
  </si>
  <si>
    <t>http://snap.windin.com/ns/bulletin.php?id=659294&amp;type=1</t>
  </si>
  <si>
    <t>http://snap.windin.com/ns/bulletin.php?id=1266089&amp;type=1</t>
  </si>
  <si>
    <t>http://snap.windin.com/ns/bulletin.php?id=1458327&amp;type=1</t>
  </si>
  <si>
    <t>http://snap.windin.com/ns/bulletin.php?id=1744649&amp;type=1</t>
  </si>
  <si>
    <t>http://snap.windin.com/ns/bulletin.php?id=199187&amp;type=1</t>
  </si>
  <si>
    <t>http://snap.windin.com/ns/bulletin.php?id=2055530&amp;type=1</t>
  </si>
  <si>
    <t>http://snap.windin.com/ns/bulletin.php?id=925705&amp;type=1</t>
  </si>
  <si>
    <t>http://snap.windin.com/ns/bulletin.php?id=719883&amp;type=1</t>
  </si>
  <si>
    <t>http://snap.windin.com/ns/bulletin.php?id=1741199&amp;type=1</t>
  </si>
  <si>
    <t>http://snap.windin.com/ns/bulletin.php?id=446947&amp;type=1</t>
  </si>
  <si>
    <t>http://snap.windin.com/ns/bulletin.php?id=1490166&amp;type=1</t>
  </si>
  <si>
    <t>http://snap.windin.com/ns/bulletin.php?id=1122410&amp;type=1</t>
  </si>
  <si>
    <t>http://snap.windin.com/ns/bulletin.php?id=1882283&amp;type=1</t>
  </si>
  <si>
    <t>http://snap.windin.com/ns/bulletin.php?id=1048026&amp;type=1</t>
  </si>
  <si>
    <t>http://snap.windin.com/ns/bulletin.php?id=1016072&amp;type=1</t>
  </si>
  <si>
    <t>http://snap.windin.com/ns/bulletin.php?id=1604162&amp;type=1</t>
  </si>
  <si>
    <t>http://snap.windin.com/ns/bulletin.php?id=424664&amp;type=1</t>
  </si>
  <si>
    <t>http://snap.windin.com/ns/bulletin.php?id=2079792&amp;type=1</t>
  </si>
  <si>
    <t>http://snap.windin.com/ns/bulletin.php?id=2034414&amp;type=1</t>
  </si>
  <si>
    <t>http://snap.windin.com/ns/bulletin.php?id=1964520&amp;type=1</t>
  </si>
  <si>
    <t>http://snap.windin.com/ns/bulletin.php?id=1987491&amp;type=1</t>
  </si>
  <si>
    <t>http://snap.windin.com/ns/bulletin.php?id=1972696&amp;type=1</t>
  </si>
  <si>
    <t>http://snap.windin.com/ns/bulletin.php?id=1686825&amp;type=1</t>
  </si>
  <si>
    <t>http://snap.windin.com/ns/bulletin.php?id=1449423&amp;type=1</t>
  </si>
  <si>
    <t>http://snap.windin.com/ns/bulletin.php?id=1904877&amp;type=1</t>
  </si>
  <si>
    <t>http://snap.windin.com/ns/bulletin.php?id=741654&amp;type=1</t>
  </si>
  <si>
    <t>http://snap.windin.com/ns/bulletin.php?id=1326622&amp;type=1</t>
  </si>
  <si>
    <t>http://snap.windin.com/ns/bulletin.php?id=2082642&amp;type=1</t>
  </si>
  <si>
    <t>http://snap.windin.com/ns/bulletin.php?id=1463228&amp;type=1</t>
  </si>
  <si>
    <t>http://snap.windin.com/ns/bulletin.php?id=1701763&amp;type=1</t>
  </si>
  <si>
    <t>http://snap.windin.com/ns/bulletin.php?id=1156743&amp;type=1</t>
  </si>
  <si>
    <t>http://snap.windin.com/ns/bulletin.php?id=1326204&amp;type=1</t>
  </si>
  <si>
    <t>http://snap.windin.com/ns/bulletin.php?id=1911868&amp;type=1</t>
  </si>
  <si>
    <t>http://snap.windin.com/ns/bulletin.php?id=582907&amp;type=1</t>
  </si>
  <si>
    <t>http://snap.windin.com/ns/bulletin.php?id=839270&amp;type=1</t>
  </si>
  <si>
    <t>http://snap.windin.com/ns/bulletin.php?id=1750359&amp;type=1</t>
  </si>
  <si>
    <t>http://snap.windin.com/ns/bulletin.php?id=1849490&amp;type=1</t>
  </si>
  <si>
    <t>http://snap.windin.com/ns/bulletin.php?id=652093&amp;type=1</t>
  </si>
  <si>
    <t>http://snap.windin.com/ns/bulletin.php?id=907861&amp;type=1</t>
  </si>
  <si>
    <t>http://snap.windin.com/ns/bulletin.php?id=1516427&amp;type=1</t>
  </si>
  <si>
    <t>http://snap.windin.com/ns/bulletin.php?id=719729&amp;type=1</t>
  </si>
  <si>
    <t>http://snap.windin.com/ns/bulletin.php?id=1287165&amp;type=1</t>
  </si>
  <si>
    <t>http://snap.windin.com/ns/bulletin.php?id=500070&amp;type=1</t>
  </si>
  <si>
    <t>http://snap.windin.com/ns/bulletin.php?id=2084849&amp;type=1</t>
  </si>
  <si>
    <t>http://snap.windin.com/ns/bulletin.php?id=509138&amp;type=1</t>
  </si>
  <si>
    <t>http://snap.windin.com/ns/bulletin.php?id=541266&amp;type=1</t>
  </si>
  <si>
    <t>http://snap.windin.com/ns/bulletin.php?id=1504970&amp;type=1</t>
  </si>
  <si>
    <t>http://snap.windin.com/ns/bulletin.php?id=956276&amp;type=1</t>
  </si>
  <si>
    <t>http://snap.windin.com/ns/bulletin.php?id=126389&amp;type=1</t>
  </si>
  <si>
    <t>http://snap.windin.com/ns/bulletin.php?id=510184&amp;type=1</t>
  </si>
  <si>
    <t>http://snap.windin.com/ns/bulletin.php?id=426369&amp;type=1</t>
  </si>
  <si>
    <t>http://snap.windin.com/ns/bulletin.php?id=1812542&amp;type=1</t>
  </si>
  <si>
    <t>http://snap.windin.com/ns/bulletin.php?id=1757192&amp;type=1</t>
  </si>
  <si>
    <t>http://snap.windin.com/ns/bulletin.php?id=871823&amp;type=1</t>
  </si>
  <si>
    <t>http://snap.windin.com/ns/bulletin.php?id=979071&amp;type=1</t>
  </si>
  <si>
    <t>http://snap.windin.com/ns/bulletin.php?id=1736537&amp;type=1</t>
  </si>
  <si>
    <t>http://snap.windin.com/ns/bulletin.php?id=1523146&amp;type=1</t>
  </si>
  <si>
    <t>http://snap.windin.com/ns/bulletin.php?id=1794364&amp;type=1</t>
  </si>
  <si>
    <t>http://snap.windin.com/ns/bulletin.php?id=1994505&amp;type=1</t>
  </si>
  <si>
    <t>http://snap.windin.com/ns/bulletin.php?id=1361697&amp;type=1</t>
  </si>
  <si>
    <t>http://snap.windin.com/ns/bulletin.php?id=508177&amp;type=1</t>
  </si>
  <si>
    <t>http://snap.windin.com/ns/bulletin.php?id=2039087&amp;type=1</t>
  </si>
  <si>
    <t>http://snap.windin.com/ns/bulletin.php?id=2022211&amp;type=1</t>
  </si>
  <si>
    <t>http://snap.windin.com/ns/bulletin.php?id=1905433&amp;type=1</t>
  </si>
  <si>
    <t>http://snap.windin.com/ns/bulletin.php?id=1104522&amp;type=1</t>
  </si>
  <si>
    <t>http://snap.windin.com/ns/bulletin.php?id=903712&amp;type=1</t>
  </si>
  <si>
    <t>http://snap.windin.com/ns/bulletin.php?id=843448&amp;type=1</t>
  </si>
  <si>
    <t>http://snap.windin.com/ns/bulletin.php?id=1680149&amp;type=1</t>
  </si>
  <si>
    <t>http://snap.windin.com/ns/bulletin.php?id=1737165&amp;type=1</t>
  </si>
  <si>
    <t>http://snap.windin.com/ns/bulletin.php?id=179248&amp;type=1</t>
  </si>
  <si>
    <t>http://snap.windin.com/ns/bulletin.php?id=100451&amp;type=1</t>
  </si>
  <si>
    <t>http://snap.windin.com/ns/bulletin.php?id=243156&amp;type=1</t>
  </si>
  <si>
    <t>http://snap.windin.com/ns/bulletin.php?id=1184999&amp;type=1</t>
  </si>
  <si>
    <t>http://snap.windin.com/ns/bulletin.php?id=657819&amp;type=1</t>
  </si>
  <si>
    <t>http://snap.windin.com/ns/bulletin.php?id=1078021&amp;type=1</t>
  </si>
  <si>
    <t>http://snap.windin.com/ns/bulletin.php?id=1756726&amp;type=1</t>
  </si>
  <si>
    <t>http://snap.windin.com/ns/bulletin.php?id=1609232&amp;type=1</t>
  </si>
  <si>
    <t>http://snap.windin.com/ns/bulletin.php?id=1759299&amp;type=1</t>
  </si>
  <si>
    <t>http://snap.windin.com/ns/bulletin.php?id=677155&amp;type=1</t>
  </si>
  <si>
    <t>http://snap.windin.com/ns/bulletin.php?id=2039962&amp;type=1</t>
  </si>
  <si>
    <t>http://snap.windin.com/ns/bulletin.php?id=1671155&amp;type=1</t>
  </si>
  <si>
    <t>http://snap.windin.com/ns/bulletin.php?id=242246&amp;type=1</t>
  </si>
  <si>
    <t>http://snap.windin.com/ns/bulletin.php?id=1819698&amp;type=1</t>
  </si>
  <si>
    <t>http://snap.windin.com/ns/bulletin.php?id=1572445&amp;type=1</t>
  </si>
  <si>
    <t>http://snap.windin.com/ns/bulletin.php?id=1628992&amp;type=1</t>
  </si>
  <si>
    <t>http://snap.windin.com/ns/bulletin.php?id=1108707&amp;type=1</t>
  </si>
  <si>
    <t>http://snap.windin.com/ns/bulletin.php?id=818433&amp;type=1</t>
  </si>
  <si>
    <t>http://snap.windin.com/ns/bulletin.php?id=828131&amp;type=1</t>
  </si>
  <si>
    <t>http://snap.windin.com/ns/bulletin.php?id=126613&amp;type=1</t>
  </si>
  <si>
    <t>http://snap.windin.com/ns/bulletin.php?id=505869&amp;type=1</t>
  </si>
  <si>
    <t>http://snap.windin.com/ns/bulletin.php?id=555197&amp;type=1</t>
  </si>
  <si>
    <t>http://snap.windin.com/ns/bulletin.php?id=1514206&amp;type=1</t>
  </si>
  <si>
    <t>http://snap.windin.com/ns/bulletin.php?id=1013087&amp;type=1</t>
  </si>
  <si>
    <t>http://snap.windin.com/ns/bulletin.php?id=1262126&amp;type=1</t>
  </si>
  <si>
    <t>http://snap.windin.com/ns/bulletin.php?id=1925760&amp;type=1</t>
  </si>
  <si>
    <t>http://snap.windin.com/ns/bulletin.php?id=1443632&amp;type=1</t>
  </si>
  <si>
    <t>http://snap.windin.com/ns/bulletin.php?id=811944&amp;type=1</t>
  </si>
  <si>
    <t>http://snap.windin.com/ns/bulletin.php?id=457632&amp;type=1</t>
  </si>
  <si>
    <t>http://snap.windin.com/ns/bulletin.php?id=1437633&amp;type=1</t>
  </si>
  <si>
    <t>http://snap.windin.com/ns/bulletin.php?id=819331&amp;type=1</t>
  </si>
  <si>
    <t>http://snap.windin.com/ns/bulletin.php?id=111893&amp;type=1</t>
  </si>
  <si>
    <t>http://snap.windin.com/ns/bulletin.php?id=154927&amp;type=1</t>
  </si>
  <si>
    <t>http://snap.windin.com/ns/bulletin.php?id=1178589&amp;type=1</t>
  </si>
  <si>
    <t>http://snap.windin.com/ns/bulletin.php?id=1332506&amp;type=1</t>
  </si>
  <si>
    <t>http://snap.windin.com/ns/bulletin.php?id=1101940&amp;type=1</t>
  </si>
  <si>
    <t>http://snap.windin.com/ns/bulletin.php?id=1557410&amp;type=1</t>
  </si>
  <si>
    <t>http://snap.windin.com/ns/bulletin.php?id=925667&amp;type=1</t>
  </si>
  <si>
    <t>http://snap.windin.com/ns/bulletin.php?id=1714424&amp;type=1</t>
  </si>
  <si>
    <t>http://snap.windin.com/ns/bulletin.php?id=1619110&amp;type=1</t>
  </si>
  <si>
    <t>http://snap.windin.com/ns/bulletin.php?id=149468&amp;type=1</t>
  </si>
  <si>
    <t>http://snap.windin.com/ns/bulletin.php?id=472465&amp;type=1</t>
  </si>
  <si>
    <t>http://snap.windin.com/ns/bulletin.php?id=505159&amp;type=1</t>
  </si>
  <si>
    <t>http://snap.windin.com/ns/bulletin.php?id=1867116&amp;type=1</t>
  </si>
  <si>
    <t>http://snap.windin.com/ns/bulletin.php?id=1458063&amp;type=1</t>
  </si>
  <si>
    <t>http://snap.windin.com/ns/bulletin.php?id=863055&amp;type=1</t>
  </si>
  <si>
    <t>http://snap.windin.com/ns/bulletin.php?id=804319&amp;type=1</t>
  </si>
  <si>
    <t>http://snap.windin.com/ns/bulletin.php?id=846628&amp;type=1</t>
  </si>
  <si>
    <t>http://snap.windin.com/ns/bulletin.php?id=1142137&amp;type=1</t>
  </si>
  <si>
    <t>http://snap.windin.com/ns/bulletin.php?id=794549&amp;type=1</t>
  </si>
  <si>
    <t>http://snap.windin.com/ns/bulletin.php?id=231836&amp;type=1</t>
  </si>
  <si>
    <t>http://snap.windin.com/ns/bulletin.php?id=404248&amp;type=1</t>
  </si>
  <si>
    <t>http://snap.windin.com/ns/bulletin.php?id=1320508&amp;type=1</t>
  </si>
  <si>
    <t>http://snap.windin.com/ns/bulletin.php?id=1888281&amp;type=1</t>
  </si>
  <si>
    <t>http://snap.windin.com/ns/bulletin.php?id=1592816&amp;type=1</t>
  </si>
  <si>
    <t>http://snap.windin.com/ns/bulletin.php?id=1569844&amp;type=1</t>
  </si>
  <si>
    <t>http://snap.windin.com/ns/bulletin.php?id=1523340&amp;type=1</t>
  </si>
  <si>
    <t>http://snap.windin.com/ns/bulletin.php?id=187218&amp;type=1</t>
  </si>
  <si>
    <t>http://snap.windin.com/ns/bulletin.php?id=1846954&amp;type=1</t>
  </si>
  <si>
    <t>http://snap.windin.com/ns/bulletin.php?id=2012946&amp;type=1</t>
  </si>
  <si>
    <t>http://snap.windin.com/ns/bulletin.php?id=100079&amp;type=1</t>
  </si>
  <si>
    <t>http://snap.windin.com/ns/bulletin.php?id=2045743&amp;type=1</t>
  </si>
  <si>
    <t>http://snap.windin.com/ns/bulletin.php?id=1424224&amp;type=1</t>
  </si>
  <si>
    <t>http://snap.windin.com/ns/bulletin.php?id=933662&amp;type=1</t>
  </si>
  <si>
    <t>http://snap.windin.com/ns/bulletin.php?id=100968&amp;type=1</t>
  </si>
  <si>
    <t>http://snap.windin.com/ns/bulletin.php?id=2084874&amp;type=1</t>
  </si>
  <si>
    <t>http://snap.windin.com/ns/bulletin.php?id=1913371&amp;type=1</t>
  </si>
  <si>
    <t>http://snap.windin.com/ns/bulletin.php?id=1511119&amp;type=1</t>
  </si>
  <si>
    <t>http://snap.windin.com/ns/bulletin.php?id=583024&amp;type=1</t>
  </si>
  <si>
    <t>http://snap.windin.com/ns/bulletin.php?id=892139&amp;type=1</t>
  </si>
  <si>
    <t>http://snap.windin.com/ns/bulletin.php?id=994192&amp;type=1</t>
  </si>
  <si>
    <t>http://snap.windin.com/ns/bulletin.php?id=1794589&amp;type=1</t>
  </si>
  <si>
    <t>http://snap.windin.com/ns/bulletin.php?id=1416970&amp;type=1</t>
  </si>
  <si>
    <t>http://snap.windin.com/ns/bulletin.php?id=1141188&amp;type=1</t>
  </si>
  <si>
    <t>http://snap.windin.com/ns/bulletin.php?id=461754&amp;type=1</t>
  </si>
  <si>
    <t>http://snap.windin.com/ns/bulletin.php?id=110950&amp;type=1</t>
  </si>
  <si>
    <t>http://snap.windin.com/ns/bulletin.php?id=1252066&amp;type=1</t>
  </si>
  <si>
    <t>http://snap.windin.com/ns/bulletin.php?id=515238&amp;type=1</t>
  </si>
  <si>
    <t>http://snap.windin.com/ns/bulletin.php?id=114852&amp;type=1</t>
  </si>
  <si>
    <t>http://snap.windin.com/ns/bulletin.php?id=515024&amp;type=1</t>
  </si>
  <si>
    <t>http://snap.windin.com/ns/bulletin.php?id=80245&amp;type=1</t>
  </si>
  <si>
    <t>http://snap.windin.com/ns/bulletin.php?id=795538&amp;type=1</t>
  </si>
  <si>
    <t>http://snap.windin.com/ns/bulletin.php?id=1648675&amp;type=1</t>
  </si>
  <si>
    <t>http://snap.windin.com/ns/bulletin.php?id=1790184&amp;type=1</t>
  </si>
  <si>
    <t>http://snap.windin.com/ns/bulletin.php?id=84243&amp;type=1</t>
  </si>
  <si>
    <t>http://snap.windin.com/ns/bulletin.php?id=1382434&amp;type=1</t>
  </si>
  <si>
    <t>http://snap.windin.com/ns/bulletin.php?id=513921&amp;type=1</t>
  </si>
  <si>
    <t>http://snap.windin.com/ns/bulletin.php?id=1803100&amp;type=1</t>
  </si>
  <si>
    <t>http://snap.windin.com/ns/bulletin.php?id=1975539&amp;type=1</t>
  </si>
  <si>
    <t>http://snap.windin.com/ns/bulletin.php?id=719664&amp;type=1</t>
  </si>
  <si>
    <t>http://snap.windin.com/ns/bulletin.php?id=775366&amp;type=1</t>
  </si>
  <si>
    <t>http://snap.windin.com/ns/bulletin.php?id=106726&amp;type=1</t>
  </si>
  <si>
    <t>http://snap.windin.com/ns/bulletin.php?id=1418734&amp;type=1</t>
  </si>
  <si>
    <t>http://snap.windin.com/ns/bulletin.php?id=1548415&amp;type=1</t>
  </si>
  <si>
    <t>http://snap.windin.com/ns/bulletin.php?id=1697726&amp;type=1</t>
  </si>
  <si>
    <t>http://snap.windin.com/ns/bulletin.php?id=1860666&amp;type=1</t>
  </si>
  <si>
    <t>http://snap.windin.com/ns/bulletin.php?id=1120349&amp;type=1</t>
  </si>
  <si>
    <t>http://snap.windin.com/ns/bulletin.php?id=794605&amp;type=1</t>
  </si>
  <si>
    <t>http://snap.windin.com/ns/bulletin.php?id=93512&amp;type=1</t>
  </si>
  <si>
    <t>http://snap.windin.com/ns/bulletin.php?id=1920353&amp;type=1</t>
  </si>
  <si>
    <t>http://snap.windin.com/ns/bulletin.php?id=1945585&amp;type=1</t>
  </si>
  <si>
    <t>http://snap.windin.com/ns/bulletin.php?id=1624493&amp;type=1</t>
  </si>
  <si>
    <t>http://snap.windin.com/ns/bulletin.php?id=1523934&amp;type=1</t>
  </si>
  <si>
    <t>http://snap.windin.com/ns/bulletin.php?id=1241825&amp;type=1</t>
  </si>
  <si>
    <t>http://snap.windin.com/ns/bulletin.php?id=1664655&amp;type=1</t>
  </si>
  <si>
    <t>http://snap.windin.com/ns/bulletin.php?id=126573&amp;type=1</t>
  </si>
  <si>
    <t>http://snap.windin.com/ns/bulletin.php?id=683748&amp;type=1</t>
  </si>
  <si>
    <t>http://snap.windin.com/ns/bulletin.php?id=1903537&amp;type=1</t>
  </si>
  <si>
    <t>http://snap.windin.com/ns/bulletin.php?id=1513599&amp;type=1</t>
  </si>
  <si>
    <t>http://snap.windin.com/ns/bulletin.php?id=1016217&amp;type=1</t>
  </si>
  <si>
    <t>http://snap.windin.com/ns/bulletin.php?id=534431&amp;type=1</t>
  </si>
  <si>
    <t>http://snap.windin.com/ns/bulletin.php?id=1503390&amp;type=1</t>
  </si>
  <si>
    <t>http://snap.windin.com/ns/bulletin.php?id=1649643&amp;type=1</t>
  </si>
  <si>
    <t>http://snap.windin.com/ns/bulletin.php?id=1602517&amp;type=1</t>
  </si>
  <si>
    <t>http://snap.windin.com/ns/bulletin.php?id=1597576&amp;type=1</t>
  </si>
  <si>
    <t>http://snap.windin.com/ns/bulletin.php?id=1788542&amp;type=1</t>
  </si>
  <si>
    <t>http://snap.windin.com/ns/bulletin.php?id=211896&amp;type=1</t>
  </si>
  <si>
    <t>http://snap.windin.com/ns/bulletin.php?id=1365346&amp;type=1</t>
  </si>
  <si>
    <t>http://snap.windin.com/ns/bulletin.php?id=1303145&amp;type=1</t>
  </si>
  <si>
    <t>http://snap.windin.com/ns/bulletin.php?id=1828721&amp;type=1</t>
  </si>
  <si>
    <t>http://snap.windin.com/ns/bulletin.php?id=737459&amp;type=1</t>
  </si>
  <si>
    <t>http://snap.windin.com/ns/bulletin.php?id=462156&amp;type=1</t>
  </si>
  <si>
    <t>http://snap.windin.com/ns/bulletin.php?id=1582976&amp;type=1</t>
  </si>
  <si>
    <t>http://snap.windin.com/ns/bulletin.php?id=2127804&amp;type=1</t>
  </si>
  <si>
    <t>http://snap.windin.com/ns/bulletin.php?id=1364405&amp;type=1</t>
  </si>
  <si>
    <t>http://snap.windin.com/ns/bulletin.php?id=590190&amp;type=1</t>
  </si>
  <si>
    <t>http://snap.windin.com/ns/bulletin.php?id=1150539&amp;type=1</t>
  </si>
  <si>
    <t>http://snap.windin.com/ns/bulletin.php?id=1979187&amp;type=1</t>
  </si>
  <si>
    <t>http://snap.windin.com/ns/bulletin.php?id=1551917&amp;type=1</t>
  </si>
  <si>
    <t>http://snap.windin.com/ns/bulletin.php?id=1043699&amp;type=1</t>
  </si>
  <si>
    <t>http://snap.windin.com/ns/bulletin.php?id=857273&amp;type=1</t>
  </si>
  <si>
    <t>http://snap.windin.com/ns/bulletin.php?id=962625&amp;type=1</t>
  </si>
  <si>
    <t>http://snap.windin.com/ns/bulletin.php?id=1754359&amp;type=1</t>
  </si>
  <si>
    <t>http://snap.windin.com/ns/bulletin.php?id=162256&amp;type=1</t>
  </si>
  <si>
    <t>http://snap.windin.com/ns/bulletin.php?id=110361&amp;type=1</t>
  </si>
  <si>
    <t>http://snap.windin.com/ns/bulletin.php?id=230824&amp;type=1</t>
  </si>
  <si>
    <t>http://snap.windin.com/ns/bulletin.php?id=1322380&amp;type=1</t>
  </si>
  <si>
    <t>http://snap.windin.com/ns/bulletin.php?id=471014&amp;type=1</t>
  </si>
  <si>
    <t>http://snap.windin.com/ns/bulletin.php?id=1922274&amp;type=1</t>
  </si>
  <si>
    <t>http://snap.windin.com/ns/bulletin.php?id=1900847&amp;type=1</t>
  </si>
  <si>
    <t>http://snap.windin.com/ns/bulletin.php?id=574371&amp;type=1</t>
  </si>
  <si>
    <t>http://snap.windin.com/ns/bulletin.php?id=697665&amp;type=1</t>
  </si>
  <si>
    <t>http://snap.windin.com/ns/bulletin.php?id=1148836&amp;type=1</t>
  </si>
  <si>
    <t>http://snap.windin.com/ns/bulletin.php?id=528933&amp;type=1</t>
  </si>
  <si>
    <t>http://snap.windin.com/ns/bulletin.php?id=1861451&amp;type=1</t>
  </si>
  <si>
    <t>http://snap.windin.com/ns/bulletin.php?id=1631101&amp;type=1</t>
  </si>
  <si>
    <t>http://snap.windin.com/ns/bulletin.php?id=603706&amp;type=1</t>
  </si>
  <si>
    <t>http://snap.windin.com/ns/bulletin.php?id=574002&amp;type=1</t>
  </si>
  <si>
    <t>http://snap.windin.com/ns/bulletin.php?id=911402&amp;type=1</t>
  </si>
  <si>
    <t>http://snap.windin.com/ns/bulletin.php?id=1809488&amp;type=1</t>
  </si>
  <si>
    <t>http://snap.windin.com/ns/bulletin.php?id=1271601&amp;type=1</t>
  </si>
  <si>
    <t>http://snap.windin.com/ns/bulletin.php?id=1718689&amp;type=1</t>
  </si>
  <si>
    <t>http://snap.windin.com/ns/bulletin.php?id=1683132&amp;type=1</t>
  </si>
  <si>
    <t>http://snap.windin.com/ns/bulletin.php?id=1690347&amp;type=1</t>
  </si>
  <si>
    <t>http://snap.windin.com/ns/bulletin.php?id=99862&amp;type=1</t>
  </si>
  <si>
    <t>http://snap.windin.com/ns/bulletin.php?id=106937&amp;type=1</t>
  </si>
  <si>
    <t>http://snap.windin.com/ns/bulletin.php?id=227891&amp;type=1</t>
  </si>
  <si>
    <t>http://snap.windin.com/ns/bulletin.php?id=503344&amp;type=1</t>
  </si>
  <si>
    <t>http://snap.windin.com/ns/bulletin.php?id=756727&amp;type=1</t>
  </si>
  <si>
    <t>http://snap.windin.com/ns/bulletin.php?id=1274624&amp;type=1</t>
  </si>
  <si>
    <t>http://snap.windin.com/ns/bulletin.php?id=879349&amp;type=1</t>
  </si>
  <si>
    <t>http://snap.windin.com/ns/bulletin.php?id=121047&amp;type=1</t>
  </si>
  <si>
    <t>http://snap.windin.com/ns/bulletin.php?id=75341&amp;type=1</t>
  </si>
  <si>
    <t>http://snap.windin.com/ns/bulletin.php?id=2021416&amp;type=1</t>
  </si>
  <si>
    <t>http://snap.windin.com/ns/bulletin.php?id=1815641&amp;type=1</t>
  </si>
  <si>
    <t>http://snap.windin.com/ns/bulletin.php?id=1609099&amp;type=1</t>
  </si>
  <si>
    <t>http://snap.windin.com/ns/bulletin.php?id=574972&amp;type=1</t>
  </si>
  <si>
    <t>http://snap.windin.com/ns/bulletin.php?id=918754&amp;type=1</t>
  </si>
  <si>
    <t>http://snap.windin.com/ns/bulletin.php?id=161542&amp;type=1</t>
  </si>
  <si>
    <t>http://snap.windin.com/ns/bulletin.php?id=629551&amp;type=1</t>
  </si>
  <si>
    <t>http://snap.windin.com/ns/bulletin.php?id=1770418&amp;type=1</t>
  </si>
  <si>
    <t>http://snap.windin.com/ns/bulletin.php?id=1357967&amp;type=1</t>
  </si>
  <si>
    <t>http://snap.windin.com/ns/bulletin.php?id=1249129&amp;type=1</t>
  </si>
  <si>
    <t>http://snap.windin.com/ns/bulletin.php?id=1251553&amp;type=1</t>
  </si>
  <si>
    <t>http://snap.windin.com/ns/bulletin.php?id=198121&amp;type=1</t>
  </si>
  <si>
    <t>http://snap.windin.com/ns/bulletin.php?id=179483&amp;type=1</t>
  </si>
  <si>
    <t>http://snap.windin.com/ns/bulletin.php?id=1413004&amp;type=1</t>
  </si>
  <si>
    <t>http://snap.windin.com/ns/bulletin.php?id=2025377&amp;type=1</t>
  </si>
  <si>
    <t>http://snap.windin.com/ns/bulletin.php?id=1877949&amp;type=1</t>
  </si>
  <si>
    <t>http://snap.windin.com/ns/bulletin.php?id=1070402&amp;type=1</t>
  </si>
  <si>
    <t>http://snap.windin.com/ns/bulletin.php?id=1129868&amp;type=1</t>
  </si>
  <si>
    <t>http://snap.windin.com/ns/bulletin.php?id=2038665&amp;type=1</t>
  </si>
  <si>
    <t>http://snap.windin.com/ns/bulletin.php?id=1827957&amp;type=1</t>
  </si>
  <si>
    <t>http://snap.windin.com/ns/bulletin.php?id=608002&amp;type=1</t>
  </si>
  <si>
    <t>http://snap.windin.com/ns/bulletin.php?id=780980&amp;type=1</t>
  </si>
  <si>
    <t>http://snap.windin.com/ns/bulletin.php?id=1827735&amp;type=1</t>
  </si>
  <si>
    <t>http://snap.windin.com/ns/bulletin.php?id=1811956&amp;type=1</t>
  </si>
  <si>
    <t>http://snap.windin.com/ns/bulletin.php?id=1718512&amp;type=1</t>
  </si>
  <si>
    <t>http://snap.windin.com/ns/bulletin.php?id=2103751&amp;type=1</t>
  </si>
  <si>
    <t>http://snap.windin.com/ns/bulletin.php?id=2057198&amp;type=1</t>
  </si>
  <si>
    <t>http://snap.windin.com/ns/bulletin.php?id=1088678&amp;type=1</t>
  </si>
  <si>
    <t>http://snap.windin.com/ns/bulletin.php?id=1214783&amp;type=1</t>
  </si>
  <si>
    <t>http://snap.windin.com/ns/bulletin.php?id=430155&amp;type=1</t>
  </si>
  <si>
    <t>http://snap.windin.com/ns/bulletin.php?id=2038670&amp;type=1</t>
  </si>
  <si>
    <t>http://snap.windin.com/ns/bulletin.php?id=1916845&amp;type=1</t>
  </si>
  <si>
    <t>http://snap.windin.com/ns/bulletin.php?id=1554186&amp;type=1</t>
  </si>
  <si>
    <t>http://snap.windin.com/ns/bulletin.php?id=1472630&amp;type=1</t>
  </si>
  <si>
    <t>http://snap.windin.com/ns/bulletin.php?id=1259329&amp;type=1</t>
  </si>
  <si>
    <t>http://snap.windin.com/ns/bulletin.php?id=226594&amp;type=1</t>
  </si>
  <si>
    <t>http://snap.windin.com/ns/bulletin.php?id=236349&amp;type=1</t>
  </si>
  <si>
    <t>http://snap.windin.com/ns/bulletin.php?id=681578&amp;type=1</t>
  </si>
  <si>
    <t>http://snap.windin.com/ns/bulletin.php?id=1501517&amp;type=1</t>
  </si>
  <si>
    <t>http://snap.windin.com/ns/bulletin.php?id=1774019&amp;type=1</t>
  </si>
  <si>
    <t>http://snap.windin.com/ns/bulletin.php?id=511996&amp;type=1</t>
  </si>
  <si>
    <t>http://snap.windin.com/ns/bulletin.php?id=2031722&amp;type=1</t>
  </si>
  <si>
    <t>http://snap.windin.com/ns/bulletin.php?id=1010562&amp;type=1</t>
  </si>
  <si>
    <t>http://snap.windin.com/ns/bulletin.php?id=968549&amp;type=1</t>
  </si>
  <si>
    <t>http://snap.windin.com/ns/bulletin.php?id=967808&amp;type=1</t>
  </si>
  <si>
    <t>http://snap.windin.com/ns/bulletin.php?id=1646260&amp;type=1</t>
  </si>
  <si>
    <t>http://snap.windin.com/ns/bulletin.php?id=1752216&amp;type=1</t>
  </si>
  <si>
    <t>http://snap.windin.com/ns/bulletin.php?id=1990228&amp;type=1</t>
  </si>
  <si>
    <t>http://snap.windin.com/ns/bulletin.php?id=2100192&amp;type=1</t>
  </si>
  <si>
    <t>http://snap.windin.com/ns/bulletin.php?id=173130&amp;type=1</t>
  </si>
  <si>
    <t>http://snap.windin.com/ns/bulletin.php?id=1243360&amp;type=1</t>
  </si>
  <si>
    <t>http://snap.windin.com/ns/bulletin.php?id=468763&amp;type=1</t>
  </si>
  <si>
    <t>http://snap.windin.com/ns/bulletin.php?id=675397&amp;type=1</t>
  </si>
  <si>
    <t>http://snap.windin.com/ns/bulletin.php?id=1888122&amp;type=1</t>
  </si>
  <si>
    <t>http://snap.windin.com/ns/bulletin.php?id=626685&amp;type=1</t>
  </si>
  <si>
    <t>http://snap.windin.com/ns/bulletin.php?id=731823&amp;type=1</t>
  </si>
  <si>
    <t>http://snap.windin.com/ns/bulletin.php?id=814716&amp;type=1</t>
  </si>
  <si>
    <t>http://snap.windin.com/ns/bulletin.php?id=1401277&amp;type=1</t>
  </si>
  <si>
    <t>http://snap.windin.com/ns/bulletin.php?id=985978&amp;type=1</t>
  </si>
  <si>
    <t>http://snap.windin.com/ns/bulletin.php?id=1346471&amp;type=1</t>
  </si>
  <si>
    <t>http://snap.windin.com/ns/bulletin.php?id=1164356&amp;type=1</t>
  </si>
  <si>
    <t>http://snap.windin.com/ns/bulletin.php?id=531190&amp;type=1</t>
  </si>
  <si>
    <t>http://snap.windin.com/ns/bulletin.php?id=1569164&amp;type=1</t>
  </si>
  <si>
    <t>http://snap.windin.com/ns/bulletin.php?id=487602&amp;type=1</t>
  </si>
  <si>
    <t>http://snap.windin.com/ns/bulletin.php?id=1452328&amp;type=1</t>
  </si>
  <si>
    <t>http://snap.windin.com/ns/bulletin.php?id=723898&amp;type=1</t>
  </si>
  <si>
    <t>http://snap.windin.com/ns/bulletin.php?id=1116680&amp;type=1</t>
  </si>
  <si>
    <t>http://snap.windin.com/ns/bulletin.php?id=715362&amp;type=1</t>
  </si>
  <si>
    <t>http://snap.windin.com/ns/bulletin.php?id=1729286&amp;type=1</t>
  </si>
  <si>
    <t>http://snap.windin.com/ns/bulletin.php?id=1711338&amp;type=1</t>
  </si>
  <si>
    <t>http://snap.windin.com/ns/bulletin.php?id=173682&amp;type=1</t>
  </si>
  <si>
    <t>http://snap.windin.com/ns/bulletin.php?id=1231931&amp;type=1</t>
  </si>
  <si>
    <t>http://snap.windin.com/ns/bulletin.php?id=1447406&amp;type=1</t>
  </si>
  <si>
    <t>http://snap.windin.com/ns/bulletin.php?id=624153&amp;type=1</t>
  </si>
  <si>
    <t>http://snap.windin.com/ns/bulletin.php?id=589380&amp;type=1</t>
  </si>
  <si>
    <t>http://snap.windin.com/ns/bulletin.php?id=1272967&amp;type=1</t>
  </si>
  <si>
    <t>http://snap.windin.com/ns/bulletin.php?id=896609&amp;type=1</t>
  </si>
  <si>
    <t>http://snap.windin.com/ns/bulletin.php?id=1734577&amp;type=1</t>
  </si>
  <si>
    <t>http://snap.windin.com/ns/bulletin.php?id=703716&amp;type=1</t>
  </si>
  <si>
    <t>http://snap.windin.com/ns/bulletin.php?id=1668743&amp;type=1</t>
  </si>
  <si>
    <t>http://snap.windin.com/ns/bulletin.php?id=128477&amp;type=1</t>
  </si>
  <si>
    <t>http://snap.windin.com/ns/bulletin.php?id=239695&amp;type=1</t>
  </si>
  <si>
    <t>http://snap.windin.com/ns/bulletin.php?id=1208481&amp;type=1</t>
  </si>
  <si>
    <t>http://snap.windin.com/ns/bulletin.php?id=409800&amp;type=1</t>
  </si>
  <si>
    <t>http://snap.windin.com/ns/bulletin.php?id=1855684&amp;type=1</t>
  </si>
  <si>
    <t>http://snap.windin.com/ns/bulletin.php?id=1461791&amp;type=1</t>
  </si>
  <si>
    <t>http://snap.windin.com/ns/bulletin.php?id=607988&amp;type=1</t>
  </si>
  <si>
    <t>http://snap.windin.com/ns/bulletin.php?id=935662&amp;type=1</t>
  </si>
  <si>
    <t>http://snap.windin.com/ns/bulletin.php?id=19324370&amp;type=1</t>
  </si>
  <si>
    <t>http://snap.windin.com/ns/bulletin.php?id=1592740&amp;type=1</t>
  </si>
  <si>
    <t>http://snap.windin.com/ns/bulletin.php?id=164629&amp;type=1</t>
  </si>
  <si>
    <t>http://snap.windin.com/ns/bulletin.php?id=1343745&amp;type=1</t>
  </si>
  <si>
    <t>http://snap.windin.com/ns/bulletin.php?id=1561331&amp;type=1</t>
  </si>
  <si>
    <t>http://snap.windin.com/ns/bulletin.php?id=1513344&amp;type=1</t>
  </si>
  <si>
    <t>http://snap.windin.com/ns/bulletin.php?id=579433&amp;type=1</t>
  </si>
  <si>
    <t>http://snap.windin.com/ns/bulletin.php?id=708653&amp;type=1</t>
  </si>
  <si>
    <t>http://snap.windin.com/ns/bulletin.php?id=773121&amp;type=1</t>
  </si>
  <si>
    <t>http://snap.windin.com/ns/bulletin.php?id=795961&amp;type=1</t>
  </si>
  <si>
    <t>http://snap.windin.com/ns/bulletin.php?id=1828197&amp;type=1</t>
  </si>
  <si>
    <t>http://snap.windin.com/ns/bulletin.php?id=1548298&amp;type=1</t>
  </si>
  <si>
    <t>http://snap.windin.com/ns/bulletin.php?id=739036&amp;type=1</t>
  </si>
  <si>
    <t>http://snap.windin.com/ns/bulletin.php?id=1057582&amp;type=1</t>
  </si>
  <si>
    <t>http://snap.windin.com/ns/bulletin.php?id=824564&amp;type=1</t>
  </si>
  <si>
    <t>http://snap.windin.com/ns/bulletin.php?id=242158&amp;type=1</t>
  </si>
  <si>
    <t>http://snap.windin.com/ns/bulletin.php?id=2065783&amp;type=1</t>
  </si>
  <si>
    <t>http://snap.windin.com/ns/bulletin.php?id=1874541&amp;type=1</t>
  </si>
  <si>
    <t>http://snap.windin.com/ns/bulletin.php?id=1810715&amp;type=1</t>
  </si>
  <si>
    <t>http://snap.windin.com/ns/bulletin.php?id=1944008&amp;type=1</t>
  </si>
  <si>
    <t>http://snap.windin.com/ns/bulletin.php?id=1559668&amp;type=1</t>
  </si>
  <si>
    <t>http://snap.windin.com/ns/bulletin.php?id=765806&amp;type=1</t>
  </si>
  <si>
    <t>http://snap.windin.com/ns/bulletin.php?id=1739415&amp;type=1</t>
  </si>
  <si>
    <t>http://snap.windin.com/ns/bulletin.php?id=479253&amp;type=1</t>
  </si>
  <si>
    <t>http://snap.windin.com/ns/bulletin.php?id=1901939&amp;type=1</t>
  </si>
  <si>
    <t>http://snap.windin.com/ns/bulletin.php?id=870640&amp;type=1</t>
  </si>
  <si>
    <t>http://snap.windin.com/ns/bulletin.php?id=920069&amp;type=1</t>
  </si>
  <si>
    <t>http://snap.windin.com/ns/bulletin.php?id=1776547&amp;type=1</t>
  </si>
  <si>
    <t>http://snap.windin.com/ns/bulletin.php?id=130026&amp;type=1</t>
  </si>
  <si>
    <t>http://snap.windin.com/ns/bulletin.php?id=117245&amp;type=1</t>
  </si>
  <si>
    <t>http://snap.windin.com/ns/bulletin.php?id=1884893&amp;type=1</t>
  </si>
  <si>
    <t>http://snap.windin.com/ns/bulletin.php?id=1641471&amp;type=1</t>
  </si>
  <si>
    <t>http://snap.windin.com/ns/bulletin.php?id=1458328&amp;type=1</t>
  </si>
  <si>
    <t>http://snap.windin.com/ns/bulletin.php?id=1567698&amp;type=1</t>
  </si>
  <si>
    <t>http://snap.windin.com/ns/bulletin.php?id=723411&amp;type=1</t>
  </si>
  <si>
    <t>http://snap.windin.com/ns/bulletin.php?id=1682647&amp;type=1</t>
  </si>
  <si>
    <t>http://snap.windin.com/ns/bulletin.php?id=1659191&amp;type=1</t>
  </si>
  <si>
    <t>http://snap.windin.com/ns/bulletin.php?id=81313&amp;type=1</t>
  </si>
  <si>
    <t>http://snap.windin.com/ns/bulletin.php?id=1259224&amp;type=1</t>
  </si>
  <si>
    <t>http://snap.windin.com/ns/bulletin.php?id=586035&amp;type=1</t>
  </si>
  <si>
    <t>http://snap.windin.com/ns/bulletin.php?id=848931&amp;type=1</t>
  </si>
  <si>
    <t>http://snap.windin.com/ns/bulletin.php?id=1415203&amp;type=1</t>
  </si>
  <si>
    <t>http://snap.windin.com/ns/bulletin.php?id=1829778&amp;type=1</t>
  </si>
  <si>
    <t>http://snap.windin.com/ns/bulletin.php?id=1902021&amp;type=1</t>
  </si>
  <si>
    <t>http://snap.windin.com/ns/bulletin.php?id=1911649&amp;type=1</t>
  </si>
  <si>
    <t>http://snap.windin.com/ns/bulletin.php?id=934171&amp;type=1</t>
  </si>
  <si>
    <t>http://snap.windin.com/ns/bulletin.php?id=78398&amp;type=1</t>
  </si>
  <si>
    <t>http://snap.windin.com/ns/bulletin.php?id=2004954&amp;type=1</t>
  </si>
  <si>
    <t>http://snap.windin.com/ns/bulletin.php?id=193767&amp;type=1</t>
  </si>
  <si>
    <t>http://snap.windin.com/ns/bulletin.php?id=540540&amp;type=1</t>
  </si>
  <si>
    <t>http://snap.windin.com/ns/bulletin.php?id=2072954&amp;type=1</t>
  </si>
  <si>
    <t>http://snap.windin.com/ns/bulletin.php?id=1906922&amp;type=1</t>
  </si>
  <si>
    <t>http://snap.windin.com/ns/bulletin.php?id=1446852&amp;type=1</t>
  </si>
  <si>
    <t>http://snap.windin.com/ns/bulletin.php?id=1629203&amp;type=1</t>
  </si>
  <si>
    <t>http://snap.windin.com/ns/bulletin.php?id=593381&amp;type=1</t>
  </si>
  <si>
    <t>http://snap.windin.com/ns/bulletin.php?id=941428&amp;type=1</t>
  </si>
  <si>
    <t>http://snap.windin.com/ns/bulletin.php?id=438726&amp;type=1</t>
  </si>
  <si>
    <t>http://snap.windin.com/ns/bulletin.php?id=2010629&amp;type=1</t>
  </si>
  <si>
    <t>http://snap.windin.com/ns/bulletin.php?id=1521418&amp;type=1</t>
  </si>
  <si>
    <t>http://snap.windin.com/ns/bulletin.php?id=572085&amp;type=1</t>
  </si>
  <si>
    <t>http://snap.windin.com/ns/bulletin.php?id=760812&amp;type=1</t>
  </si>
  <si>
    <t>http://snap.windin.com/ns/bulletin.php?id=1341363&amp;type=1</t>
  </si>
  <si>
    <t>http://snap.windin.com/ns/bulletin.php?id=852902&amp;type=1</t>
  </si>
  <si>
    <t>http://snap.windin.com/ns/bulletin.php?id=1250376&amp;type=1</t>
  </si>
  <si>
    <t>http://snap.windin.com/ns/bulletin.php?id=1883713&amp;type=1</t>
  </si>
  <si>
    <t>http://snap.windin.com/ns/bulletin.php?id=1786009&amp;type=1</t>
  </si>
  <si>
    <t>http://snap.windin.com/ns/bulletin.php?id=1587582&amp;type=1</t>
  </si>
  <si>
    <t>http://snap.windin.com/ns/bulletin.php?id=1087962&amp;type=1</t>
  </si>
  <si>
    <t>http://snap.windin.com/ns/bulletin.php?id=788461&amp;type=1</t>
  </si>
  <si>
    <t>http://snap.windin.com/ns/bulletin.php?id=1039290&amp;type=1</t>
  </si>
  <si>
    <t>http://snap.windin.com/ns/bulletin.php?id=1711797&amp;type=1</t>
  </si>
  <si>
    <t>http://snap.windin.com/ns/bulletin.php?id=85722&amp;type=1</t>
  </si>
  <si>
    <t>http://snap.windin.com/ns/bulletin.php?id=71949&amp;type=1</t>
  </si>
  <si>
    <t>http://snap.windin.com/ns/bulletin.php?id=1428603&amp;type=1</t>
  </si>
  <si>
    <t>http://snap.windin.com/ns/bulletin.php?id=759965&amp;type=1</t>
  </si>
  <si>
    <t>http://snap.windin.com/ns/bulletin.php?id=1164071&amp;type=1</t>
  </si>
  <si>
    <t>http://snap.windin.com/ns/bulletin.php?id=1220035&amp;type=1</t>
  </si>
  <si>
    <t>http://snap.windin.com/ns/bulletin.php?id=1970417&amp;type=1</t>
  </si>
  <si>
    <t>http://snap.windin.com/ns/bulletin.php?id=1831844&amp;type=1</t>
  </si>
  <si>
    <t>http://snap.windin.com/ns/bulletin.php?id=1902457&amp;type=1</t>
  </si>
  <si>
    <t>http://snap.windin.com/ns/bulletin.php?id=918621&amp;type=1</t>
  </si>
  <si>
    <t>http://snap.windin.com/ns/bulletin.php?id=415114&amp;type=1</t>
  </si>
  <si>
    <t>http://snap.windin.com/ns/bulletin.php?id=1323460&amp;type=1</t>
  </si>
  <si>
    <t>http://snap.windin.com/ns/bulletin.php?id=1894829&amp;type=1</t>
  </si>
  <si>
    <t>http://snap.windin.com/ns/bulletin.php?id=1452504&amp;type=1</t>
  </si>
  <si>
    <t>http://snap.windin.com/ns/bulletin.php?id=771305&amp;type=1</t>
  </si>
  <si>
    <t>http://snap.windin.com/ns/bulletin.php?id=1751379&amp;type=1</t>
  </si>
  <si>
    <t>http://snap.windin.com/ns/bulletin.php?id=1165329&amp;type=1</t>
  </si>
  <si>
    <t>http://snap.windin.com/ns/bulletin.php?id=1177703&amp;type=1</t>
  </si>
  <si>
    <t>http://snap.windin.com/ns/bulletin.php?id=453393&amp;type=1</t>
  </si>
  <si>
    <t>http://snap.windin.com/ns/bulletin.php?id=2078549&amp;type=1</t>
  </si>
  <si>
    <t>http://snap.windin.com/ns/bulletin.php?id=2059308&amp;type=1</t>
  </si>
  <si>
    <t>http://snap.windin.com/ns/bulletin.php?id=608854&amp;type=1</t>
  </si>
  <si>
    <t>http://snap.windin.com/ns/bulletin.php?id=824703&amp;type=1</t>
  </si>
  <si>
    <t>http://snap.windin.com/ns/bulletin.php?id=1340577&amp;type=1</t>
  </si>
  <si>
    <t>http://snap.windin.com/ns/bulletin.php?id=1195349&amp;type=1</t>
  </si>
  <si>
    <t>http://snap.windin.com/ns/bulletin.php?id=2102196&amp;type=1</t>
  </si>
  <si>
    <t>http://snap.windin.com/ns/bulletin.php?id=100622&amp;type=1</t>
  </si>
  <si>
    <t>http://snap.windin.com/ns/bulletin.php?id=241169&amp;type=1</t>
  </si>
  <si>
    <t>http://snap.windin.com/ns/bulletin.php?id=1192533&amp;type=1</t>
  </si>
  <si>
    <t>http://snap.windin.com/ns/bulletin.php?id=1294103&amp;type=1</t>
  </si>
  <si>
    <t>http://snap.windin.com/ns/bulletin.php?id=2022977&amp;type=1</t>
  </si>
  <si>
    <t>http://snap.windin.com/ns/bulletin.php?id=1425391&amp;type=1</t>
  </si>
  <si>
    <t>http://snap.windin.com/ns/bulletin.php?id=648346&amp;type=1</t>
  </si>
  <si>
    <t>http://snap.windin.com/ns/bulletin.php?id=1750661&amp;type=1</t>
  </si>
  <si>
    <t>http://snap.windin.com/ns/bulletin.php?id=185376&amp;type=1</t>
  </si>
  <si>
    <t>http://snap.windin.com/ns/bulletin.php?id=402821&amp;type=1</t>
  </si>
  <si>
    <t>http://snap.windin.com/ns/bulletin.php?id=513973&amp;type=1</t>
  </si>
  <si>
    <t>http://snap.windin.com/ns/bulletin.php?id=437470&amp;type=1</t>
  </si>
  <si>
    <t>http://snap.windin.com/ns/bulletin.php?id=2071525&amp;type=1</t>
  </si>
  <si>
    <t>http://snap.windin.com/ns/bulletin.php?id=1889329&amp;type=1</t>
  </si>
  <si>
    <t>http://snap.windin.com/ns/bulletin.php?id=944980&amp;type=1</t>
  </si>
  <si>
    <t>http://snap.windin.com/ns/bulletin.php?id=1605561&amp;type=1</t>
  </si>
  <si>
    <t>http://snap.windin.com/ns/bulletin.php?id=857852&amp;type=1</t>
  </si>
  <si>
    <t>http://snap.windin.com/ns/bulletin.php?id=969107&amp;type=1</t>
  </si>
  <si>
    <t>http://snap.windin.com/ns/bulletin.php?id=1726148&amp;type=1</t>
  </si>
  <si>
    <t>http://snap.windin.com/ns/bulletin.php?id=1651898&amp;type=1</t>
  </si>
  <si>
    <t>http://snap.windin.com/ns/bulletin.php?id=1662077&amp;type=1</t>
  </si>
  <si>
    <t>http://snap.windin.com/ns/bulletin.php?id=232772&amp;type=1</t>
  </si>
  <si>
    <t>http://snap.windin.com/ns/bulletin.php?id=508662&amp;type=1</t>
  </si>
  <si>
    <t>http://snap.windin.com/ns/bulletin.php?id=1853779&amp;type=1</t>
  </si>
  <si>
    <t>http://snap.windin.com/ns/bulletin.php?id=634082&amp;type=1</t>
  </si>
  <si>
    <t>http://snap.windin.com/ns/bulletin.php?id=2096635&amp;type=1</t>
  </si>
  <si>
    <t>http://snap.windin.com/ns/bulletin.php?id=601499&amp;type=1</t>
  </si>
  <si>
    <t>http://snap.windin.com/ns/bulletin.php?id=1090079&amp;type=1</t>
  </si>
  <si>
    <t>http://snap.windin.com/ns/bulletin.php?id=1705823&amp;type=1</t>
  </si>
  <si>
    <t>http://snap.windin.com/ns/bulletin.php?id=406177&amp;type=1</t>
  </si>
  <si>
    <t>http://snap.windin.com/ns/bulletin.php?id=1212629&amp;type=1</t>
  </si>
  <si>
    <t>http://snap.windin.com/ns/bulletin.php?id=1981182&amp;type=1</t>
  </si>
  <si>
    <t>http://snap.windin.com/ns/bulletin.php?id=1117835&amp;type=1</t>
  </si>
  <si>
    <t>http://snap.windin.com/ns/bulletin.php?id=1002908&amp;type=1</t>
  </si>
  <si>
    <t>http://snap.windin.com/ns/bulletin.php?id=428398&amp;type=1</t>
  </si>
  <si>
    <t>http://snap.windin.com/ns/bulletin.php?id=939144&amp;type=1</t>
  </si>
  <si>
    <t>http://snap.windin.com/ns/bulletin.php?id=740643&amp;type=1</t>
  </si>
  <si>
    <t>http://snap.windin.com/ns/bulletin.php?id=1346380&amp;type=1</t>
  </si>
  <si>
    <t>http://snap.windin.com/ns/bulletin.php?id=1238324&amp;type=1</t>
  </si>
  <si>
    <t>http://snap.windin.com/ns/bulletin.php?id=518479&amp;type=1</t>
  </si>
  <si>
    <t>http://snap.windin.com/ns/bulletin.php?id=548049&amp;type=1</t>
  </si>
  <si>
    <t>http://snap.windin.com/ns/bulletin.php?id=1856975&amp;type=1</t>
  </si>
  <si>
    <t>http://snap.windin.com/ns/bulletin.php?id=1903680&amp;type=1</t>
  </si>
  <si>
    <t>http://snap.windin.com/ns/bulletin.php?id=138891&amp;type=1</t>
  </si>
  <si>
    <t>http://snap.windin.com/ns/bulletin.php?id=193415&amp;type=1</t>
  </si>
  <si>
    <t>http://snap.windin.com/ns/bulletin.php?id=1246237&amp;type=1</t>
  </si>
  <si>
    <t>http://snap.windin.com/ns/bulletin.php?id=1429271&amp;type=1</t>
  </si>
  <si>
    <t>http://snap.windin.com/ns/bulletin.php?id=639956&amp;type=1</t>
  </si>
  <si>
    <t>http://snap.windin.com/ns/bulletin.php?id=927081&amp;type=1</t>
  </si>
  <si>
    <t>http://snap.windin.com/ns/bulletin.php?id=1093416&amp;type=1</t>
  </si>
  <si>
    <t>http://snap.windin.com/ns/bulletin.php?id=795788&amp;type=1</t>
  </si>
  <si>
    <t>http://snap.windin.com/ns/bulletin.php?id=195496&amp;type=1</t>
  </si>
  <si>
    <t>http://snap.windin.com/ns/bulletin.php?id=1878578&amp;type=1</t>
  </si>
  <si>
    <t>http://snap.windin.com/ns/bulletin.php?id=1291117&amp;type=1</t>
  </si>
  <si>
    <t>http://snap.windin.com/ns/bulletin.php?id=1005643&amp;type=1</t>
  </si>
  <si>
    <t>http://snap.windin.com/ns/bulletin.php?id=1736029&amp;type=1</t>
  </si>
  <si>
    <t>http://snap.windin.com/ns/bulletin.php?id=1566691&amp;type=1</t>
  </si>
  <si>
    <t>http://snap.windin.com/ns/bulletin.php?id=1181728&amp;type=1</t>
  </si>
  <si>
    <t>http://snap.windin.com/ns/bulletin.php?id=1369928&amp;type=1</t>
  </si>
  <si>
    <t>http://snap.windin.com/ns/bulletin.php?id=1634785&amp;type=1</t>
  </si>
  <si>
    <t>http://snap.windin.com/ns/bulletin.php?id=1533633&amp;type=1</t>
  </si>
  <si>
    <t>http://snap.windin.com/ns/bulletin.php?id=626877&amp;type=1</t>
  </si>
  <si>
    <t>http://snap.windin.com/ns/bulletin.php?id=1630249&amp;type=1</t>
  </si>
  <si>
    <t>http://snap.windin.com/ns/bulletin.php?id=2102355&amp;type=1</t>
  </si>
  <si>
    <t>http://snap.windin.com/ns/bulletin.php?id=19471910&amp;type=1</t>
  </si>
  <si>
    <t>http://snap.windin.com/ns/bulletin.php?id=663338&amp;type=1</t>
  </si>
  <si>
    <t>http://snap.windin.com/ns/bulletin.php?id=1954466&amp;type=1</t>
  </si>
  <si>
    <t>http://snap.windin.com/ns/bulletin.php?id=1090303&amp;type=1</t>
  </si>
  <si>
    <t>http://snap.windin.com/ns/bulletin.php?id=1067599&amp;type=1</t>
  </si>
  <si>
    <t>http://snap.windin.com/ns/bulletin.php?id=1382892&amp;type=1</t>
  </si>
  <si>
    <t>http://snap.windin.com/ns/bulletin.php?id=556647&amp;type=1</t>
  </si>
  <si>
    <t>http://snap.windin.com/ns/bulletin.php?id=409706&amp;type=1</t>
  </si>
  <si>
    <t>http://snap.windin.com/ns/bulletin.php?id=1259081&amp;type=1</t>
  </si>
  <si>
    <t>http://snap.windin.com/ns/bulletin.php?id=1236001&amp;type=1</t>
  </si>
  <si>
    <t>http://snap.windin.com/ns/bulletin.php?id=1488811&amp;type=1</t>
  </si>
  <si>
    <t>http://snap.windin.com/ns/bulletin.php?id=1543138&amp;type=1</t>
  </si>
  <si>
    <t>http://snap.windin.com/ns/bulletin.php?id=586573&amp;type=1</t>
  </si>
  <si>
    <t>http://snap.windin.com/ns/bulletin.php?id=1719010&amp;type=1</t>
  </si>
  <si>
    <t>http://snap.windin.com/ns/bulletin.php?id=1400495&amp;type=1</t>
  </si>
  <si>
    <t>http://snap.windin.com/ns/bulletin.php?id=231682&amp;type=1</t>
  </si>
  <si>
    <t>http://snap.windin.com/ns/bulletin.php?id=2080016&amp;type=1</t>
  </si>
  <si>
    <t>http://snap.windin.com/ns/bulletin.php?id=965481&amp;type=1</t>
  </si>
  <si>
    <t>http://snap.windin.com/ns/bulletin.php?id=201222&amp;type=1</t>
  </si>
  <si>
    <t>http://snap.windin.com/ns/bulletin.php?id=19121238&amp;type=1</t>
  </si>
  <si>
    <t>http://snap.windin.com/ns/bulletin.php?id=485765&amp;type=1</t>
  </si>
  <si>
    <t>http://snap.windin.com/ns/bulletin.php?id=1514808&amp;type=1</t>
  </si>
  <si>
    <t>http://snap.windin.com/ns/bulletin.php?id=858911&amp;type=1</t>
  </si>
  <si>
    <t>http://snap.windin.com/ns/bulletin.php?id=1360320&amp;type=1</t>
  </si>
  <si>
    <t>http://snap.windin.com/ns/bulletin.php?id=1931038&amp;type=1</t>
  </si>
  <si>
    <t>http://snap.windin.com/ns/bulletin.php?id=1513616&amp;type=1</t>
  </si>
  <si>
    <t>http://snap.windin.com/ns/bulletin.php?id=1043743&amp;type=1</t>
  </si>
  <si>
    <t>http://snap.windin.com/ns/bulletin.php?id=946568&amp;type=1</t>
  </si>
  <si>
    <t>http://snap.windin.com/ns/bulletin.php?id=243813&amp;type=1</t>
  </si>
  <si>
    <t>http://snap.windin.com/ns/bulletin.php?id=232013&amp;type=1</t>
  </si>
  <si>
    <t>http://snap.windin.com/ns/bulletin.php?id=2033448&amp;type=1</t>
  </si>
  <si>
    <t>http://snap.windin.com/ns/bulletin.php?id=1517662&amp;type=1</t>
  </si>
  <si>
    <t>http://snap.windin.com/ns/bulletin.php?id=1304007&amp;type=1</t>
  </si>
  <si>
    <t>http://snap.windin.com/ns/bulletin.php?id=2080479&amp;type=1</t>
  </si>
  <si>
    <t>http://snap.windin.com/ns/bulletin.php?id=1590493&amp;type=1</t>
  </si>
  <si>
    <t>http://snap.windin.com/ns/bulletin.php?id=1665083&amp;type=1</t>
  </si>
  <si>
    <t>http://snap.windin.com/ns/bulletin.php?id=985741&amp;type=1</t>
  </si>
  <si>
    <t>http://snap.windin.com/ns/bulletin.php?id=1415482&amp;type=1</t>
  </si>
  <si>
    <t>http://snap.windin.com/ns/bulletin.php?id=72429&amp;type=1</t>
  </si>
  <si>
    <t>http://snap.windin.com/ns/bulletin.php?id=1941480&amp;type=1</t>
  </si>
  <si>
    <t>http://snap.windin.com/ns/bulletin.php?id=1566635&amp;type=1</t>
  </si>
  <si>
    <t>http://snap.windin.com/ns/bulletin.php?id=1539754&amp;type=1</t>
  </si>
  <si>
    <t>http://snap.windin.com/ns/bulletin.php?id=1112459&amp;type=1</t>
  </si>
  <si>
    <t>http://snap.windin.com/ns/bulletin.php?id=1162506&amp;type=1</t>
  </si>
  <si>
    <t>http://snap.windin.com/ns/bulletin.php?id=1858617&amp;type=1</t>
  </si>
  <si>
    <t>http://snap.windin.com/ns/bulletin.php?id=1967554&amp;type=1</t>
  </si>
  <si>
    <t>http://snap.windin.com/ns/bulletin.php?id=1549175&amp;type=1</t>
  </si>
  <si>
    <t>http://snap.windin.com/ns/bulletin.php?id=1503632&amp;type=1</t>
  </si>
  <si>
    <t>http://snap.windin.com/ns/bulletin.php?id=698826&amp;type=1</t>
  </si>
  <si>
    <t>http://snap.windin.com/ns/bulletin.php?id=238953&amp;type=1</t>
  </si>
  <si>
    <t>http://snap.windin.com/ns/bulletin.php?id=1158776&amp;type=1</t>
  </si>
  <si>
    <t>http://snap.windin.com/ns/bulletin.php?id=1226693&amp;type=1</t>
  </si>
  <si>
    <t>http://snap.windin.com/ns/bulletin.php?id=508850&amp;type=1</t>
  </si>
  <si>
    <t>http://snap.windin.com/ns/bulletin.php?id=1973212&amp;type=1</t>
  </si>
  <si>
    <t>http://snap.windin.com/ns/bulletin.php?id=1373274&amp;type=1</t>
  </si>
  <si>
    <t>http://snap.windin.com/ns/bulletin.php?id=2125386&amp;type=1</t>
  </si>
  <si>
    <t>http://snap.windin.com/ns/bulletin.php?id=991062&amp;type=1</t>
  </si>
  <si>
    <t>http://snap.windin.com/ns/bulletin.php?id=1760559&amp;type=1</t>
  </si>
  <si>
    <t>http://snap.windin.com/ns/bulletin.php?id=1760220&amp;type=1</t>
  </si>
  <si>
    <t>http://snap.windin.com/ns/bulletin.php?id=1762058&amp;type=1</t>
  </si>
  <si>
    <t>http://snap.windin.com/ns/bulletin.php?id=2046542&amp;type=1</t>
  </si>
  <si>
    <t>http://snap.windin.com/ns/bulletin.php?id=1128705&amp;type=1</t>
  </si>
  <si>
    <t>http://snap.windin.com/ns/bulletin.php?id=895717&amp;type=1</t>
  </si>
  <si>
    <t>http://snap.windin.com/ns/bulletin.php?id=1698427&amp;type=1</t>
  </si>
  <si>
    <t>http://snap.windin.com/ns/bulletin.php?id=1893655&amp;type=1</t>
  </si>
  <si>
    <t>http://snap.windin.com/ns/bulletin.php?id=757016&amp;type=1</t>
  </si>
  <si>
    <t>http://snap.windin.com/ns/bulletin.php?id=1030722&amp;type=1</t>
  </si>
  <si>
    <t>http://snap.windin.com/ns/bulletin.php?id=1030955&amp;type=1</t>
  </si>
  <si>
    <t>http://snap.windin.com/ns/bulletin.php?id=2128196&amp;type=1</t>
  </si>
  <si>
    <t>http://snap.windin.com/ns/bulletin.php?id=135576&amp;type=1</t>
  </si>
  <si>
    <t>http://snap.windin.com/ns/bulletin.php?id=1268664&amp;type=1</t>
  </si>
  <si>
    <t>http://snap.windin.com/ns/bulletin.php?id=1242699&amp;type=1</t>
  </si>
  <si>
    <t>http://snap.windin.com/ns/bulletin.php?id=1955716&amp;type=1</t>
  </si>
  <si>
    <t>http://snap.windin.com/ns/bulletin.php?id=630916&amp;type=1</t>
  </si>
  <si>
    <t>http://snap.windin.com/ns/bulletin.php?id=846407&amp;type=1</t>
  </si>
  <si>
    <t>http://snap.windin.com/ns/bulletin.php?id=1927198&amp;type=1</t>
  </si>
  <si>
    <t>http://snap.windin.com/ns/bulletin.php?id=1661840&amp;type=1</t>
  </si>
  <si>
    <t>http://snap.windin.com/ns/bulletin.php?id=460206&amp;type=1</t>
  </si>
  <si>
    <t>http://snap.windin.com/ns/bulletin.php?id=1832907&amp;type=1</t>
  </si>
  <si>
    <t>http://snap.windin.com/ns/bulletin.php?id=604640&amp;type=1</t>
  </si>
  <si>
    <t>http://snap.windin.com/ns/bulletin.php?id=730056&amp;type=1</t>
  </si>
  <si>
    <t>http://snap.windin.com/ns/bulletin.php?id=860236&amp;type=1</t>
  </si>
  <si>
    <t>http://snap.windin.com/ns/bulletin.php?id=901495&amp;type=1</t>
  </si>
  <si>
    <t>http://snap.windin.com/ns/bulletin.php?id=1758119&amp;type=1</t>
  </si>
  <si>
    <t>http://snap.windin.com/ns/bulletin.php?id=1334479&amp;type=1</t>
  </si>
  <si>
    <t>http://snap.windin.com/ns/bulletin.php?id=518861&amp;type=1</t>
  </si>
  <si>
    <t>http://snap.windin.com/ns/bulletin.php?id=658582&amp;type=1</t>
  </si>
  <si>
    <t>http://snap.windin.com/ns/bulletin.php?id=2028665&amp;type=1</t>
  </si>
  <si>
    <t>http://snap.windin.com/ns/bulletin.php?id=1875126&amp;type=1</t>
  </si>
  <si>
    <t>http://snap.windin.com/ns/bulletin.php?id=1819376&amp;type=1</t>
  </si>
  <si>
    <t>http://snap.windin.com/ns/bulletin.php?id=1056148&amp;type=1</t>
  </si>
  <si>
    <t>http://snap.windin.com/ns/bulletin.php?id=1059935&amp;type=1</t>
  </si>
  <si>
    <t>http://snap.windin.com/ns/bulletin.php?id=1015004&amp;type=1</t>
  </si>
  <si>
    <t>http://snap.windin.com/ns/bulletin.php?id=1774801&amp;type=1</t>
  </si>
  <si>
    <t>http://snap.windin.com/ns/bulletin.php?id=2109369&amp;type=1</t>
  </si>
  <si>
    <t>http://snap.windin.com/ns/bulletin.php?id=99205&amp;type=1</t>
  </si>
  <si>
    <t>http://snap.windin.com/ns/bulletin.php?id=1893774&amp;type=1</t>
  </si>
  <si>
    <t>http://snap.windin.com/ns/bulletin.php?id=1573849&amp;type=1</t>
  </si>
  <si>
    <t>http://snap.windin.com/ns/bulletin.php?id=628583&amp;type=1</t>
  </si>
  <si>
    <t>http://snap.windin.com/ns/bulletin.php?id=1636740&amp;type=1</t>
  </si>
  <si>
    <t>http://snap.windin.com/ns/bulletin.php?id=1628576&amp;type=1</t>
  </si>
  <si>
    <t>http://snap.windin.com/ns/bulletin.php?id=210877&amp;type=1</t>
  </si>
  <si>
    <t>http://snap.windin.com/ns/bulletin.php?id=546348&amp;type=1</t>
  </si>
  <si>
    <t>http://snap.windin.com/ns/bulletin.php?id=572140&amp;type=1</t>
  </si>
  <si>
    <t>http://snap.windin.com/ns/bulletin.php?id=1045012&amp;type=1</t>
  </si>
  <si>
    <t>http://snap.windin.com/ns/bulletin.php?id=1268025&amp;type=1</t>
  </si>
  <si>
    <t>http://snap.windin.com/ns/bulletin.php?id=685501&amp;type=1</t>
  </si>
  <si>
    <t>http://snap.windin.com/ns/bulletin.php?id=231704&amp;type=1</t>
  </si>
  <si>
    <t>http://snap.windin.com/ns/bulletin.php?id=539874&amp;type=1</t>
  </si>
  <si>
    <t>http://snap.windin.com/ns/bulletin.php?id=2033999&amp;type=1</t>
  </si>
  <si>
    <t>http://snap.windin.com/ns/bulletin.php?id=763455&amp;type=1</t>
  </si>
  <si>
    <t>http://snap.windin.com/ns/bulletin.php?id=895772&amp;type=1</t>
  </si>
  <si>
    <t>http://snap.windin.com/ns/bulletin.php?id=99764&amp;type=1</t>
  </si>
  <si>
    <t>http://snap.windin.com/ns/bulletin.php?id=1724626&amp;type=1</t>
  </si>
  <si>
    <t>http://snap.windin.com/ns/bulletin.php?id=203119&amp;type=1</t>
  </si>
  <si>
    <t>http://snap.windin.com/ns/bulletin.php?id=1785752&amp;type=1</t>
  </si>
  <si>
    <t>http://snap.windin.com/ns/bulletin.php?id=1561160&amp;type=1</t>
  </si>
  <si>
    <t>http://snap.windin.com/ns/bulletin.php?id=801680&amp;type=1</t>
  </si>
  <si>
    <t>http://snap.windin.com/ns/bulletin.php?id=1317349&amp;type=1</t>
  </si>
  <si>
    <t>http://snap.windin.com/ns/bulletin.php?id=1771455&amp;type=1</t>
  </si>
  <si>
    <t>http://snap.windin.com/ns/bulletin.php?id=222600&amp;type=1</t>
  </si>
  <si>
    <t>http://snap.windin.com/ns/bulletin.php?id=99168&amp;type=1</t>
  </si>
  <si>
    <t>http://snap.windin.com/ns/bulletin.php?id=1376102&amp;type=1</t>
  </si>
  <si>
    <t>http://snap.windin.com/ns/bulletin.php?id=202455&amp;type=1</t>
  </si>
  <si>
    <t>http://snap.windin.com/ns/bulletin.php?id=1266869&amp;type=1</t>
  </si>
  <si>
    <t>http://snap.windin.com/ns/bulletin.php?id=2098113&amp;type=1</t>
  </si>
  <si>
    <t>http://snap.windin.com/ns/bulletin.php?id=2027890&amp;type=1</t>
  </si>
  <si>
    <t>http://snap.windin.com/ns/bulletin.php?id=1568994&amp;type=1</t>
  </si>
  <si>
    <t>http://snap.windin.com/ns/bulletin.php?id=1009433&amp;type=1</t>
  </si>
  <si>
    <t>http://snap.windin.com/ns/bulletin.php?id=1234283&amp;type=1</t>
  </si>
  <si>
    <t>http://snap.windin.com/ns/bulletin.php?id=1646629&amp;type=1</t>
  </si>
  <si>
    <t>http://snap.windin.com/ns/bulletin.php?id=954801&amp;type=1</t>
  </si>
  <si>
    <t>http://snap.windin.com/ns/bulletin.php?id=1772214&amp;type=1</t>
  </si>
  <si>
    <t>http://snap.windin.com/ns/bulletin.php?id=2089931&amp;type=1</t>
  </si>
  <si>
    <t>http://snap.windin.com/ns/bulletin.php?id=1352641&amp;type=1</t>
  </si>
  <si>
    <t>http://snap.windin.com/ns/bulletin.php?id=424587&amp;type=1</t>
  </si>
  <si>
    <t>http://snap.windin.com/ns/bulletin.php?id=953441&amp;type=1</t>
  </si>
  <si>
    <t>http://snap.windin.com/ns/bulletin.php?id=1233144&amp;type=1</t>
  </si>
  <si>
    <t>http://snap.windin.com/ns/bulletin.php?id=1211390&amp;type=1</t>
  </si>
  <si>
    <t>http://snap.windin.com/ns/bulletin.php?id=2016975&amp;type=1</t>
  </si>
  <si>
    <t>http://snap.windin.com/ns/bulletin.php?id=1564115&amp;type=1</t>
  </si>
  <si>
    <t>http://snap.windin.com/ns/bulletin.php?id=1130590&amp;type=1</t>
  </si>
  <si>
    <t>http://snap.windin.com/ns/bulletin.php?id=1149961&amp;type=1</t>
  </si>
  <si>
    <t>http://snap.windin.com/ns/bulletin.php?id=1634502&amp;type=1</t>
  </si>
  <si>
    <t>http://snap.windin.com/ns/bulletin.php?id=1284729&amp;type=1</t>
  </si>
  <si>
    <t>http://snap.windin.com/ns/bulletin.php?id=978594&amp;type=1</t>
  </si>
  <si>
    <t>http://snap.windin.com/ns/bulletin.php?id=2124781&amp;type=1</t>
  </si>
  <si>
    <t>http://snap.windin.com/ns/bulletin.php?id=2074333&amp;type=1</t>
  </si>
  <si>
    <t>http://snap.windin.com/ns/bulletin.php?id=629526&amp;type=1</t>
  </si>
  <si>
    <t>http://snap.windin.com/ns/bulletin.php?id=714976&amp;type=1</t>
  </si>
  <si>
    <t>http://snap.windin.com/ns/bulletin.php?id=1672900&amp;type=1</t>
  </si>
  <si>
    <t>http://snap.windin.com/ns/bulletin.php?id=1880543&amp;type=1</t>
  </si>
  <si>
    <t>http://snap.windin.com/ns/bulletin.php?id=470382&amp;type=1</t>
  </si>
  <si>
    <t>http://snap.windin.com/ns/bulletin.php?id=1437109&amp;type=1</t>
  </si>
  <si>
    <t>http://snap.windin.com/ns/bulletin.php?id=1508564&amp;type=1</t>
  </si>
  <si>
    <t>http://snap.windin.com/ns/bulletin.php?id=1091702&amp;type=1</t>
  </si>
  <si>
    <t>http://snap.windin.com/ns/bulletin.php?id=561384&amp;type=1</t>
  </si>
  <si>
    <t>http://snap.windin.com/ns/bulletin.php?id=806986&amp;type=1</t>
  </si>
  <si>
    <t>http://snap.windin.com/ns/bulletin.php?id=948261&amp;type=1</t>
  </si>
  <si>
    <t>http://snap.windin.com/ns/bulletin.php?id=759226&amp;type=1</t>
  </si>
  <si>
    <t>http://snap.windin.com/ns/bulletin.php?id=1350004&amp;type=1</t>
  </si>
  <si>
    <t>http://snap.windin.com/ns/bulletin.php?id=1218098&amp;type=1</t>
  </si>
  <si>
    <t>http://snap.windin.com/ns/bulletin.php?id=71174&amp;type=1</t>
  </si>
  <si>
    <t>http://snap.windin.com/ns/bulletin.php?id=1855350&amp;type=1</t>
  </si>
  <si>
    <t>http://snap.windin.com/ns/bulletin.php?id=132653&amp;type=1</t>
  </si>
  <si>
    <t>http://snap.windin.com/ns/bulletin.php?id=494131&amp;type=1</t>
  </si>
  <si>
    <t>http://snap.windin.com/ns/bulletin.php?id=460550&amp;type=1</t>
  </si>
  <si>
    <t>http://snap.windin.com/ns/bulletin.php?id=1834291&amp;type=1</t>
  </si>
  <si>
    <t>http://snap.windin.com/ns/bulletin.php?id=1686716&amp;type=1</t>
  </si>
  <si>
    <t>http://snap.windin.com/ns/bulletin.php?id=1791628&amp;type=1</t>
  </si>
  <si>
    <t>http://snap.windin.com/ns/bulletin.php?id=202677&amp;type=1</t>
  </si>
  <si>
    <t>http://snap.windin.com/ns/bulletin.php?id=609027&amp;type=1</t>
  </si>
  <si>
    <t>http://snap.windin.com/ns/bulletin.php?id=1108463&amp;type=1</t>
  </si>
  <si>
    <t>http://snap.windin.com/ns/bulletin.php?id=1706254&amp;type=1</t>
  </si>
  <si>
    <t>http://snap.windin.com/ns/bulletin.php?id=1822897&amp;type=1</t>
  </si>
  <si>
    <t>http://snap.windin.com/ns/bulletin.php?id=1587363&amp;type=1</t>
  </si>
  <si>
    <t>http://snap.windin.com/ns/bulletin.php?id=896329&amp;type=1</t>
  </si>
  <si>
    <t>http://snap.windin.com/ns/bulletin.php?id=1781701&amp;type=1</t>
  </si>
  <si>
    <t>http://snap.windin.com/ns/bulletin.php?id=412730&amp;type=1</t>
  </si>
  <si>
    <t>http://snap.windin.com/ns/bulletin.php?id=426432&amp;type=1</t>
  </si>
  <si>
    <t>http://snap.windin.com/ns/bulletin.php?id=1907066&amp;type=1</t>
  </si>
  <si>
    <t>http://snap.windin.com/ns/bulletin.php?id=1624811&amp;type=1</t>
  </si>
  <si>
    <t>http://snap.windin.com/ns/bulletin.php?id=85989&amp;type=1</t>
  </si>
  <si>
    <t>http://snap.windin.com/ns/bulletin.php?id=1359553&amp;type=1</t>
  </si>
  <si>
    <t>http://snap.windin.com/ns/bulletin.php?id=1404650&amp;type=1</t>
  </si>
  <si>
    <t>http://snap.windin.com/ns/bulletin.php?id=1276323&amp;type=1</t>
  </si>
  <si>
    <t>http://snap.windin.com/ns/bulletin.php?id=1026041&amp;type=1</t>
  </si>
  <si>
    <t>http://snap.windin.com/ns/bulletin.php?id=694987&amp;type=1</t>
  </si>
  <si>
    <t>http://snap.windin.com/ns/bulletin.php?id=973814&amp;type=1</t>
  </si>
  <si>
    <t>http://snap.windin.com/ns/bulletin.php?id=80906&amp;type=1</t>
  </si>
  <si>
    <t>http://snap.windin.com/ns/bulletin.php?id=2123617&amp;type=1</t>
  </si>
  <si>
    <t>http://snap.windin.com/ns/bulletin.php?id=1862618&amp;type=1</t>
  </si>
  <si>
    <t>http://snap.windin.com/ns/bulletin.php?id=1445048&amp;type=1</t>
  </si>
  <si>
    <t>http://snap.windin.com/ns/bulletin.php?id=769989&amp;type=1</t>
  </si>
  <si>
    <t>http://snap.windin.com/ns/bulletin.php?id=1749386&amp;type=1</t>
  </si>
  <si>
    <t>http://snap.windin.com/ns/bulletin.php?id=1231745&amp;type=1</t>
  </si>
  <si>
    <t>http://snap.windin.com/ns/bulletin.php?id=541486&amp;type=1</t>
  </si>
  <si>
    <t>http://snap.windin.com/ns/bulletin.php?id=1945120&amp;type=1</t>
  </si>
  <si>
    <t>http://snap.windin.com/ns/bulletin.php?id=635695&amp;type=1</t>
  </si>
  <si>
    <t>http://snap.windin.com/ns/bulletin.php?id=721321&amp;type=1</t>
  </si>
  <si>
    <t>http://snap.windin.com/ns/bulletin.php?id=1084649&amp;type=1</t>
  </si>
  <si>
    <t>http://snap.windin.com/ns/bulletin.php?id=1756110&amp;type=1</t>
  </si>
  <si>
    <t>http://snap.windin.com/ns/bulletin.php?id=162648&amp;type=1</t>
  </si>
  <si>
    <t>http://snap.windin.com/ns/bulletin.php?id=710854&amp;type=1</t>
  </si>
  <si>
    <t>http://snap.windin.com/ns/bulletin.php?id=976361&amp;type=1</t>
  </si>
  <si>
    <t>http://snap.windin.com/ns/bulletin.php?id=1730185&amp;type=1</t>
  </si>
  <si>
    <t>http://snap.windin.com/ns/bulletin.php?id=171728&amp;type=1</t>
  </si>
  <si>
    <t>http://snap.windin.com/ns/bulletin.php?id=1247252&amp;type=1</t>
  </si>
  <si>
    <t>http://snap.windin.com/ns/bulletin.php?id=1365963&amp;type=1</t>
  </si>
  <si>
    <t>http://snap.windin.com/ns/bulletin.php?id=1143646&amp;type=1</t>
  </si>
  <si>
    <t>http://snap.windin.com/ns/bulletin.php?id=678488&amp;type=1</t>
  </si>
  <si>
    <t>http://snap.windin.com/ns/bulletin.php?id=2033873&amp;type=1</t>
  </si>
  <si>
    <t>http://snap.windin.com/ns/bulletin.php?id=1911896&amp;type=1</t>
  </si>
  <si>
    <t>http://snap.windin.com/ns/bulletin.php?id=1959303&amp;type=1</t>
  </si>
  <si>
    <t>http://snap.windin.com/ns/bulletin.php?id=1622113&amp;type=1</t>
  </si>
  <si>
    <t>http://snap.windin.com/ns/bulletin.php?id=655019&amp;type=1</t>
  </si>
  <si>
    <t>http://snap.windin.com/ns/bulletin.php?id=996625&amp;type=1</t>
  </si>
  <si>
    <t>http://snap.windin.com/ns/bulletin.php?id=601502&amp;type=1</t>
  </si>
  <si>
    <t>http://snap.windin.com/ns/bulletin.php?id=841462&amp;type=1</t>
  </si>
  <si>
    <t>http://snap.windin.com/ns/bulletin.php?id=1733726&amp;type=1</t>
  </si>
  <si>
    <t>http://snap.windin.com/ns/bulletin.php?id=1095798&amp;type=1</t>
  </si>
  <si>
    <t>http://snap.windin.com/ns/bulletin.php?id=2124167&amp;type=1</t>
  </si>
  <si>
    <t>http://snap.windin.com/ns/bulletin.php?id=1585991&amp;type=1</t>
  </si>
  <si>
    <t>http://snap.windin.com/ns/bulletin.php?id=2116482&amp;type=1</t>
  </si>
  <si>
    <t>http://snap.windin.com/ns/bulletin.php?id=170744&amp;type=1</t>
  </si>
  <si>
    <t>http://snap.windin.com/ns/bulletin.php?id=1535261&amp;type=1</t>
  </si>
  <si>
    <t>http://snap.windin.com/ns/bulletin.php?id=1245688&amp;type=1</t>
  </si>
  <si>
    <t>http://snap.windin.com/ns/bulletin.php?id=18869602&amp;type=1</t>
  </si>
  <si>
    <t>http://snap.windin.com/ns/bulletin.php?id=147479&amp;type=1</t>
  </si>
  <si>
    <t>http://snap.windin.com/ns/bulletin.php?id=843257&amp;type=1</t>
  </si>
  <si>
    <t>http://snap.windin.com/ns/bulletin.php?id=993597&amp;type=1</t>
  </si>
  <si>
    <t>http://snap.windin.com/ns/bulletin.php?id=170932&amp;type=1</t>
  </si>
  <si>
    <t>http://snap.windin.com/ns/bulletin.php?id=428968&amp;type=1</t>
  </si>
  <si>
    <t>http://snap.windin.com/ns/bulletin.php?id=2083907&amp;type=1</t>
  </si>
  <si>
    <t>http://snap.windin.com/ns/bulletin.php?id=2041020&amp;type=1</t>
  </si>
  <si>
    <t>http://snap.windin.com/ns/bulletin.php?id=2043773&amp;type=1</t>
  </si>
  <si>
    <t>http://snap.windin.com/ns/bulletin.php?id=1794300&amp;type=1</t>
  </si>
  <si>
    <t>http://snap.windin.com/ns/bulletin.php?id=187032&amp;type=1</t>
  </si>
  <si>
    <t>http://snap.windin.com/ns/bulletin.php?id=2094166&amp;type=1</t>
  </si>
  <si>
    <t>http://snap.windin.com/ns/bulletin.php?id=780859&amp;type=1</t>
  </si>
  <si>
    <t>http://snap.windin.com/ns/bulletin.php?id=1287902&amp;type=1</t>
  </si>
  <si>
    <t>http://snap.windin.com/ns/bulletin.php?id=1710176&amp;type=1</t>
  </si>
  <si>
    <t>http://snap.windin.com/ns/bulletin.php?id=503854&amp;type=1</t>
  </si>
  <si>
    <t>http://snap.windin.com/ns/bulletin.php?id=671913&amp;type=1</t>
  </si>
  <si>
    <t>http://snap.windin.com/ns/bulletin.php?id=1935705&amp;type=1</t>
  </si>
  <si>
    <t>http://snap.windin.com/ns/bulletin.php?id=589570&amp;type=1</t>
  </si>
  <si>
    <t>http://snap.windin.com/ns/bulletin.php?id=1098265&amp;type=1</t>
  </si>
  <si>
    <t>http://snap.windin.com/ns/bulletin.php?id=695869&amp;type=1</t>
  </si>
  <si>
    <t>http://snap.windin.com/ns/bulletin.php?id=1620919&amp;type=1</t>
  </si>
  <si>
    <t>http://snap.windin.com/ns/bulletin.php?id=1656026&amp;type=1</t>
  </si>
  <si>
    <t>http://snap.windin.com/ns/bulletin.php?id=2118480&amp;type=1</t>
  </si>
  <si>
    <t>http://snap.windin.com/ns/bulletin.php?id=1901922&amp;type=1</t>
  </si>
  <si>
    <t>http://snap.windin.com/ns/bulletin.php?id=752710&amp;type=1</t>
  </si>
  <si>
    <t>http://snap.windin.com/ns/bulletin.php?id=1722118&amp;type=1</t>
  </si>
  <si>
    <t>http://snap.windin.com/ns/bulletin.php?id=1728439&amp;type=1</t>
  </si>
  <si>
    <t>http://snap.windin.com/ns/bulletin.php?id=512777&amp;type=1</t>
  </si>
  <si>
    <t>http://snap.windin.com/ns/bulletin.php?id=435317&amp;type=1</t>
  </si>
  <si>
    <t>http://snap.windin.com/ns/bulletin.php?id=2079876&amp;type=1</t>
  </si>
  <si>
    <t>http://snap.windin.com/ns/bulletin.php?id=1870214&amp;type=1</t>
  </si>
  <si>
    <t>http://snap.windin.com/ns/bulletin.php?id=761295&amp;type=1</t>
  </si>
  <si>
    <t>http://snap.windin.com/ns/bulletin.php?id=669016&amp;type=1</t>
  </si>
  <si>
    <t>http://snap.windin.com/ns/bulletin.php?id=569804&amp;type=1</t>
  </si>
  <si>
    <t>http://snap.windin.com/ns/bulletin.php?id=2003064&amp;type=1</t>
  </si>
  <si>
    <t>http://snap.windin.com/ns/bulletin.php?id=1100207&amp;type=1</t>
  </si>
  <si>
    <t>http://snap.windin.com/ns/bulletin.php?id=689367&amp;type=1</t>
  </si>
  <si>
    <t>http://snap.windin.com/ns/bulletin.php?id=849485&amp;type=1</t>
  </si>
  <si>
    <t>http://snap.windin.com/ns/bulletin.php?id=428458&amp;type=1</t>
  </si>
  <si>
    <t>http://snap.windin.com/ns/bulletin.php?id=1867852&amp;type=1</t>
  </si>
  <si>
    <t>http://snap.windin.com/ns/bulletin.php?id=1667469&amp;type=1</t>
  </si>
  <si>
    <t>http://snap.windin.com/ns/bulletin.php?id=208659&amp;type=1</t>
  </si>
  <si>
    <t>http://snap.windin.com/ns/bulletin.php?id=1458998&amp;type=1</t>
  </si>
  <si>
    <t>http://snap.windin.com/ns/bulletin.php?id=828846&amp;type=1</t>
  </si>
  <si>
    <t>http://snap.windin.com/ns/bulletin.php?id=1684247&amp;type=1</t>
  </si>
  <si>
    <t>http://snap.windin.com/ns/bulletin.php?id=1787408&amp;type=1</t>
  </si>
  <si>
    <t>http://snap.windin.com/ns/bulletin.php?id=208200&amp;type=1</t>
  </si>
  <si>
    <t>http://snap.windin.com/ns/bulletin.php?id=2074041&amp;type=1</t>
  </si>
  <si>
    <t>http://snap.windin.com/ns/bulletin.php?id=874448&amp;type=1</t>
  </si>
  <si>
    <t>http://snap.windin.com/ns/bulletin.php?id=952692&amp;type=1</t>
  </si>
  <si>
    <t>http://snap.windin.com/ns/bulletin.php?id=175317&amp;type=1</t>
  </si>
  <si>
    <t>http://snap.windin.com/ns/bulletin.php?id=1387334&amp;type=1</t>
  </si>
  <si>
    <t>http://snap.windin.com/ns/bulletin.php?id=900412&amp;type=1</t>
  </si>
  <si>
    <t>http://snap.windin.com/ns/bulletin.php?id=908043&amp;type=1</t>
  </si>
  <si>
    <t>http://snap.windin.com/ns/bulletin.php?id=923742&amp;type=1</t>
  </si>
  <si>
    <t>http://snap.windin.com/ns/bulletin.php?id=2008987&amp;type=1</t>
  </si>
  <si>
    <t>http://snap.windin.com/ns/bulletin.php?id=1249160&amp;type=1</t>
  </si>
  <si>
    <t>http://snap.windin.com/ns/bulletin.php?id=1848157&amp;type=1</t>
  </si>
  <si>
    <t>http://snap.windin.com/ns/bulletin.php?id=1908073&amp;type=1</t>
  </si>
  <si>
    <t>http://snap.windin.com/ns/bulletin.php?id=2061028&amp;type=1</t>
  </si>
  <si>
    <t>http://snap.windin.com/ns/bulletin.php?id=177275&amp;type=1</t>
  </si>
  <si>
    <t>http://snap.windin.com/ns/bulletin.php?id=1554493&amp;type=1</t>
  </si>
  <si>
    <t>http://snap.windin.com/ns/bulletin.php?id=1417420&amp;type=1</t>
  </si>
  <si>
    <t>http://snap.windin.com/ns/bulletin.php?id=795653&amp;type=1</t>
  </si>
  <si>
    <t>http://snap.windin.com/ns/bulletin.php?id=957245&amp;type=1</t>
  </si>
  <si>
    <t>http://snap.windin.com/ns/bulletin.php?id=124983&amp;type=1</t>
  </si>
  <si>
    <t>http://snap.windin.com/ns/bulletin.php?id=1547057&amp;type=1</t>
  </si>
  <si>
    <t>http://snap.windin.com/ns/bulletin.php?id=1089851&amp;type=1</t>
  </si>
  <si>
    <t>http://snap.windin.com/ns/bulletin.php?id=941249&amp;type=1</t>
  </si>
  <si>
    <t>http://snap.windin.com/ns/bulletin.php?id=1638646&amp;type=1</t>
  </si>
  <si>
    <t>http://snap.windin.com/ns/bulletin.php?id=1796486&amp;type=1</t>
  </si>
  <si>
    <t>http://snap.windin.com/ns/bulletin.php?id=213220&amp;type=1</t>
  </si>
  <si>
    <t>http://snap.windin.com/ns/bulletin.php?id=554056&amp;type=1</t>
  </si>
  <si>
    <t>http://snap.windin.com/ns/bulletin.php?id=1934552&amp;type=1</t>
  </si>
  <si>
    <t>http://snap.windin.com/ns/bulletin.php?id=1780396&amp;type=1</t>
  </si>
  <si>
    <t>http://snap.windin.com/ns/bulletin.php?id=1501567&amp;type=1</t>
  </si>
  <si>
    <t>http://snap.windin.com/ns/bulletin.php?id=865031&amp;type=1</t>
  </si>
  <si>
    <t>http://snap.windin.com/ns/bulletin.php?id=711924&amp;type=1</t>
  </si>
  <si>
    <t>http://snap.windin.com/ns/bulletin.php?id=2107798&amp;type=1</t>
  </si>
  <si>
    <t>http://snap.windin.com/ns/bulletin.php?id=756354&amp;type=1</t>
  </si>
  <si>
    <t>http://snap.windin.com/ns/bulletin.php?id=1689318&amp;type=1</t>
  </si>
  <si>
    <t>http://snap.windin.com/ns/bulletin.php?id=1753730&amp;type=1</t>
  </si>
  <si>
    <t>http://snap.windin.com/ns/bulletin.php?id=184745&amp;type=1</t>
  </si>
  <si>
    <t>http://snap.windin.com/ns/bulletin.php?id=87762&amp;type=1</t>
  </si>
  <si>
    <t>http://snap.windin.com/ns/bulletin.php?id=1256772&amp;type=1</t>
  </si>
  <si>
    <t>http://snap.windin.com/ns/bulletin.php?id=1245420&amp;type=1</t>
  </si>
  <si>
    <t>http://snap.windin.com/ns/bulletin.php?id=805111&amp;type=1</t>
  </si>
  <si>
    <t>http://snap.windin.com/ns/bulletin.php?id=961185&amp;type=1</t>
  </si>
  <si>
    <t>http://snap.windin.com/ns/bulletin.php?id=1720214&amp;type=1</t>
  </si>
  <si>
    <t>http://snap.windin.com/ns/bulletin.php?id=1775604&amp;type=1</t>
  </si>
  <si>
    <t>http://snap.windin.com/ns/bulletin.php?id=1303402&amp;type=1</t>
  </si>
  <si>
    <t>http://snap.windin.com/ns/bulletin.php?id=1217787&amp;type=1</t>
  </si>
  <si>
    <t>http://snap.windin.com/ns/bulletin.php?id=681344&amp;type=1</t>
  </si>
  <si>
    <t>http://snap.windin.com/ns/bulletin.php?id=1932530&amp;type=1</t>
  </si>
  <si>
    <t>http://snap.windin.com/ns/bulletin.php?id=1535157&amp;type=1</t>
  </si>
  <si>
    <t>http://snap.windin.com/ns/bulletin.php?id=1080106&amp;type=1</t>
  </si>
  <si>
    <t>http://snap.windin.com/ns/bulletin.php?id=1165459&amp;type=1</t>
  </si>
  <si>
    <t>http://snap.windin.com/ns/bulletin.php?id=428409&amp;type=1</t>
  </si>
  <si>
    <t>http://snap.windin.com/ns/bulletin.php?id=1457192&amp;type=1</t>
  </si>
  <si>
    <t>http://snap.windin.com/ns/bulletin.php?id=850696&amp;type=1</t>
  </si>
  <si>
    <t>http://snap.windin.com/ns/bulletin.php?id=988075&amp;type=1</t>
  </si>
  <si>
    <t>http://snap.windin.com/ns/bulletin.php?id=1855388&amp;type=1</t>
  </si>
  <si>
    <t>http://snap.windin.com/ns/bulletin.php?id=1796875&amp;type=1</t>
  </si>
  <si>
    <t>http://snap.windin.com/ns/bulletin.php?id=1608007&amp;type=1</t>
  </si>
  <si>
    <t>http://snap.windin.com/ns/bulletin.php?id=144509&amp;type=1</t>
  </si>
  <si>
    <t>http://snap.windin.com/ns/bulletin.php?id=1357428&amp;type=1</t>
  </si>
  <si>
    <t>http://snap.windin.com/ns/bulletin.php?id=464797&amp;type=1</t>
  </si>
  <si>
    <t>http://snap.windin.com/ns/bulletin.php?id=521307&amp;type=1</t>
  </si>
  <si>
    <t>http://snap.windin.com/ns/bulletin.php?id=2112359&amp;type=1</t>
  </si>
  <si>
    <t>http://snap.windin.com/ns/bulletin.php?id=2060577&amp;type=1</t>
  </si>
  <si>
    <t>http://snap.windin.com/ns/bulletin.php?id=1839250&amp;type=1</t>
  </si>
  <si>
    <t>http://snap.windin.com/ns/bulletin.php?id=1485239&amp;type=1</t>
  </si>
  <si>
    <t>http://snap.windin.com/ns/bulletin.php?id=1528038&amp;type=1</t>
  </si>
  <si>
    <t>http://snap.windin.com/ns/bulletin.php?id=930890&amp;type=1</t>
  </si>
  <si>
    <t>http://snap.windin.com/ns/bulletin.php?id=1298354&amp;type=1</t>
  </si>
  <si>
    <t>http://snap.windin.com/ns/bulletin.php?id=1025963&amp;type=1</t>
  </si>
  <si>
    <t>http://snap.windin.com/ns/bulletin.php?id=1427174&amp;type=1</t>
  </si>
  <si>
    <t>http://snap.windin.com/ns/bulletin.php?id=756019&amp;type=1</t>
  </si>
  <si>
    <t>http://snap.windin.com/ns/bulletin.php?id=70884&amp;type=1</t>
  </si>
  <si>
    <t>http://snap.windin.com/ns/bulletin.php?id=1426088&amp;type=1</t>
  </si>
  <si>
    <t>http://snap.windin.com/ns/bulletin.php?id=1300415&amp;type=1</t>
  </si>
  <si>
    <t>http://snap.windin.com/ns/bulletin.php?id=1604179&amp;type=1</t>
  </si>
  <si>
    <t>http://snap.windin.com/ns/bulletin.php?id=1393532&amp;type=1</t>
  </si>
  <si>
    <t>http://snap.windin.com/ns/bulletin.php?id=1549951&amp;type=1</t>
  </si>
  <si>
    <t>http://snap.windin.com/ns/bulletin.php?id=1282431&amp;type=1</t>
  </si>
  <si>
    <t>http://snap.windin.com/ns/bulletin.php?id=811549&amp;type=1</t>
  </si>
  <si>
    <t>http://snap.windin.com/ns/bulletin.php?id=1385412&amp;type=1</t>
  </si>
  <si>
    <t>http://snap.windin.com/ns/bulletin.php?id=1623513&amp;type=1</t>
  </si>
  <si>
    <t>http://snap.windin.com/ns/bulletin.php?id=1501897&amp;type=1</t>
  </si>
  <si>
    <t>http://snap.windin.com/ns/bulletin.php?id=943551&amp;type=1</t>
  </si>
  <si>
    <t>http://snap.windin.com/ns/bulletin.php?id=1697834&amp;type=1</t>
  </si>
  <si>
    <t>http://snap.windin.com/ns/bulletin.php?id=416482&amp;type=1</t>
  </si>
  <si>
    <t>http://snap.windin.com/ns/bulletin.php?id=1513917&amp;type=1</t>
  </si>
  <si>
    <t>http://snap.windin.com/ns/bulletin.php?id=1022018&amp;type=1</t>
  </si>
  <si>
    <t>http://snap.windin.com/ns/bulletin.php?id=210061&amp;type=1</t>
  </si>
  <si>
    <t>http://snap.windin.com/ns/bulletin.php?id=1327406&amp;type=1</t>
  </si>
  <si>
    <t>http://snap.windin.com/ns/bulletin.php?id=2043775&amp;type=1</t>
  </si>
  <si>
    <t>http://snap.windin.com/ns/bulletin.php?id=1861542&amp;type=1</t>
  </si>
  <si>
    <t>http://snap.windin.com/ns/bulletin.php?id=1788467&amp;type=1</t>
  </si>
  <si>
    <t>http://snap.windin.com/ns/bulletin.php?id=1044911&amp;type=1</t>
  </si>
  <si>
    <t>http://snap.windin.com/ns/bulletin.php?id=1099855&amp;type=1</t>
  </si>
  <si>
    <t>http://snap.windin.com/ns/bulletin.php?id=833834&amp;type=1</t>
  </si>
  <si>
    <t>http://snap.windin.com/ns/bulletin.php?id=485385&amp;type=1</t>
  </si>
  <si>
    <t>http://snap.windin.com/ns/bulletin.php?id=1512647&amp;type=1</t>
  </si>
  <si>
    <t>http://snap.windin.com/ns/bulletin.php?id=1544475&amp;type=1</t>
  </si>
  <si>
    <t>http://snap.windin.com/ns/bulletin.php?id=1062342&amp;type=1</t>
  </si>
  <si>
    <t>http://snap.windin.com/ns/bulletin.php?id=115215&amp;type=1</t>
  </si>
  <si>
    <t>http://snap.windin.com/ns/bulletin.php?id=220834&amp;type=1</t>
  </si>
  <si>
    <t>http://snap.windin.com/ns/bulletin.php?id=1317887&amp;type=1</t>
  </si>
  <si>
    <t>http://snap.windin.com/ns/bulletin.php?id=2046151&amp;type=1</t>
  </si>
  <si>
    <t>http://snap.windin.com/ns/bulletin.php?id=2076188&amp;type=1</t>
  </si>
  <si>
    <t>http://snap.windin.com/ns/bulletin.php?id=1802312&amp;type=1</t>
  </si>
  <si>
    <t>http://snap.windin.com/ns/bulletin.php?id=1823609&amp;type=1</t>
  </si>
  <si>
    <t>http://snap.windin.com/ns/bulletin.php?id=570321&amp;type=1</t>
  </si>
  <si>
    <t>http://snap.windin.com/ns/bulletin.php?id=1742879&amp;type=1</t>
  </si>
  <si>
    <t>http://snap.windin.com/ns/bulletin.php?id=1729985&amp;type=1</t>
  </si>
  <si>
    <t>http://snap.windin.com/ns/bulletin.php?id=189362&amp;type=1</t>
  </si>
  <si>
    <t>http://snap.windin.com/ns/bulletin.php?id=1269155&amp;type=1</t>
  </si>
  <si>
    <t>http://snap.windin.com/ns/bulletin.php?id=1147261&amp;type=1</t>
  </si>
  <si>
    <t>http://snap.windin.com/ns/bulletin.php?id=1810732&amp;type=1</t>
  </si>
  <si>
    <t>http://snap.windin.com/ns/bulletin.php?id=1540109&amp;type=1</t>
  </si>
  <si>
    <t>http://snap.windin.com/ns/bulletin.php?id=687171&amp;type=1</t>
  </si>
  <si>
    <t>http://snap.windin.com/ns/bulletin.php?id=216270&amp;type=1</t>
  </si>
  <si>
    <t>http://snap.windin.com/ns/bulletin.php?id=608739&amp;type=1</t>
  </si>
  <si>
    <t>http://snap.windin.com/ns/bulletin.php?id=1571537&amp;type=1</t>
  </si>
  <si>
    <t>http://snap.windin.com/ns/bulletin.php?id=1770882&amp;type=1</t>
  </si>
  <si>
    <t>http://snap.windin.com/ns/bulletin.php?id=1542531&amp;type=1</t>
  </si>
  <si>
    <t>http://snap.windin.com/ns/bulletin.php?id=1017519&amp;type=1</t>
  </si>
  <si>
    <t>http://snap.windin.com/ns/bulletin.php?id=128758&amp;type=1</t>
  </si>
  <si>
    <t>http://snap.windin.com/ns/bulletin.php?id=1376198&amp;type=1</t>
  </si>
  <si>
    <t>http://snap.windin.com/ns/bulletin.php?id=1875490&amp;type=1</t>
  </si>
  <si>
    <t>http://snap.windin.com/ns/bulletin.php?id=1833274&amp;type=1</t>
  </si>
  <si>
    <t>http://snap.windin.com/ns/bulletin.php?id=1594292&amp;type=1</t>
  </si>
  <si>
    <t>http://snap.windin.com/ns/bulletin.php?id=1579808&amp;type=1</t>
  </si>
  <si>
    <t>http://snap.windin.com/ns/bulletin.php?id=603139&amp;type=1</t>
  </si>
  <si>
    <t>http://snap.windin.com/ns/bulletin.php?id=1061008&amp;type=1</t>
  </si>
  <si>
    <t>http://snap.windin.com/ns/bulletin.php?id=807643&amp;type=1</t>
  </si>
  <si>
    <t>http://snap.windin.com/ns/bulletin.php?id=406839&amp;type=1</t>
  </si>
  <si>
    <t>http://snap.windin.com/ns/bulletin.php?id=409237&amp;type=1</t>
  </si>
  <si>
    <t>http://snap.windin.com/ns/bulletin.php?id=1955527&amp;type=1</t>
  </si>
  <si>
    <t>http://snap.windin.com/ns/bulletin.php?id=1642058&amp;type=1</t>
  </si>
  <si>
    <t>http://snap.windin.com/ns/bulletin.php?id=603578&amp;type=1</t>
  </si>
  <si>
    <t>http://snap.windin.com/ns/bulletin.php?id=593321&amp;type=1</t>
  </si>
  <si>
    <t>http://snap.windin.com/ns/bulletin.php?id=1160775&amp;type=1</t>
  </si>
  <si>
    <t>http://snap.windin.com/ns/bulletin.php?id=502382&amp;type=1</t>
  </si>
  <si>
    <t>http://snap.windin.com/ns/bulletin.php?id=430169&amp;type=1</t>
  </si>
  <si>
    <t>http://snap.windin.com/ns/bulletin.php?id=1760986&amp;type=1</t>
  </si>
  <si>
    <t>http://snap.windin.com/ns/bulletin.php?id=2068721&amp;type=1</t>
  </si>
  <si>
    <t>http://snap.windin.com/ns/bulletin.php?id=1649883&amp;type=1</t>
  </si>
  <si>
    <t>http://snap.windin.com/ns/bulletin.php?id=1995240&amp;type=1</t>
  </si>
  <si>
    <t>http://snap.windin.com/ns/bulletin.php?id=860993&amp;type=1</t>
  </si>
  <si>
    <t>http://snap.windin.com/ns/bulletin.php?id=1644112&amp;type=1</t>
  </si>
  <si>
    <t>http://snap.windin.com/ns/bulletin.php?id=158991&amp;type=1</t>
  </si>
  <si>
    <t>http://snap.windin.com/ns/bulletin.php?id=1387050&amp;type=1</t>
  </si>
  <si>
    <t>http://snap.windin.com/ns/bulletin.php?id=2073017&amp;type=1</t>
  </si>
  <si>
    <t>http://snap.windin.com/ns/bulletin.php?id=1909380&amp;type=1</t>
  </si>
  <si>
    <t>http://snap.windin.com/ns/bulletin.php?id=1134301&amp;type=1</t>
  </si>
  <si>
    <t>http://snap.windin.com/ns/bulletin.php?id=1052305&amp;type=1</t>
  </si>
  <si>
    <t>http://snap.windin.com/ns/bulletin.php?id=195486&amp;type=1</t>
  </si>
  <si>
    <t>http://snap.windin.com/ns/bulletin.php?id=89068&amp;type=1</t>
  </si>
  <si>
    <t>http://snap.windin.com/ns/bulletin.php?id=2129514&amp;type=1</t>
  </si>
  <si>
    <t>http://snap.windin.com/ns/bulletin.php?id=606281&amp;type=1</t>
  </si>
  <si>
    <t>http://snap.windin.com/ns/bulletin.php?id=708736&amp;type=1</t>
  </si>
  <si>
    <t>http://snap.windin.com/ns/bulletin.php?id=75336&amp;type=1</t>
  </si>
  <si>
    <t>http://snap.windin.com/ns/bulletin.php?id=2072838&amp;type=1</t>
  </si>
  <si>
    <t>http://snap.windin.com/ns/bulletin.php?id=1478295&amp;type=1</t>
  </si>
  <si>
    <t>http://snap.windin.com/ns/bulletin.php?id=596225&amp;type=1</t>
  </si>
  <si>
    <t>http://snap.windin.com/ns/bulletin.php?id=932023&amp;type=1</t>
  </si>
  <si>
    <t>http://snap.windin.com/ns/bulletin.php?id=740572&amp;type=1</t>
  </si>
  <si>
    <t>http://snap.windin.com/ns/bulletin.php?id=1271319&amp;type=1</t>
  </si>
  <si>
    <t>http://snap.windin.com/ns/bulletin.php?id=692948&amp;type=1</t>
  </si>
  <si>
    <t>http://snap.windin.com/ns/bulletin.php?id=828305&amp;type=1</t>
  </si>
  <si>
    <t>http://snap.windin.com/ns/bulletin.php?id=1726039&amp;type=1</t>
  </si>
  <si>
    <t>http://snap.windin.com/ns/bulletin.php?id=1222353&amp;type=1</t>
  </si>
  <si>
    <t>http://snap.windin.com/ns/bulletin.php?id=1113325&amp;type=1</t>
  </si>
  <si>
    <t>http://snap.windin.com/ns/bulletin.php?id=1713811&amp;type=1</t>
  </si>
  <si>
    <t>http://snap.windin.com/ns/bulletin.php?id=819844&amp;type=1</t>
  </si>
  <si>
    <t>http://snap.windin.com/ns/bulletin.php?id=1925382&amp;type=1</t>
  </si>
  <si>
    <t>http://snap.windin.com/ns/bulletin.php?id=1534354&amp;type=1</t>
  </si>
  <si>
    <t>http://snap.windin.com/ns/bulletin.php?id=1095782&amp;type=1</t>
  </si>
  <si>
    <t>http://snap.windin.com/ns/bulletin.php?id=1997563&amp;type=1</t>
  </si>
  <si>
    <t>http://snap.windin.com/ns/bulletin.php?id=221621&amp;type=1</t>
  </si>
  <si>
    <t>http://snap.windin.com/ns/bulletin.php?id=1824941&amp;type=1</t>
  </si>
  <si>
    <t>http://snap.windin.com/ns/bulletin.php?id=802374&amp;type=1</t>
  </si>
  <si>
    <t>http://snap.windin.com/ns/bulletin.php?id=954729&amp;type=1</t>
  </si>
  <si>
    <t>http://snap.windin.com/ns/bulletin.php?id=225978&amp;type=1</t>
  </si>
  <si>
    <t>http://snap.windin.com/ns/bulletin.php?id=513135&amp;type=1</t>
  </si>
  <si>
    <t>http://snap.windin.com/ns/bulletin.php?id=1958963&amp;type=1</t>
  </si>
  <si>
    <t>http://snap.windin.com/ns/bulletin.php?id=732417&amp;type=1</t>
  </si>
  <si>
    <t>http://snap.windin.com/ns/bulletin.php?id=1133784&amp;type=1</t>
  </si>
  <si>
    <t>http://snap.windin.com/ns/bulletin.php?id=166406&amp;type=1</t>
  </si>
  <si>
    <t>http://snap.windin.com/ns/bulletin.php?id=1798769&amp;type=1</t>
  </si>
  <si>
    <t>http://snap.windin.com/ns/bulletin.php?id=1830382&amp;type=1</t>
  </si>
  <si>
    <t>http://snap.windin.com/ns/bulletin.php?id=1575122&amp;type=1</t>
  </si>
  <si>
    <t>http://snap.windin.com/ns/bulletin.php?id=607813&amp;type=1</t>
  </si>
  <si>
    <t>http://snap.windin.com/ns/bulletin.php?id=1020811&amp;type=1</t>
  </si>
  <si>
    <t>http://snap.windin.com/ns/bulletin.php?id=785170&amp;type=1</t>
  </si>
  <si>
    <t>http://snap.windin.com/ns/bulletin.php?id=114790&amp;type=1</t>
  </si>
  <si>
    <t>http://snap.windin.com/ns/bulletin.php?id=657257&amp;type=1</t>
  </si>
  <si>
    <t>http://snap.windin.com/ns/bulletin.php?id=2054725&amp;type=1</t>
  </si>
  <si>
    <t>http://snap.windin.com/ns/bulletin.php?id=1699548&amp;type=1</t>
  </si>
  <si>
    <t>http://snap.windin.com/ns/bulletin.php?id=116601&amp;type=1</t>
  </si>
  <si>
    <t>http://snap.windin.com/ns/bulletin.php?id=1590254&amp;type=1</t>
  </si>
  <si>
    <t>http://snap.windin.com/ns/bulletin.php?id=800363&amp;type=1</t>
  </si>
  <si>
    <t>http://snap.windin.com/ns/bulletin.php?id=2125119&amp;type=1</t>
  </si>
  <si>
    <t>http://snap.windin.com/ns/bulletin.php?id=1854453&amp;type=1</t>
  </si>
  <si>
    <t>http://snap.windin.com/ns/bulletin.php?id=1822493&amp;type=1</t>
  </si>
  <si>
    <t>http://snap.windin.com/ns/bulletin.php?id=1907149&amp;type=1</t>
  </si>
  <si>
    <t>http://snap.windin.com/ns/bulletin.php?id=588968&amp;type=1</t>
  </si>
  <si>
    <t>http://snap.windin.com/ns/bulletin.php?id=766081&amp;type=1</t>
  </si>
  <si>
    <t>http://snap.windin.com/ns/bulletin.php?id=1618122&amp;type=1</t>
  </si>
  <si>
    <t>http://snap.windin.com/ns/bulletin.php?id=411385&amp;type=1</t>
  </si>
  <si>
    <t>http://snap.windin.com/ns/bulletin.php?id=411207&amp;type=1</t>
  </si>
  <si>
    <t>http://snap.windin.com/ns/bulletin.php?id=1204966&amp;type=1</t>
  </si>
  <si>
    <t>http://snap.windin.com/ns/bulletin.php?id=1089739&amp;type=1</t>
  </si>
  <si>
    <t>http://snap.windin.com/ns/bulletin.php?id=1694789&amp;type=1</t>
  </si>
  <si>
    <t>http://snap.windin.com/ns/bulletin.php?id=1647983&amp;type=1</t>
  </si>
  <si>
    <t>http://snap.windin.com/ns/bulletin.php?id=1153480&amp;type=1</t>
  </si>
  <si>
    <t>http://snap.windin.com/ns/bulletin.php?id=1980620&amp;type=1</t>
  </si>
  <si>
    <t>http://snap.windin.com/ns/bulletin.php?id=769241&amp;type=1</t>
  </si>
  <si>
    <t>http://snap.windin.com/ns/bulletin.php?id=1050124&amp;type=1</t>
  </si>
  <si>
    <t>http://snap.windin.com/ns/bulletin.php?id=1580435&amp;type=1</t>
  </si>
  <si>
    <t>http://snap.windin.com/ns/bulletin.php?id=1612501&amp;type=1</t>
  </si>
  <si>
    <t>http://snap.windin.com/ns/bulletin.php?id=1767446&amp;type=1</t>
  </si>
  <si>
    <t>http://snap.windin.com/ns/bulletin.php?id=240123&amp;type=1</t>
  </si>
  <si>
    <t>http://snap.windin.com/ns/bulletin.php?id=1247496&amp;type=1</t>
  </si>
  <si>
    <t>http://snap.windin.com/ns/bulletin.php?id=541009&amp;type=1</t>
  </si>
  <si>
    <t>http://snap.windin.com/ns/bulletin.php?id=1831899&amp;type=1</t>
  </si>
  <si>
    <t>http://snap.windin.com/ns/bulletin.php?id=1553566&amp;type=1</t>
  </si>
  <si>
    <t>http://snap.windin.com/ns/bulletin.php?id=1511489&amp;type=1</t>
  </si>
  <si>
    <t>http://snap.windin.com/ns/bulletin.php?id=1362194&amp;type=1</t>
  </si>
  <si>
    <t>http://snap.windin.com/ns/bulletin.php?id=816646&amp;type=1</t>
  </si>
  <si>
    <t>http://snap.windin.com/ns/bulletin.php?id=855639&amp;type=1</t>
  </si>
  <si>
    <t>http://snap.windin.com/ns/bulletin.php?id=1703819&amp;type=1</t>
  </si>
  <si>
    <t>http://snap.windin.com/ns/bulletin.php?id=2080567&amp;type=1</t>
  </si>
  <si>
    <t>http://snap.windin.com/ns/bulletin.php?id=1467984&amp;type=1</t>
  </si>
  <si>
    <t>http://snap.windin.com/ns/bulletin.php?id=604461&amp;type=1</t>
  </si>
  <si>
    <t>http://snap.windin.com/ns/bulletin.php?id=570759&amp;type=1</t>
  </si>
  <si>
    <t>http://snap.windin.com/ns/bulletin.php?id=947700&amp;type=1</t>
  </si>
  <si>
    <t>http://snap.windin.com/ns/bulletin.php?id=1298989&amp;type=1</t>
  </si>
  <si>
    <t>http://snap.windin.com/ns/bulletin.php?id=901636&amp;type=1</t>
  </si>
  <si>
    <t>http://snap.windin.com/ns/bulletin.php?id=1826238&amp;type=1</t>
  </si>
  <si>
    <t>http://snap.windin.com/ns/bulletin.php?id=600319&amp;type=1</t>
  </si>
  <si>
    <t>http://snap.windin.com/ns/bulletin.php?id=691515&amp;type=1</t>
  </si>
  <si>
    <t>http://snap.windin.com/ns/bulletin.php?id=702157&amp;type=1</t>
  </si>
  <si>
    <t>http://snap.windin.com/ns/bulletin.php?id=156988&amp;type=1</t>
  </si>
  <si>
    <t>http://snap.windin.com/ns/bulletin.php?id=1381744&amp;type=1</t>
  </si>
  <si>
    <t>http://snap.windin.com/ns/bulletin.php?id=676131&amp;type=1</t>
  </si>
  <si>
    <t>http://snap.windin.com/ns/bulletin.php?id=1824588&amp;type=1</t>
  </si>
  <si>
    <t>http://snap.windin.com/ns/bulletin.php?id=1951318&amp;type=1</t>
  </si>
  <si>
    <t>http://snap.windin.com/ns/bulletin.php?id=915439&amp;type=1</t>
  </si>
  <si>
    <t>http://snap.windin.com/ns/bulletin.php?id=739264&amp;type=1</t>
  </si>
  <si>
    <t>http://snap.windin.com/ns/bulletin.php?id=1108889&amp;type=1</t>
  </si>
  <si>
    <t>http://snap.windin.com/ns/bulletin.php?id=1326301&amp;type=1</t>
  </si>
  <si>
    <t>http://snap.windin.com/ns/bulletin.php?id=440782&amp;type=1</t>
  </si>
  <si>
    <t>http://snap.windin.com/ns/bulletin.php?id=1686360&amp;type=1</t>
  </si>
  <si>
    <t>http://snap.windin.com/ns/bulletin.php?id=1914067&amp;type=1</t>
  </si>
  <si>
    <t>http://snap.windin.com/ns/bulletin.php?id=1528911&amp;type=1</t>
  </si>
  <si>
    <t>http://snap.windin.com/ns/bulletin.php?id=1285476&amp;type=1</t>
  </si>
  <si>
    <t>http://snap.windin.com/ns/bulletin.php?id=694771&amp;type=1</t>
  </si>
  <si>
    <t>http://snap.windin.com/ns/bulletin.php?id=795614&amp;type=1</t>
  </si>
  <si>
    <t>http://snap.windin.com/ns/bulletin.php?id=1648563&amp;type=1</t>
  </si>
  <si>
    <t>http://snap.windin.com/ns/bulletin.php?id=131797&amp;type=1</t>
  </si>
  <si>
    <t>http://snap.windin.com/ns/bulletin.php?id=424952&amp;type=1</t>
  </si>
  <si>
    <t>http://snap.windin.com/ns/bulletin.php?id=1410266&amp;type=1</t>
  </si>
  <si>
    <t>http://snap.windin.com/ns/bulletin.php?id=502931&amp;type=1</t>
  </si>
  <si>
    <t>http://snap.windin.com/ns/bulletin.php?id=752563&amp;type=1</t>
  </si>
  <si>
    <t>http://snap.windin.com/ns/bulletin.php?id=73582&amp;type=1</t>
  </si>
  <si>
    <t>http://snap.windin.com/ns/bulletin.php?id=878871&amp;type=1</t>
  </si>
  <si>
    <t>http://snap.windin.com/ns/bulletin.php?id=2026482&amp;type=1</t>
  </si>
  <si>
    <t>http://snap.windin.com/ns/bulletin.php?id=1556265&amp;type=1</t>
  </si>
  <si>
    <t>http://snap.windin.com/ns/bulletin.php?id=984697&amp;type=1</t>
  </si>
  <si>
    <t>http://snap.windin.com/ns/bulletin.php?id=1395502&amp;type=1</t>
  </si>
  <si>
    <t>http://snap.windin.com/ns/bulletin.php?id=1950705&amp;type=1</t>
  </si>
  <si>
    <t>http://snap.windin.com/ns/bulletin.php?id=1617706&amp;type=1</t>
  </si>
  <si>
    <t>http://snap.windin.com/ns/bulletin.php?id=1796464&amp;type=1</t>
  </si>
  <si>
    <t>http://snap.windin.com/ns/bulletin.php?id=2060337&amp;type=1</t>
  </si>
  <si>
    <t>http://snap.windin.com/ns/bulletin.php?id=2105266&amp;type=1</t>
  </si>
  <si>
    <t>http://snap.windin.com/ns/bulletin.php?id=1873402&amp;type=1</t>
  </si>
  <si>
    <t>http://snap.windin.com/ns/bulletin.php?id=734239&amp;type=1</t>
  </si>
  <si>
    <t>http://snap.windin.com/ns/bulletin.php?id=726663&amp;type=1</t>
  </si>
  <si>
    <t>http://snap.windin.com/ns/bulletin.php?id=1290395&amp;type=1</t>
  </si>
  <si>
    <t>http://snap.windin.com/ns/bulletin.php?id=939958&amp;type=1</t>
  </si>
  <si>
    <t>http://snap.windin.com/ns/bulletin.php?id=2102183&amp;type=1</t>
  </si>
  <si>
    <t>http://snap.windin.com/ns/bulletin.php?id=555795&amp;type=1</t>
  </si>
  <si>
    <t>http://snap.windin.com/ns/bulletin.php?id=1808060&amp;type=1</t>
  </si>
  <si>
    <t>http://snap.windin.com/ns/bulletin.php?id=974585&amp;type=1</t>
  </si>
  <si>
    <t>http://snap.windin.com/ns/bulletin.php?id=748053&amp;type=1</t>
  </si>
  <si>
    <t>http://snap.windin.com/ns/bulletin.php?id=970850&amp;type=1</t>
  </si>
  <si>
    <t>http://snap.windin.com/ns/bulletin.php?id=1718681&amp;type=1</t>
  </si>
  <si>
    <t>http://snap.windin.com/ns/bulletin.php?id=942702&amp;type=1</t>
  </si>
  <si>
    <t>http://snap.windin.com/ns/bulletin.php?id=850397&amp;type=1</t>
  </si>
  <si>
    <t>http://snap.windin.com/ns/bulletin.php?id=1265927&amp;type=1</t>
  </si>
  <si>
    <t>http://snap.windin.com/ns/bulletin.php?id=1682795&amp;type=1</t>
  </si>
  <si>
    <t>http://snap.windin.com/ns/bulletin.php?id=1745647&amp;type=1</t>
  </si>
  <si>
    <t>http://snap.windin.com/ns/bulletin.php?id=1312339&amp;type=1</t>
  </si>
  <si>
    <t>http://snap.windin.com/ns/bulletin.php?id=1380319&amp;type=1</t>
  </si>
  <si>
    <t>http://snap.windin.com/ns/bulletin.php?id=464389&amp;type=1</t>
  </si>
  <si>
    <t>http://snap.windin.com/ns/bulletin.php?id=2068886&amp;type=1</t>
  </si>
  <si>
    <t>http://snap.windin.com/ns/bulletin.php?id=1517242&amp;type=1</t>
  </si>
  <si>
    <t>http://snap.windin.com/ns/bulletin.php?id=1155975&amp;type=1</t>
  </si>
  <si>
    <t>http://snap.windin.com/ns/bulletin.php?id=1156520&amp;type=1</t>
  </si>
  <si>
    <t>http://snap.windin.com/ns/bulletin.php?id=2009412&amp;type=1</t>
  </si>
  <si>
    <t>http://snap.windin.com/ns/bulletin.php?id=1116048&amp;type=1</t>
  </si>
  <si>
    <t>http://snap.windin.com/ns/bulletin.php?id=992633&amp;type=1</t>
  </si>
  <si>
    <t>http://snap.windin.com/ns/bulletin.php?id=1240810&amp;type=1</t>
  </si>
  <si>
    <t>http://snap.windin.com/ns/bulletin.php?id=1306515&amp;type=1</t>
  </si>
  <si>
    <t>http://snap.windin.com/ns/bulletin.php?id=465237&amp;type=1</t>
  </si>
  <si>
    <t>http://snap.windin.com/ns/bulletin.php?id=453284&amp;type=1</t>
  </si>
  <si>
    <t>http://snap.windin.com/ns/bulletin.php?id=1890957&amp;type=1</t>
  </si>
  <si>
    <t>http://snap.windin.com/ns/bulletin.php?id=992581&amp;type=1</t>
  </si>
  <si>
    <t>http://snap.windin.com/ns/bulletin.php?id=1784884&amp;type=1</t>
  </si>
  <si>
    <t>http://snap.windin.com/ns/bulletin.php?id=1998135&amp;type=1</t>
  </si>
  <si>
    <t>http://snap.windin.com/ns/bulletin.php?id=174536&amp;type=1</t>
  </si>
  <si>
    <t>http://snap.windin.com/ns/bulletin.php?id=1422641&amp;type=1</t>
  </si>
  <si>
    <t>http://snap.windin.com/ns/bulletin.php?id=2100162&amp;type=1</t>
  </si>
  <si>
    <t>http://snap.windin.com/ns/bulletin.php?id=2037096&amp;type=1</t>
  </si>
  <si>
    <t>http://snap.windin.com/ns/bulletin.php?id=1476705&amp;type=1</t>
  </si>
  <si>
    <t>http://snap.windin.com/ns/bulletin.php?id=1066548&amp;type=1</t>
  </si>
  <si>
    <t>http://snap.windin.com/ns/bulletin.php?id=693361&amp;type=1</t>
  </si>
  <si>
    <t>http://snap.windin.com/ns/bulletin.php?id=785807&amp;type=1</t>
  </si>
  <si>
    <t>http://snap.windin.com/ns/bulletin.php?id=1712684&amp;type=1</t>
  </si>
  <si>
    <t>http://snap.windin.com/ns/bulletin.php?id=1663276&amp;type=1</t>
  </si>
  <si>
    <t>http://snap.windin.com/ns/bulletin.php?id=210503&amp;type=1</t>
  </si>
  <si>
    <t>http://snap.windin.com/ns/bulletin.php?id=1209194&amp;type=1</t>
  </si>
  <si>
    <t>http://snap.windin.com/ns/bulletin.php?id=1330585&amp;type=1</t>
  </si>
  <si>
    <t>http://snap.windin.com/ns/bulletin.php?id=687545&amp;type=1</t>
  </si>
  <si>
    <t>http://snap.windin.com/ns/bulletin.php?id=103787&amp;type=1</t>
  </si>
  <si>
    <t>http://snap.windin.com/ns/bulletin.php?id=1951398&amp;type=1</t>
  </si>
  <si>
    <t>http://snap.windin.com/ns/bulletin.php?id=1637818&amp;type=1</t>
  </si>
  <si>
    <t>http://snap.windin.com/ns/bulletin.php?id=1757405&amp;type=1</t>
  </si>
  <si>
    <t>http://snap.windin.com/ns/bulletin.php?id=1792472&amp;type=1</t>
  </si>
  <si>
    <t>http://snap.windin.com/ns/bulletin.php?id=1172327&amp;type=1</t>
  </si>
  <si>
    <t>http://snap.windin.com/ns/bulletin.php?id=1418635&amp;type=1</t>
  </si>
  <si>
    <t>http://snap.windin.com/ns/bulletin.php?id=2105156&amp;type=1</t>
  </si>
  <si>
    <t>http://snap.windin.com/ns/bulletin.php?id=2067131&amp;type=1</t>
  </si>
  <si>
    <t>http://snap.windin.com/ns/bulletin.php?id=1879384&amp;type=1</t>
  </si>
  <si>
    <t>http://snap.windin.com/ns/bulletin.php?id=1495760&amp;type=1</t>
  </si>
  <si>
    <t>http://snap.windin.com/ns/bulletin.php?id=575591&amp;type=1</t>
  </si>
  <si>
    <t>http://snap.windin.com/ns/bulletin.php?id=863181&amp;type=1</t>
  </si>
  <si>
    <t>http://snap.windin.com/ns/bulletin.php?id=775658&amp;type=1</t>
  </si>
  <si>
    <t>http://snap.windin.com/ns/bulletin.php?id=158726&amp;type=1</t>
  </si>
  <si>
    <t>http://snap.windin.com/ns/bulletin.php?id=536420&amp;type=1</t>
  </si>
  <si>
    <t>http://snap.windin.com/ns/bulletin.php?id=1818718&amp;type=1</t>
  </si>
  <si>
    <t>http://snap.windin.com/ns/bulletin.php?id=1934043&amp;type=1</t>
  </si>
  <si>
    <t>http://snap.windin.com/ns/bulletin.php?id=1537141&amp;type=1</t>
  </si>
  <si>
    <t>http://snap.windin.com/ns/bulletin.php?id=1082744&amp;type=1</t>
  </si>
  <si>
    <t>http://snap.windin.com/ns/bulletin.php?id=411209&amp;type=1</t>
  </si>
  <si>
    <t>http://snap.windin.com/ns/bulletin.php?id=555368&amp;type=1</t>
  </si>
  <si>
    <t>http://snap.windin.com/ns/bulletin.php?id=467841&amp;type=1</t>
  </si>
  <si>
    <t>http://snap.windin.com/ns/bulletin.php?id=1434270&amp;type=1</t>
  </si>
  <si>
    <t>http://snap.windin.com/ns/bulletin.php?id=1495604&amp;type=1</t>
  </si>
  <si>
    <t>http://snap.windin.com/ns/bulletin.php?id=530693&amp;type=1</t>
  </si>
  <si>
    <t>http://snap.windin.com/ns/bulletin.php?id=453652&amp;type=1</t>
  </si>
  <si>
    <t>http://snap.windin.com/ns/bulletin.php?id=684745&amp;type=1</t>
  </si>
  <si>
    <t>http://snap.windin.com/ns/bulletin.php?id=2070153&amp;type=1</t>
  </si>
  <si>
    <t>http://snap.windin.com/ns/bulletin.php?id=2032304&amp;type=1</t>
  </si>
  <si>
    <t>http://snap.windin.com/ns/bulletin.php?id=1480107&amp;type=1</t>
  </si>
  <si>
    <t>http://snap.windin.com/ns/bulletin.php?id=580446&amp;type=1</t>
  </si>
  <si>
    <t>http://snap.windin.com/ns/bulletin.php?id=570640&amp;type=1</t>
  </si>
  <si>
    <t>http://snap.windin.com/ns/bulletin.php?id=148383&amp;type=1</t>
  </si>
  <si>
    <t>http://snap.windin.com/ns/bulletin.php?id=566440&amp;type=1</t>
  </si>
  <si>
    <t>http://snap.windin.com/ns/bulletin.php?id=2017706&amp;type=1</t>
  </si>
  <si>
    <t>http://snap.windin.com/ns/bulletin.php?id=1915049&amp;type=1</t>
  </si>
  <si>
    <t>http://snap.windin.com/ns/bulletin.php?id=1525139&amp;type=1</t>
  </si>
  <si>
    <t>http://snap.windin.com/ns/bulletin.php?id=968712&amp;type=1</t>
  </si>
  <si>
    <t>http://snap.windin.com/ns/bulletin.php?id=86952&amp;type=1</t>
  </si>
  <si>
    <t>http://snap.windin.com/ns/bulletin.php?id=1869837&amp;type=1</t>
  </si>
  <si>
    <t>http://snap.windin.com/ns/bulletin.php?id=1554446&amp;type=1</t>
  </si>
  <si>
    <t>http://snap.windin.com/ns/bulletin.php?id=1093879&amp;type=1</t>
  </si>
  <si>
    <t>http://snap.windin.com/ns/bulletin.php?id=1706145&amp;type=1</t>
  </si>
  <si>
    <t>http://snap.windin.com/ns/bulletin.php?id=159463&amp;type=1</t>
  </si>
  <si>
    <t>http://snap.windin.com/ns/bulletin.php?id=1931071&amp;type=1</t>
  </si>
  <si>
    <t>http://snap.windin.com/ns/bulletin.php?id=1642153&amp;type=1</t>
  </si>
  <si>
    <t>http://snap.windin.com/ns/bulletin.php?id=1015194&amp;type=1</t>
  </si>
  <si>
    <t>http://snap.windin.com/ns/bulletin.php?id=1376705&amp;type=1</t>
  </si>
  <si>
    <t>http://snap.windin.com/ns/bulletin.php?id=1953379&amp;type=1</t>
  </si>
  <si>
    <t>http://snap.windin.com/ns/bulletin.php?id=817573&amp;type=1</t>
  </si>
  <si>
    <t>http://snap.windin.com/ns/bulletin.php?id=1618346&amp;type=1</t>
  </si>
  <si>
    <t>http://snap.windin.com/ns/bulletin.php?id=233748&amp;type=1</t>
  </si>
  <si>
    <t>http://snap.windin.com/ns/bulletin.php?id=540190&amp;type=1</t>
  </si>
  <si>
    <t>http://snap.windin.com/ns/bulletin.php?id=1554871&amp;type=1</t>
  </si>
  <si>
    <t>http://snap.windin.com/ns/bulletin.php?id=2004204&amp;type=1</t>
  </si>
  <si>
    <t>http://snap.windin.com/ns/bulletin.php?id=518235&amp;type=1</t>
  </si>
  <si>
    <t>http://snap.windin.com/ns/bulletin.php?id=1677010&amp;type=1</t>
  </si>
  <si>
    <t>http://snap.windin.com/ns/bulletin.php?id=1911450&amp;type=1</t>
  </si>
  <si>
    <t>http://snap.windin.com/ns/bulletin.php?id=127052&amp;type=1</t>
  </si>
  <si>
    <t>http://snap.windin.com/ns/bulletin.php?id=1852310&amp;type=1</t>
  </si>
  <si>
    <t>http://snap.windin.com/ns/bulletin.php?id=1728208&amp;type=1</t>
  </si>
  <si>
    <t>http://snap.windin.com/ns/bulletin.php?id=1899971&amp;type=1</t>
  </si>
  <si>
    <t>http://snap.windin.com/ns/bulletin.php?id=700545&amp;type=1</t>
  </si>
  <si>
    <t>http://snap.windin.com/ns/bulletin.php?id=2126898&amp;type=1</t>
  </si>
  <si>
    <t>http://snap.windin.com/ns/bulletin.php?id=1230351&amp;type=1</t>
  </si>
  <si>
    <t>http://snap.windin.com/ns/bulletin.php?id=1586695&amp;type=1</t>
  </si>
  <si>
    <t>http://snap.windin.com/ns/bulletin.php?id=1574166&amp;type=1</t>
  </si>
  <si>
    <t>http://snap.windin.com/ns/bulletin.php?id=856451&amp;type=1</t>
  </si>
  <si>
    <t>http://snap.windin.com/ns/bulletin.php?id=1772241&amp;type=1</t>
  </si>
  <si>
    <t>http://snap.windin.com/ns/bulletin.php?id=562644&amp;type=1</t>
  </si>
  <si>
    <t>http://snap.windin.com/ns/bulletin.php?id=1672661&amp;type=1</t>
  </si>
  <si>
    <t>http://snap.windin.com/ns/bulletin.php?id=1203204&amp;type=1</t>
  </si>
  <si>
    <t>http://snap.windin.com/ns/bulletin.php?id=495056&amp;type=1</t>
  </si>
  <si>
    <t>http://snap.windin.com/ns/bulletin.php?id=1444948&amp;type=1</t>
  </si>
  <si>
    <t>http://snap.windin.com/ns/bulletin.php?id=865682&amp;type=1</t>
  </si>
  <si>
    <t>http://snap.windin.com/ns/bulletin.php?id=698005&amp;type=1</t>
  </si>
  <si>
    <t>http://snap.windin.com/ns/bulletin.php?id=784515&amp;type=1</t>
  </si>
  <si>
    <t>http://snap.windin.com/ns/bulletin.php?id=1327760&amp;type=1</t>
  </si>
  <si>
    <t>http://snap.windin.com/ns/bulletin.php?id=1986949&amp;type=1</t>
  </si>
  <si>
    <t>http://snap.windin.com/ns/bulletin.php?id=1346503&amp;type=1</t>
  </si>
  <si>
    <t>http://snap.windin.com/ns/bulletin.php?id=1642748&amp;type=1</t>
  </si>
  <si>
    <t>http://snap.windin.com/ns/bulletin.php?id=1853518&amp;type=1</t>
  </si>
  <si>
    <t>http://snap.windin.com/ns/bulletin.php?id=1827191&amp;type=1</t>
  </si>
  <si>
    <t>http://snap.windin.com/ns/bulletin.php?id=1972919&amp;type=1</t>
  </si>
  <si>
    <t>http://snap.windin.com/ns/bulletin.php?id=870246&amp;type=1</t>
  </si>
  <si>
    <t>http://snap.windin.com/ns/bulletin.php?id=1391630&amp;type=1</t>
  </si>
  <si>
    <t>http://snap.windin.com/ns/bulletin.php?id=874397&amp;type=1</t>
  </si>
  <si>
    <t>http://snap.windin.com/ns/bulletin.php?id=1075028&amp;type=1</t>
  </si>
  <si>
    <t>http://snap.windin.com/ns/bulletin.php?id=446637&amp;type=1</t>
  </si>
  <si>
    <t>http://snap.windin.com/ns/bulletin.php?id=1004680&amp;type=1</t>
  </si>
  <si>
    <t>http://snap.windin.com/ns/bulletin.php?id=1730313&amp;type=1</t>
  </si>
  <si>
    <t>http://snap.windin.com/ns/bulletin.php?id=441702&amp;type=1</t>
  </si>
  <si>
    <t>http://snap.windin.com/ns/bulletin.php?id=1464240&amp;type=1</t>
  </si>
  <si>
    <t>http://snap.windin.com/ns/bulletin.php?id=1493385&amp;type=1</t>
  </si>
  <si>
    <t>http://snap.windin.com/ns/bulletin.php?id=1229221&amp;type=1</t>
  </si>
  <si>
    <t>http://snap.windin.com/ns/bulletin.php?id=1308040&amp;type=1</t>
  </si>
  <si>
    <t>http://snap.windin.com/ns/bulletin.php?id=517934&amp;type=1</t>
  </si>
  <si>
    <t>http://snap.windin.com/ns/bulletin.php?id=2039495&amp;type=1</t>
  </si>
  <si>
    <t>http://snap.windin.com/ns/bulletin.php?id=2052278&amp;type=1</t>
  </si>
  <si>
    <t>http://snap.windin.com/ns/bulletin.php?id=2095725&amp;type=1</t>
  </si>
  <si>
    <t>http://snap.windin.com/ns/bulletin.php?id=1437544&amp;type=1</t>
  </si>
  <si>
    <t>http://snap.windin.com/ns/bulletin.php?id=1512437&amp;type=1</t>
  </si>
  <si>
    <t>http://snap.windin.com/ns/bulletin.php?id=877188&amp;type=1</t>
  </si>
  <si>
    <t>http://snap.windin.com/ns/bulletin.php?id=1889406&amp;type=1</t>
  </si>
  <si>
    <t>http://snap.windin.com/ns/bulletin.php?id=1234869&amp;type=1</t>
  </si>
  <si>
    <t>http://snap.windin.com/ns/bulletin.php?id=907567&amp;type=1</t>
  </si>
  <si>
    <t>http://snap.windin.com/ns/bulletin.php?id=1306081&amp;type=1</t>
  </si>
  <si>
    <t>http://snap.windin.com/ns/bulletin.php?id=927939&amp;type=1</t>
  </si>
  <si>
    <t>http://snap.windin.com/ns/bulletin.php?id=927566&amp;type=1</t>
  </si>
  <si>
    <t>http://snap.windin.com/ns/bulletin.php?id=795354&amp;type=1</t>
  </si>
  <si>
    <t>http://snap.windin.com/ns/bulletin.php?id=1002348&amp;type=1</t>
  </si>
  <si>
    <t>http://snap.windin.com/ns/bulletin.php?id=1793338&amp;type=1</t>
  </si>
  <si>
    <t>http://snap.windin.com/ns/bulletin.php?id=820493&amp;type=1</t>
  </si>
  <si>
    <t>http://snap.windin.com/ns/bulletin.php?id=1580105&amp;type=1</t>
  </si>
  <si>
    <t>http://snap.windin.com/ns/bulletin.php?id=641469&amp;type=1</t>
  </si>
  <si>
    <t>http://snap.windin.com/ns/bulletin.php?id=1668581&amp;type=1</t>
  </si>
  <si>
    <t>http://snap.windin.com/ns/bulletin.php?id=69955&amp;type=1</t>
  </si>
  <si>
    <t>http://snap.windin.com/ns/bulletin.php?id=1996271&amp;type=1</t>
  </si>
  <si>
    <t>http://snap.windin.com/ns/bulletin.php?id=2088009&amp;type=1</t>
  </si>
  <si>
    <t>http://snap.windin.com/ns/bulletin.php?id=1348545&amp;type=1</t>
  </si>
  <si>
    <t>http://snap.windin.com/ns/bulletin.php?id=1198050&amp;type=1</t>
  </si>
  <si>
    <t>http://snap.windin.com/ns/bulletin.php?id=1193315&amp;type=1</t>
  </si>
  <si>
    <t>http://snap.windin.com/ns/bulletin.php?id=489711&amp;type=1</t>
  </si>
  <si>
    <t>http://snap.windin.com/ns/bulletin.php?id=1873811&amp;type=1</t>
  </si>
  <si>
    <t>http://snap.windin.com/ns/bulletin.php?id=1516012&amp;type=1</t>
  </si>
  <si>
    <t>http://snap.windin.com/ns/bulletin.php?id=1544235&amp;type=1</t>
  </si>
  <si>
    <t>http://snap.windin.com/ns/bulletin.php?id=1148463&amp;type=1</t>
  </si>
  <si>
    <t>http://snap.windin.com/ns/bulletin.php?id=225162&amp;type=1</t>
  </si>
  <si>
    <t>http://snap.windin.com/ns/bulletin.php?id=487407&amp;type=1</t>
  </si>
  <si>
    <t>http://snap.windin.com/ns/bulletin.php?id=405139&amp;type=1</t>
  </si>
  <si>
    <t>http://snap.windin.com/ns/bulletin.php?id=1157496&amp;type=1</t>
  </si>
  <si>
    <t>http://snap.windin.com/ns/bulletin.php?id=1910433&amp;type=1</t>
  </si>
  <si>
    <t>http://snap.windin.com/ns/bulletin.php?id=1903183&amp;type=1</t>
  </si>
  <si>
    <t>http://snap.windin.com/ns/bulletin.php?id=1581537&amp;type=1</t>
  </si>
  <si>
    <t>http://snap.windin.com/ns/bulletin.php?id=934755&amp;type=1</t>
  </si>
  <si>
    <t>http://snap.windin.com/ns/bulletin.php?id=1036075&amp;type=1</t>
  </si>
  <si>
    <t>http://snap.windin.com/ns/bulletin.php?id=1115774&amp;type=1</t>
  </si>
  <si>
    <t>http://snap.windin.com/ns/bulletin.php?id=995250&amp;type=1</t>
  </si>
  <si>
    <t>http://snap.windin.com/ns/bulletin.php?id=1240147&amp;type=1</t>
  </si>
  <si>
    <t>http://snap.windin.com/ns/bulletin.php?id=553607&amp;type=1</t>
  </si>
  <si>
    <t>http://snap.windin.com/ns/bulletin.php?id=765742&amp;type=1</t>
  </si>
  <si>
    <t>http://snap.windin.com/ns/bulletin.php?id=1996370&amp;type=1</t>
  </si>
  <si>
    <t>http://snap.windin.com/ns/bulletin.php?id=1970668&amp;type=1</t>
  </si>
  <si>
    <t>http://snap.windin.com/ns/bulletin.php?id=1357934&amp;type=1</t>
  </si>
  <si>
    <t>http://snap.windin.com/ns/bulletin.php?id=700500&amp;type=1</t>
  </si>
  <si>
    <t>http://snap.windin.com/ns/bulletin.php?id=1249952&amp;type=1</t>
  </si>
  <si>
    <t>http://snap.windin.com/ns/bulletin.php?id=530583&amp;type=1</t>
  </si>
  <si>
    <t>http://snap.windin.com/ns/bulletin.php?id=162505&amp;type=1</t>
  </si>
  <si>
    <t>http://snap.windin.com/ns/bulletin.php?id=192976&amp;type=1</t>
  </si>
  <si>
    <t>http://snap.windin.com/ns/bulletin.php?id=103120&amp;type=1</t>
  </si>
  <si>
    <t>http://snap.windin.com/ns/bulletin.php?id=1327338&amp;type=1</t>
  </si>
  <si>
    <t>http://snap.windin.com/ns/bulletin.php?id=539316&amp;type=1</t>
  </si>
  <si>
    <t>http://snap.windin.com/ns/bulletin.php?id=428106&amp;type=1</t>
  </si>
  <si>
    <t>http://snap.windin.com/ns/bulletin.php?id=1870136&amp;type=1</t>
  </si>
  <si>
    <t>http://snap.windin.com/ns/bulletin.php?id=1881294&amp;type=1</t>
  </si>
  <si>
    <t>http://snap.windin.com/ns/bulletin.php?id=1463779&amp;type=1</t>
  </si>
  <si>
    <t>http://snap.windin.com/ns/bulletin.php?id=591874&amp;type=1</t>
  </si>
  <si>
    <t>http://snap.windin.com/ns/bulletin.php?id=911124&amp;type=1</t>
  </si>
  <si>
    <t>http://snap.windin.com/ns/bulletin.php?id=962098&amp;type=1</t>
  </si>
  <si>
    <t>http://snap.windin.com/ns/bulletin.php?id=1670441&amp;type=1</t>
  </si>
  <si>
    <t>http://snap.windin.com/ns/bulletin.php?id=1636114&amp;type=1</t>
  </si>
  <si>
    <t>http://snap.windin.com/ns/bulletin.php?id=530226&amp;type=1</t>
  </si>
  <si>
    <t>http://snap.windin.com/ns/bulletin.php?id=664551&amp;type=1</t>
  </si>
  <si>
    <t>http://snap.windin.com/ns/bulletin.php?id=632284&amp;type=1</t>
  </si>
  <si>
    <t>http://snap.windin.com/ns/bulletin.php?id=1133847&amp;type=1</t>
  </si>
  <si>
    <t>http://snap.windin.com/ns/bulletin.php?id=1011731&amp;type=1</t>
  </si>
  <si>
    <t>http://snap.windin.com/ns/bulletin.php?id=211183&amp;type=1</t>
  </si>
  <si>
    <t>http://snap.windin.com/ns/bulletin.php?id=179998&amp;type=1</t>
  </si>
  <si>
    <t>http://snap.windin.com/ns/bulletin.php?id=105224&amp;type=1</t>
  </si>
  <si>
    <t>http://snap.windin.com/ns/bulletin.php?id=2078929&amp;type=1</t>
  </si>
  <si>
    <t>http://snap.windin.com/ns/bulletin.php?id=2033971&amp;type=1</t>
  </si>
  <si>
    <t>http://snap.windin.com/ns/bulletin.php?id=1706291&amp;type=1</t>
  </si>
  <si>
    <t>http://snap.windin.com/ns/bulletin.php?id=220653&amp;type=1</t>
  </si>
  <si>
    <t>http://snap.windin.com/ns/bulletin.php?id=1222198&amp;type=1</t>
  </si>
  <si>
    <t>http://snap.windin.com/ns/bulletin.php?id=501752&amp;type=1</t>
  </si>
  <si>
    <t>http://snap.windin.com/ns/bulletin.php?id=514628&amp;type=1</t>
  </si>
  <si>
    <t>http://snap.windin.com/ns/bulletin.php?id=2041065&amp;type=1</t>
  </si>
  <si>
    <t>http://snap.windin.com/ns/bulletin.php?id=1580331&amp;type=1</t>
  </si>
  <si>
    <t>http://snap.windin.com/ns/bulletin.php?id=1637599&amp;type=1</t>
  </si>
  <si>
    <t>http://snap.windin.com/ns/bulletin.php?id=426813&amp;type=1</t>
  </si>
  <si>
    <t>http://snap.windin.com/ns/bulletin.php?id=140393&amp;type=1</t>
  </si>
  <si>
    <t>http://snap.windin.com/ns/bulletin.php?id=175713&amp;type=1</t>
  </si>
  <si>
    <t>http://snap.windin.com/ns/bulletin.php?id=1361009&amp;type=1</t>
  </si>
  <si>
    <t>http://snap.windin.com/ns/bulletin.php?id=537118&amp;type=1</t>
  </si>
  <si>
    <t>http://snap.windin.com/ns/bulletin.php?id=1027336&amp;type=1</t>
  </si>
  <si>
    <t>http://snap.windin.com/ns/bulletin.php?id=686606&amp;type=1</t>
  </si>
  <si>
    <t>http://snap.windin.com/ns/bulletin.php?id=1647513&amp;type=1</t>
  </si>
  <si>
    <t>http://snap.windin.com/ns/bulletin.php?id=93023&amp;type=1</t>
  </si>
  <si>
    <t>http://snap.windin.com/ns/bulletin.php?id=1363250&amp;type=1</t>
  </si>
  <si>
    <t>http://snap.windin.com/ns/bulletin.php?id=474077&amp;type=1</t>
  </si>
  <si>
    <t>http://snap.windin.com/ns/bulletin.php?id=1799800&amp;type=1</t>
  </si>
  <si>
    <t>http://snap.windin.com/ns/bulletin.php?id=1848390&amp;type=1</t>
  </si>
  <si>
    <t>http://snap.windin.com/ns/bulletin.php?id=1581935&amp;type=1</t>
  </si>
  <si>
    <t>http://snap.windin.com/ns/bulletin.php?id=916052&amp;type=1</t>
  </si>
  <si>
    <t>http://snap.windin.com/ns/bulletin.php?id=886126&amp;type=1</t>
  </si>
  <si>
    <t>http://snap.windin.com/ns/bulletin.php?id=2108315&amp;type=1</t>
  </si>
  <si>
    <t>http://snap.windin.com/ns/bulletin.php?id=825717&amp;type=1</t>
  </si>
  <si>
    <t>http://snap.windin.com/ns/bulletin.php?id=1427883&amp;type=1</t>
  </si>
  <si>
    <t>http://snap.windin.com/ns/bulletin.php?id=1117635&amp;type=1</t>
  </si>
  <si>
    <t>http://snap.windin.com/ns/bulletin.php?id=2110745&amp;type=1</t>
  </si>
  <si>
    <t>http://snap.windin.com/ns/bulletin.php?id=124234&amp;type=1</t>
  </si>
  <si>
    <t>http://snap.windin.com/ns/bulletin.php?id=685464&amp;type=1</t>
  </si>
  <si>
    <t>http://snap.windin.com/ns/bulletin.php?id=960940&amp;type=1</t>
  </si>
  <si>
    <t>http://snap.windin.com/ns/bulletin.php?id=1198454&amp;type=1</t>
  </si>
  <si>
    <t>http://snap.windin.com/ns/bulletin.php?id=1263221&amp;type=1</t>
  </si>
  <si>
    <t>http://snap.windin.com/ns/bulletin.php?id=574571&amp;type=1</t>
  </si>
  <si>
    <t>http://snap.windin.com/ns/bulletin.php?id=169328&amp;type=1</t>
  </si>
  <si>
    <t>http://snap.windin.com/ns/bulletin.php?id=1139469&amp;type=1</t>
  </si>
  <si>
    <t>http://snap.windin.com/ns/bulletin.php?id=409617&amp;type=1</t>
  </si>
  <si>
    <t>http://snap.windin.com/ns/bulletin.php?id=783794&amp;type=1</t>
  </si>
  <si>
    <t>http://snap.windin.com/ns/bulletin.php?id=2066417&amp;type=1</t>
  </si>
  <si>
    <t>http://snap.windin.com/ns/bulletin.php?id=783805&amp;type=1</t>
  </si>
  <si>
    <t>http://snap.windin.com/ns/bulletin.php?id=1631234&amp;type=1</t>
  </si>
  <si>
    <t>http://snap.windin.com/ns/bulletin.php?id=1485620&amp;type=1</t>
  </si>
  <si>
    <t>http://snap.windin.com/ns/bulletin.php?id=1699922&amp;type=1</t>
  </si>
  <si>
    <t>http://snap.windin.com/ns/bulletin.php?id=2002475&amp;type=1</t>
  </si>
  <si>
    <t>http://snap.windin.com/ns/bulletin.php?id=451946&amp;type=1</t>
  </si>
  <si>
    <t>http://snap.windin.com/ns/bulletin.php?id=802637&amp;type=1</t>
  </si>
  <si>
    <t>http://snap.windin.com/ns/bulletin.php?id=1776900&amp;type=1</t>
  </si>
  <si>
    <t>http://snap.windin.com/ns/bulletin.php?id=182884&amp;type=1</t>
  </si>
  <si>
    <t>http://snap.windin.com/ns/bulletin.php?id=1431664&amp;type=1</t>
  </si>
  <si>
    <t>http://snap.windin.com/ns/bulletin.php?id=1598648&amp;type=1</t>
  </si>
  <si>
    <t>http://snap.windin.com/ns/bulletin.php?id=1912605&amp;type=1</t>
  </si>
  <si>
    <t>http://snap.windin.com/ns/bulletin.php?id=146072&amp;type=1</t>
  </si>
  <si>
    <t>http://snap.windin.com/ns/bulletin.php?id=2054308&amp;type=1</t>
  </si>
  <si>
    <t>http://snap.windin.com/ns/bulletin.php?id=1925262&amp;type=1</t>
  </si>
  <si>
    <t>http://snap.windin.com/ns/bulletin.php?id=1548715&amp;type=1</t>
  </si>
  <si>
    <t>http://snap.windin.com/ns/bulletin.php?id=112884&amp;type=1</t>
  </si>
  <si>
    <t>http://snap.windin.com/ns/bulletin.php?id=1472637&amp;type=1</t>
  </si>
  <si>
    <t>http://snap.windin.com/ns/bulletin.php?id=814145&amp;type=1</t>
  </si>
  <si>
    <t>http://snap.windin.com/ns/bulletin.php?id=1393557&amp;type=1</t>
  </si>
  <si>
    <t>http://snap.windin.com/ns/bulletin.php?id=1815475&amp;type=1</t>
  </si>
  <si>
    <t>http://snap.windin.com/ns/bulletin.php?id=1560082&amp;type=1</t>
  </si>
  <si>
    <t>http://snap.windin.com/ns/bulletin.php?id=203999&amp;type=1</t>
  </si>
  <si>
    <t>http://snap.windin.com/ns/bulletin.php?id=1235509&amp;type=1</t>
  </si>
  <si>
    <t>http://snap.windin.com/ns/bulletin.php?id=1278508&amp;type=1</t>
  </si>
  <si>
    <t>http://snap.windin.com/ns/bulletin.php?id=1414992&amp;type=1</t>
  </si>
  <si>
    <t>http://snap.windin.com/ns/bulletin.php?id=1778536&amp;type=1</t>
  </si>
  <si>
    <t>http://snap.windin.com/ns/bulletin.php?id=1378421&amp;type=1</t>
  </si>
  <si>
    <t>http://snap.windin.com/ns/bulletin.php?id=2023433&amp;type=1</t>
  </si>
  <si>
    <t>http://snap.windin.com/ns/bulletin.php?id=1567261&amp;type=1</t>
  </si>
  <si>
    <t>http://snap.windin.com/ns/bulletin.php?id=916840&amp;type=1</t>
  </si>
  <si>
    <t>http://snap.windin.com/ns/bulletin.php?id=1629020&amp;type=1</t>
  </si>
  <si>
    <t>http://snap.windin.com/ns/bulletin.php?id=1027506&amp;type=1</t>
  </si>
  <si>
    <t>http://snap.windin.com/ns/bulletin.php?id=434070&amp;type=1</t>
  </si>
  <si>
    <t>http://snap.windin.com/ns/bulletin.php?id=749059&amp;type=1</t>
  </si>
  <si>
    <t>http://snap.windin.com/ns/bulletin.php?id=960904&amp;type=1</t>
  </si>
  <si>
    <t>http://snap.windin.com/ns/bulletin.php?id=198047&amp;type=1</t>
  </si>
  <si>
    <t>http://snap.windin.com/ns/bulletin.php?id=1980913&amp;type=1</t>
  </si>
  <si>
    <t>http://snap.windin.com/ns/bulletin.php?id=480733&amp;type=1</t>
  </si>
  <si>
    <t>http://snap.windin.com/ns/bulletin.php?id=2096042&amp;type=1</t>
  </si>
  <si>
    <t>http://snap.windin.com/ns/bulletin.php?id=728576&amp;type=1</t>
  </si>
  <si>
    <t>http://snap.windin.com/ns/bulletin.php?id=691960&amp;type=1</t>
  </si>
  <si>
    <t>http://snap.windin.com/ns/bulletin.php?id=1321541&amp;type=1</t>
  </si>
  <si>
    <t>http://snap.windin.com/ns/bulletin.php?id=118152&amp;type=1</t>
  </si>
  <si>
    <t>http://snap.windin.com/ns/bulletin.php?id=1746097&amp;type=1</t>
  </si>
  <si>
    <t>http://snap.windin.com/ns/bulletin.php?id=407976&amp;type=1</t>
  </si>
  <si>
    <t>http://snap.windin.com/ns/bulletin.php?id=1961686&amp;type=1</t>
  </si>
  <si>
    <t>http://snap.windin.com/ns/bulletin.php?id=1056867&amp;type=1</t>
  </si>
  <si>
    <t>http://snap.windin.com/ns/bulletin.php?id=1337906&amp;type=1</t>
  </si>
  <si>
    <t>http://snap.windin.com/ns/bulletin.php?id=73090&amp;type=1</t>
  </si>
  <si>
    <t>http://snap.windin.com/ns/bulletin.php?id=1315559&amp;type=1</t>
  </si>
  <si>
    <t>http://snap.windin.com/ns/bulletin.php?id=1026954&amp;type=1</t>
  </si>
  <si>
    <t>http://snap.windin.com/ns/bulletin.php?id=204120&amp;type=1</t>
  </si>
  <si>
    <t>http://snap.windin.com/ns/bulletin.php?id=547898&amp;type=1</t>
  </si>
  <si>
    <t>http://snap.windin.com/ns/bulletin.php?id=76813&amp;type=1</t>
  </si>
  <si>
    <t>http://snap.windin.com/ns/bulletin.php?id=2115090&amp;type=1</t>
  </si>
  <si>
    <t>http://snap.windin.com/ns/bulletin.php?id=171547&amp;type=1</t>
  </si>
  <si>
    <t>http://snap.windin.com/ns/bulletin.php?id=463299&amp;type=1</t>
  </si>
  <si>
    <t>http://snap.windin.com/ns/bulletin.php?id=1701909&amp;type=1</t>
  </si>
  <si>
    <t>http://snap.windin.com/ns/bulletin.php?id=1150614&amp;type=1</t>
  </si>
  <si>
    <t>http://snap.windin.com/ns/bulletin.php?id=418150&amp;type=1</t>
  </si>
  <si>
    <t>http://snap.windin.com/ns/bulletin.php?id=242874&amp;type=1</t>
  </si>
  <si>
    <t>http://snap.windin.com/ns/bulletin.php?id=430550&amp;type=1</t>
  </si>
  <si>
    <t>http://snap.windin.com/ns/bulletin.php?id=1070038&amp;type=1</t>
  </si>
  <si>
    <t>http://snap.windin.com/ns/bulletin.php?id=632277&amp;type=1</t>
  </si>
  <si>
    <t>http://snap.windin.com/ns/bulletin.php?id=200219&amp;type=1</t>
  </si>
  <si>
    <t>http://snap.windin.com/ns/bulletin.php?id=1940672&amp;type=1</t>
  </si>
  <si>
    <t>http://snap.windin.com/ns/bulletin.php?id=691373&amp;type=1</t>
  </si>
  <si>
    <t>http://snap.windin.com/ns/bulletin.php?id=111743&amp;type=1</t>
  </si>
  <si>
    <t>http://snap.windin.com/ns/bulletin.php?id=972183&amp;type=1</t>
  </si>
  <si>
    <t>http://snap.windin.com/ns/bulletin.php?id=159679&amp;type=1</t>
  </si>
  <si>
    <t>http://snap.windin.com/ns/bulletin.php?id=2050380&amp;type=1</t>
  </si>
  <si>
    <t>http://snap.windin.com/ns/bulletin.php?id=644831&amp;type=1</t>
  </si>
  <si>
    <t>http://snap.windin.com/ns/bulletin.php?id=1517147&amp;type=1</t>
  </si>
  <si>
    <t>http://snap.windin.com/ns/bulletin.php?id=239639&amp;type=1</t>
  </si>
  <si>
    <t>http://snap.windin.com/ns/bulletin.php?id=593929&amp;type=1</t>
  </si>
  <si>
    <t>http://snap.windin.com/ns/bulletin.php?id=1161974&amp;type=1</t>
  </si>
  <si>
    <t>http://snap.windin.com/ns/bulletin.php?id=751131&amp;type=1</t>
  </si>
  <si>
    <t>http://snap.windin.com/ns/bulletin.php?id=1680649&amp;type=1</t>
  </si>
  <si>
    <t>http://snap.windin.com/ns/bulletin.php?id=870373&amp;type=1</t>
  </si>
  <si>
    <t>http://snap.windin.com/ns/bulletin.php?id=793468&amp;type=1</t>
  </si>
  <si>
    <t>http://snap.windin.com/ns/bulletin.php?id=419087&amp;type=1</t>
  </si>
  <si>
    <t>http://snap.windin.com/ns/bulletin.php?id=1778138&amp;type=1</t>
  </si>
  <si>
    <t>http://snap.windin.com/ns/bulletin.php?id=766857&amp;type=1</t>
  </si>
  <si>
    <t>http://snap.windin.com/ns/bulletin.php?id=1917450&amp;type=1</t>
  </si>
  <si>
    <t>http://snap.windin.com/ns/bulletin.php?id=2094864&amp;type=1</t>
  </si>
  <si>
    <t>http://snap.windin.com/ns/bulletin.php?id=649806&amp;type=1</t>
  </si>
  <si>
    <t>http://snap.windin.com/ns/bulletin.php?id=145693&amp;type=1</t>
  </si>
  <si>
    <t>http://snap.windin.com/ns/bulletin.php?id=1345537&amp;type=1</t>
  </si>
  <si>
    <t>http://snap.windin.com/ns/bulletin.php?id=579347&amp;type=1</t>
  </si>
  <si>
    <t>http://snap.windin.com/ns/bulletin.php?id=801635&amp;type=1</t>
  </si>
  <si>
    <t>http://snap.windin.com/ns/bulletin.php?id=1839275&amp;type=1</t>
  </si>
  <si>
    <t>http://snap.windin.com/ns/bulletin.php?id=778828&amp;type=1</t>
  </si>
  <si>
    <t>http://snap.windin.com/ns/bulletin.php?id=184357&amp;type=1</t>
  </si>
  <si>
    <t>http://snap.windin.com/ns/bulletin.php?id=1252977&amp;type=1</t>
  </si>
  <si>
    <t>http://snap.windin.com/ns/bulletin.php?id=598828&amp;type=1</t>
  </si>
  <si>
    <t>http://snap.windin.com/ns/bulletin.php?id=903611&amp;type=1</t>
  </si>
  <si>
    <t>http://snap.windin.com/ns/bulletin.php?id=1416217&amp;type=1</t>
  </si>
  <si>
    <t>http://snap.windin.com/ns/bulletin.php?id=1692883&amp;type=1</t>
  </si>
  <si>
    <t>http://snap.windin.com/ns/bulletin.php?id=233637&amp;type=1</t>
  </si>
  <si>
    <t>http://snap.windin.com/ns/bulletin.php?id=641963&amp;type=1</t>
  </si>
  <si>
    <t>http://snap.windin.com/ns/bulletin.php?id=1700602&amp;type=1</t>
  </si>
  <si>
    <t>http://snap.windin.com/ns/bulletin.php?id=1663344&amp;type=1</t>
  </si>
  <si>
    <t>http://snap.windin.com/ns/bulletin.php?id=242045&amp;type=1</t>
  </si>
  <si>
    <t>http://snap.windin.com/ns/bulletin.php?id=75968&amp;type=1</t>
  </si>
  <si>
    <t>http://snap.windin.com/ns/bulletin.php?id=1718911&amp;type=1</t>
  </si>
  <si>
    <t>http://snap.windin.com/ns/bulletin.php?id=2089113&amp;type=1</t>
  </si>
  <si>
    <t>http://snap.windin.com/ns/bulletin.php?id=1251917&amp;type=1</t>
  </si>
  <si>
    <t>http://snap.windin.com/ns/bulletin.php?id=1663752&amp;type=1</t>
  </si>
  <si>
    <t>http://snap.windin.com/ns/bulletin.php?id=491538&amp;type=1</t>
  </si>
  <si>
    <t>http://snap.windin.com/ns/bulletin.php?id=1044895&amp;type=1</t>
  </si>
  <si>
    <t>http://snap.windin.com/ns/bulletin.php?id=160933&amp;type=1</t>
  </si>
  <si>
    <t>http://snap.windin.com/ns/bulletin.php?id=1938495&amp;type=1</t>
  </si>
  <si>
    <t>http://snap.windin.com/ns/bulletin.php?id=763926&amp;type=1</t>
  </si>
  <si>
    <t>http://snap.windin.com/ns/bulletin.php?id=1838840&amp;type=1</t>
  </si>
  <si>
    <t>http://snap.windin.com/ns/bulletin.php?id=659312&amp;type=1</t>
  </si>
  <si>
    <t>http://snap.windin.com/ns/bulletin.php?id=1485353&amp;type=1</t>
  </si>
  <si>
    <t>http://snap.windin.com/ns/bulletin.php?id=939393&amp;type=1</t>
  </si>
  <si>
    <t>http://snap.windin.com/ns/bulletin.php?id=155937&amp;type=1</t>
  </si>
  <si>
    <t>http://snap.windin.com/ns/bulletin.php?id=1292446&amp;type=1</t>
  </si>
  <si>
    <t>http://snap.windin.com/ns/bulletin.php?id=1291113&amp;type=1</t>
  </si>
  <si>
    <t>http://snap.windin.com/ns/bulletin.php?id=743954&amp;type=1</t>
  </si>
  <si>
    <t>http://snap.windin.com/ns/bulletin.php?id=558628&amp;type=1</t>
  </si>
  <si>
    <t>http://snap.windin.com/ns/bulletin.php?id=1462940&amp;type=1</t>
  </si>
  <si>
    <t>http://snap.windin.com/ns/bulletin.php?id=697965&amp;type=1</t>
  </si>
  <si>
    <t>http://snap.windin.com/ns/bulletin.php?id=443764&amp;type=1</t>
  </si>
  <si>
    <t>http://snap.windin.com/ns/bulletin.php?id=1989319&amp;type=1</t>
  </si>
  <si>
    <t>http://snap.windin.com/ns/bulletin.php?id=186238&amp;type=1</t>
  </si>
  <si>
    <t>http://snap.windin.com/ns/bulletin.php?id=827930&amp;type=1</t>
  </si>
  <si>
    <t>http://snap.windin.com/ns/bulletin.php?id=1977322&amp;type=1</t>
  </si>
  <si>
    <t>http://snap.windin.com/ns/bulletin.php?id=1750052&amp;type=1</t>
  </si>
  <si>
    <t>http://snap.windin.com/ns/bulletin.php?id=87703&amp;type=1</t>
  </si>
  <si>
    <t>http://snap.windin.com/ns/bulletin.php?id=2090743&amp;type=1</t>
  </si>
  <si>
    <t>http://snap.windin.com/ns/bulletin.php?id=2076707&amp;type=1</t>
  </si>
  <si>
    <t>http://snap.windin.com/ns/bulletin.php?id=1113558&amp;type=1</t>
  </si>
  <si>
    <t>http://snap.windin.com/ns/bulletin.php?id=1980163&amp;type=1</t>
  </si>
  <si>
    <t>http://snap.windin.com/ns/bulletin.php?id=875600&amp;type=1</t>
  </si>
  <si>
    <t>http://snap.windin.com/ns/bulletin.php?id=1970464&amp;type=1</t>
  </si>
  <si>
    <t>http://snap.windin.com/ns/bulletin.php?id=1894156&amp;type=1</t>
  </si>
  <si>
    <t>http://snap.windin.com/ns/bulletin.php?id=636439&amp;type=1</t>
  </si>
  <si>
    <t>http://snap.windin.com/ns/bulletin.php?id=1672846&amp;type=1</t>
  </si>
  <si>
    <t>http://snap.windin.com/ns/bulletin.php?id=2029243&amp;type=1</t>
  </si>
  <si>
    <t>http://snap.windin.com/ns/bulletin.php?id=1438143&amp;type=1</t>
  </si>
  <si>
    <t>http://snap.windin.com/ns/bulletin.php?id=2103868&amp;type=1</t>
  </si>
  <si>
    <t>http://snap.windin.com/ns/bulletin.php?id=1712300&amp;type=1</t>
  </si>
  <si>
    <t>http://snap.windin.com/ns/bulletin.php?id=160012&amp;type=1</t>
  </si>
  <si>
    <t>http://snap.windin.com/ns/bulletin.php?id=179865&amp;type=1</t>
  </si>
  <si>
    <t>http://snap.windin.com/ns/bulletin.php?id=2105812&amp;type=1</t>
  </si>
  <si>
    <t>http://snap.windin.com/ns/bulletin.php?id=1897635&amp;type=1</t>
  </si>
  <si>
    <t>http://snap.windin.com/ns/bulletin.php?id=1092168&amp;type=1</t>
  </si>
  <si>
    <t>http://snap.windin.com/ns/bulletin.php?id=969475&amp;type=1</t>
  </si>
  <si>
    <t>http://snap.windin.com/ns/bulletin.php?id=1649311&amp;type=1</t>
  </si>
  <si>
    <t>http://snap.windin.com/ns/bulletin.php?id=168347&amp;type=1</t>
  </si>
  <si>
    <t>http://snap.windin.com/ns/bulletin.php?id=1534535&amp;type=1</t>
  </si>
  <si>
    <t>http://snap.windin.com/ns/bulletin.php?id=500400&amp;type=1</t>
  </si>
  <si>
    <t>http://snap.windin.com/ns/bulletin.php?id=1278218&amp;type=1</t>
  </si>
  <si>
    <t>http://snap.windin.com/ns/bulletin.php?id=1008804&amp;type=1</t>
  </si>
  <si>
    <t>http://snap.windin.com/ns/bulletin.php?id=722608&amp;type=1</t>
  </si>
  <si>
    <t>http://snap.windin.com/ns/bulletin.php?id=1754179&amp;type=1</t>
  </si>
  <si>
    <t>http://snap.windin.com/ns/bulletin.php?id=1649583&amp;type=1</t>
  </si>
  <si>
    <t>http://snap.windin.com/ns/bulletin.php?id=563252&amp;type=1</t>
  </si>
  <si>
    <t>http://snap.windin.com/ns/bulletin.php?id=1116284&amp;type=1</t>
  </si>
  <si>
    <t>http://snap.windin.com/ns/bulletin.php?id=1192888&amp;type=1</t>
  </si>
  <si>
    <t>http://snap.windin.com/ns/bulletin.php?id=77560&amp;type=1</t>
  </si>
  <si>
    <t>http://snap.windin.com/ns/bulletin.php?id=1860199&amp;type=1</t>
  </si>
  <si>
    <t>http://snap.windin.com/ns/bulletin.php?id=1853642&amp;type=1</t>
  </si>
  <si>
    <t>http://snap.windin.com/ns/bulletin.php?id=1536645&amp;type=1</t>
  </si>
  <si>
    <t>http://snap.windin.com/ns/bulletin.php?id=1698645&amp;type=1</t>
  </si>
  <si>
    <t>http://snap.windin.com/ns/bulletin.php?id=1689707&amp;type=1</t>
  </si>
  <si>
    <t>http://snap.windin.com/ns/bulletin.php?id=1799996&amp;type=1</t>
  </si>
  <si>
    <t>http://snap.windin.com/ns/bulletin.php?id=125291&amp;type=1</t>
  </si>
  <si>
    <t>http://snap.windin.com/ns/bulletin.php?id=494154&amp;type=1</t>
  </si>
  <si>
    <t>http://snap.windin.com/ns/bulletin.php?id=1596805&amp;type=1</t>
  </si>
  <si>
    <t>http://snap.windin.com/ns/bulletin.php?id=496026&amp;type=1</t>
  </si>
  <si>
    <t>http://snap.windin.com/ns/bulletin.php?id=425683&amp;type=1</t>
  </si>
  <si>
    <t>http://snap.windin.com/ns/bulletin.php?id=1875361&amp;type=1</t>
  </si>
  <si>
    <t>http://snap.windin.com/ns/bulletin.php?id=1869399&amp;type=1</t>
  </si>
  <si>
    <t>http://snap.windin.com/ns/bulletin.php?id=663789&amp;type=1</t>
  </si>
  <si>
    <t>http://snap.windin.com/ns/bulletin.php?id=1925132&amp;type=1</t>
  </si>
  <si>
    <t>http://snap.windin.com/ns/bulletin.php?id=1376208&amp;type=1</t>
  </si>
  <si>
    <t>http://snap.windin.com/ns/bulletin.php?id=1462655&amp;type=1</t>
  </si>
  <si>
    <t>http://snap.windin.com/ns/bulletin.php?id=805497&amp;type=1</t>
  </si>
  <si>
    <t>http://snap.windin.com/ns/bulletin.php?id=1858501&amp;type=1</t>
  </si>
  <si>
    <t>http://snap.windin.com/ns/bulletin.php?id=851015&amp;type=1</t>
  </si>
  <si>
    <t>http://snap.windin.com/ns/bulletin.php?id=142929&amp;type=1</t>
  </si>
  <si>
    <t>http://snap.windin.com/ns/bulletin.php?id=419888&amp;type=1</t>
  </si>
  <si>
    <t>http://snap.windin.com/ns/bulletin.php?id=1172450&amp;type=1</t>
  </si>
  <si>
    <t>http://snap.windin.com/ns/bulletin.php?id=758597&amp;type=1</t>
  </si>
  <si>
    <t>http://snap.windin.com/ns/bulletin.php?id=136760&amp;type=1</t>
  </si>
  <si>
    <t>http://snap.windin.com/ns/bulletin.php?id=1528068&amp;type=1</t>
  </si>
  <si>
    <t>http://snap.windin.com/ns/bulletin.php?id=865663&amp;type=1</t>
  </si>
  <si>
    <t>http://snap.windin.com/ns/bulletin.php?id=1622251&amp;type=1</t>
  </si>
  <si>
    <t>http://snap.windin.com/ns/bulletin.php?id=106887&amp;type=1</t>
  </si>
  <si>
    <t>http://snap.windin.com/ns/bulletin.php?id=1558644&amp;type=1</t>
  </si>
  <si>
    <t>http://snap.windin.com/ns/bulletin.php?id=435529&amp;type=1</t>
  </si>
  <si>
    <t>http://snap.windin.com/ns/bulletin.php?id=1730697&amp;type=1</t>
  </si>
  <si>
    <t>http://snap.windin.com/ns/bulletin.php?id=1628086&amp;type=1</t>
  </si>
  <si>
    <t>http://snap.windin.com/ns/bulletin.php?id=749841&amp;type=1</t>
  </si>
  <si>
    <t>http://snap.windin.com/ns/bulletin.php?id=1394425&amp;type=1</t>
  </si>
  <si>
    <t>http://snap.windin.com/ns/bulletin.php?id=2003559&amp;type=1</t>
  </si>
  <si>
    <t>http://snap.windin.com/ns/bulletin.php?id=736352&amp;type=1</t>
  </si>
  <si>
    <t>http://snap.windin.com/ns/bulletin.php?id=730272&amp;type=1</t>
  </si>
  <si>
    <t>http://snap.windin.com/ns/bulletin.php?id=1398943&amp;type=1</t>
  </si>
  <si>
    <t>http://snap.windin.com/ns/bulletin.php?id=729426&amp;type=1</t>
  </si>
  <si>
    <t>http://snap.windin.com/ns/bulletin.php?id=1248170&amp;type=1</t>
  </si>
  <si>
    <t>http://snap.windin.com/ns/bulletin.php?id=726104&amp;type=1</t>
  </si>
  <si>
    <t>http://snap.windin.com/ns/bulletin.php?id=726100&amp;type=1</t>
  </si>
  <si>
    <t>http://snap.windin.com/ns/bulletin.php?id=168930&amp;type=1</t>
  </si>
  <si>
    <t>http://snap.windin.com/ns/bulletin.php?id=1111838&amp;type=1</t>
  </si>
  <si>
    <t>http://snap.windin.com/ns/bulletin.php?id=790283&amp;type=1</t>
  </si>
  <si>
    <t>http://snap.windin.com/ns/bulletin.php?id=1723100&amp;type=1</t>
  </si>
  <si>
    <t>http://snap.windin.com/ns/bulletin.php?id=626707&amp;type=1</t>
  </si>
  <si>
    <t>http://snap.windin.com/ns/bulletin.php?id=525520&amp;type=1</t>
  </si>
  <si>
    <t>http://snap.windin.com/ns/bulletin.php?id=1789361&amp;type=1</t>
  </si>
  <si>
    <t>http://snap.windin.com/ns/bulletin.php?id=470287&amp;type=1</t>
  </si>
  <si>
    <t>http://snap.windin.com/ns/bulletin.php?id=514643&amp;type=1</t>
  </si>
  <si>
    <t>http://snap.windin.com/ns/bulletin.php?id=504928&amp;type=1</t>
  </si>
  <si>
    <t>http://snap.windin.com/ns/bulletin.php?id=542951&amp;type=1</t>
  </si>
  <si>
    <t>http://snap.windin.com/ns/bulletin.php?id=605955&amp;type=1</t>
  </si>
  <si>
    <t>http://snap.windin.com/ns/bulletin.php?id=716845&amp;type=1</t>
  </si>
  <si>
    <t>http://snap.windin.com/ns/bulletin.php?id=1716449&amp;type=1</t>
  </si>
  <si>
    <t>http://snap.windin.com/ns/bulletin.php?id=2129018&amp;type=1</t>
  </si>
  <si>
    <t>http://snap.windin.com/ns/bulletin.php?id=1752956&amp;type=1</t>
  </si>
  <si>
    <t>http://snap.windin.com/ns/bulletin.php?id=1627643&amp;type=1</t>
  </si>
  <si>
    <t>http://snap.windin.com/ns/bulletin.php?id=715358&amp;type=1</t>
  </si>
  <si>
    <t>http://snap.windin.com/ns/bulletin.php?id=209101&amp;type=1</t>
  </si>
  <si>
    <t>http://snap.windin.com/ns/bulletin.php?id=951689&amp;type=1</t>
  </si>
  <si>
    <t>http://snap.windin.com/ns/bulletin.php?id=81140&amp;type=1</t>
  </si>
  <si>
    <t>http://snap.windin.com/ns/bulletin.php?id=2105167&amp;type=1</t>
  </si>
  <si>
    <t>http://snap.windin.com/ns/bulletin.php?id=650166&amp;type=1</t>
  </si>
  <si>
    <t>http://snap.windin.com/ns/bulletin.php?id=797602&amp;type=1</t>
  </si>
  <si>
    <t>http://snap.windin.com/ns/bulletin.php?id=1846423&amp;type=1</t>
  </si>
  <si>
    <t>http://snap.windin.com/ns/bulletin.php?id=1775123&amp;type=1</t>
  </si>
  <si>
    <t>http://snap.windin.com/ns/bulletin.php?id=715886&amp;type=1</t>
  </si>
  <si>
    <t>http://snap.windin.com/ns/bulletin.php?id=945381&amp;type=1</t>
  </si>
  <si>
    <t>http://snap.windin.com/ns/bulletin.php?id=883011&amp;type=1</t>
  </si>
  <si>
    <t>http://snap.windin.com/ns/bulletin.php?id=1226582&amp;type=1</t>
  </si>
  <si>
    <t>http://snap.windin.com/ns/bulletin.php?id=1299664&amp;type=1</t>
  </si>
  <si>
    <t>http://snap.windin.com/ns/bulletin.php?id=1688474&amp;type=1</t>
  </si>
  <si>
    <t>http://snap.windin.com/ns/bulletin.php?id=1791447&amp;type=1</t>
  </si>
  <si>
    <t>http://snap.windin.com/ns/bulletin.php?id=1242595&amp;type=1</t>
  </si>
  <si>
    <t>http://snap.windin.com/ns/bulletin.php?id=407702&amp;type=1</t>
  </si>
  <si>
    <t>http://snap.windin.com/ns/bulletin.php?id=1894396&amp;type=1</t>
  </si>
  <si>
    <t>http://snap.windin.com/ns/bulletin.php?id=940363&amp;type=1</t>
  </si>
  <si>
    <t>http://snap.windin.com/ns/bulletin.php?id=406120&amp;type=1</t>
  </si>
  <si>
    <t>http://snap.windin.com/ns/bulletin.php?id=1393756&amp;type=1</t>
  </si>
  <si>
    <t>http://snap.windin.com/ns/bulletin.php?id=692776&amp;type=1</t>
  </si>
  <si>
    <t>http://snap.windin.com/ns/bulletin.php?id=785900&amp;type=1</t>
  </si>
  <si>
    <t>http://snap.windin.com/ns/bulletin.php?id=687896&amp;type=1</t>
  </si>
  <si>
    <t>http://snap.windin.com/ns/bulletin.php?id=1731119&amp;type=1</t>
  </si>
  <si>
    <t>http://snap.windin.com/ns/bulletin.php?id=1625663&amp;type=1</t>
  </si>
  <si>
    <t>http://snap.windin.com/ns/bulletin.php?id=842499&amp;type=1</t>
  </si>
  <si>
    <t>http://snap.windin.com/ns/bulletin.php?id=402176&amp;type=1</t>
  </si>
  <si>
    <t>http://snap.windin.com/ns/bulletin.php?id=522449&amp;type=1</t>
  </si>
  <si>
    <t>http://snap.windin.com/ns/bulletin.php?id=1017565&amp;type=1</t>
  </si>
  <si>
    <t>http://snap.windin.com/ns/bulletin.php?id=1785440&amp;type=1</t>
  </si>
  <si>
    <t>http://snap.windin.com/ns/bulletin.php?id=678949&amp;type=1</t>
  </si>
  <si>
    <t>http://snap.windin.com/ns/bulletin.php?id=678945&amp;type=1</t>
  </si>
  <si>
    <t>http://snap.windin.com/ns/bulletin.php?id=1883964&amp;type=1</t>
  </si>
  <si>
    <t>http://snap.windin.com/ns/bulletin.php?id=1726629&amp;type=1</t>
  </si>
  <si>
    <t>http://snap.windin.com/ns/bulletin.php?id=675167&amp;type=1</t>
  </si>
  <si>
    <t>http://snap.windin.com/ns/bulletin.php?id=1584849&amp;type=1</t>
  </si>
  <si>
    <t>http://snap.windin.com/ns/bulletin.php?id=1475935&amp;type=1</t>
  </si>
  <si>
    <t>http://snap.windin.com/ns/bulletin.php?id=585591&amp;type=1</t>
  </si>
  <si>
    <t>http://snap.windin.com/ns/bulletin.php?id=877320&amp;type=1</t>
  </si>
  <si>
    <t>http://snap.windin.com/ns/bulletin.php?id=673449&amp;type=1</t>
  </si>
  <si>
    <t>http://snap.windin.com/ns/bulletin.php?id=671841&amp;type=1</t>
  </si>
  <si>
    <t>http://snap.windin.com/ns/bulletin.php?id=1040190&amp;type=1</t>
  </si>
  <si>
    <t>http://snap.windin.com/ns/bulletin.php?id=1670099&amp;type=1</t>
  </si>
  <si>
    <t>http://snap.windin.com/ns/bulletin.php?id=903228&amp;type=1</t>
  </si>
  <si>
    <t>http://snap.windin.com/ns/bulletin.php?id=1841587&amp;type=1</t>
  </si>
  <si>
    <t>http://snap.windin.com/ns/bulletin.php?id=915519&amp;type=1</t>
  </si>
  <si>
    <t>http://snap.windin.com/ns/bulletin.php?id=1997488&amp;type=1</t>
  </si>
  <si>
    <t>http://snap.windin.com/ns/bulletin.php?id=738382&amp;type=1</t>
  </si>
  <si>
    <t>http://snap.windin.com/ns/bulletin.php?id=90838&amp;type=1</t>
  </si>
  <si>
    <t>http://snap.windin.com/ns/bulletin.php?id=1983348&amp;type=1</t>
  </si>
  <si>
    <t>http://snap.windin.com/ns/bulletin.php?id=918728&amp;type=1</t>
  </si>
  <si>
    <t>http://snap.windin.com/ns/bulletin.php?id=1770496&amp;type=1</t>
  </si>
  <si>
    <t>http://snap.windin.com/ns/bulletin.php?id=705532&amp;type=1</t>
  </si>
  <si>
    <t>http://snap.windin.com/ns/bulletin.php?id=1078550&amp;type=1</t>
  </si>
  <si>
    <t>http://snap.windin.com/ns/bulletin.php?id=555889&amp;type=1</t>
  </si>
  <si>
    <t>http://snap.windin.com/ns/bulletin.php?id=580459&amp;type=1</t>
  </si>
  <si>
    <t>http://snap.windin.com/ns/bulletin.php?id=687793&amp;type=1</t>
  </si>
  <si>
    <t>http://snap.windin.com/ns/bulletin.php?id=1734336&amp;type=1</t>
  </si>
  <si>
    <t>http://snap.windin.com/ns/bulletin.php?id=1598618&amp;type=1</t>
  </si>
  <si>
    <t>http://snap.windin.com/ns/bulletin.php?id=1345357&amp;type=1</t>
  </si>
  <si>
    <t>http://snap.windin.com/ns/bulletin.php?id=430803&amp;type=1</t>
  </si>
  <si>
    <t>http://snap.windin.com/ns/bulletin.php?id=597163&amp;type=1</t>
  </si>
  <si>
    <t>http://snap.windin.com/ns/bulletin.php?id=2005570&amp;type=1</t>
  </si>
  <si>
    <t>http://snap.windin.com/ns/bulletin.php?id=1504537&amp;type=1</t>
  </si>
  <si>
    <t>http://snap.windin.com/ns/bulletin.php?id=1485548&amp;type=1</t>
  </si>
  <si>
    <t>http://snap.windin.com/ns/bulletin.php?id=2087235&amp;type=1</t>
  </si>
  <si>
    <t>http://snap.windin.com/ns/bulletin.php?id=835132&amp;type=1</t>
  </si>
  <si>
    <t>http://snap.windin.com/ns/bulletin.php?id=2002614&amp;type=1</t>
  </si>
  <si>
    <t>http://snap.windin.com/ns/bulletin.php?id=2044387&amp;type=1</t>
  </si>
  <si>
    <t>http://snap.windin.com/ns/bulletin.php?id=526231&amp;type=1</t>
  </si>
  <si>
    <t>http://snap.windin.com/ns/bulletin.php?id=834838&amp;type=1</t>
  </si>
  <si>
    <t>http://snap.windin.com/ns/bulletin.php?id=164690&amp;type=1</t>
  </si>
  <si>
    <t>http://snap.windin.com/ns/bulletin.php?id=1383293&amp;type=1</t>
  </si>
  <si>
    <t>http://snap.windin.com/ns/bulletin.php?id=632067&amp;type=1</t>
  </si>
  <si>
    <t>http://snap.windin.com/ns/bulletin.php?id=1573728&amp;type=1</t>
  </si>
  <si>
    <t>http://snap.windin.com/ns/bulletin.php?id=1955678&amp;type=1</t>
  </si>
  <si>
    <t>http://snap.windin.com/ns/bulletin.php?id=1494252&amp;type=1</t>
  </si>
  <si>
    <t>http://snap.windin.com/ns/bulletin.php?id=237698&amp;type=1</t>
  </si>
  <si>
    <t>http://snap.windin.com/ns/bulletin.php?id=804330&amp;type=1</t>
  </si>
  <si>
    <t>http://snap.windin.com/ns/bulletin.php?id=698317&amp;type=1</t>
  </si>
  <si>
    <t>http://snap.windin.com/ns/bulletin.php?id=674903&amp;type=1</t>
  </si>
  <si>
    <t>http://snap.windin.com/ns/bulletin.php?id=1099157&amp;type=1</t>
  </si>
  <si>
    <t>http://snap.windin.com/ns/bulletin.php?id=681131&amp;type=1</t>
  </si>
  <si>
    <t>http://snap.windin.com/ns/bulletin.php?id=1379292&amp;type=1</t>
  </si>
  <si>
    <t>http://snap.windin.com/ns/bulletin.php?id=458426&amp;type=1</t>
  </si>
  <si>
    <t>http://snap.windin.com/ns/bulletin.php?id=1844127&amp;type=1</t>
  </si>
  <si>
    <t>http://snap.windin.com/ns/bulletin.php?id=979356&amp;type=1</t>
  </si>
  <si>
    <t>http://snap.windin.com/ns/bulletin.php?id=951993&amp;type=1</t>
  </si>
  <si>
    <t>http://snap.windin.com/ns/bulletin.php?id=981644&amp;type=1</t>
  </si>
  <si>
    <t>http://snap.windin.com/ns/bulletin.php?id=2087242&amp;type=1</t>
  </si>
  <si>
    <t>http://snap.windin.com/ns/bulletin.php?id=806702&amp;type=1</t>
  </si>
  <si>
    <t>http://snap.windin.com/ns/bulletin.php?id=968847&amp;type=1</t>
  </si>
  <si>
    <t>http://snap.windin.com/ns/bulletin.php?id=764024&amp;type=1</t>
  </si>
  <si>
    <t>http://snap.windin.com/ns/bulletin.php?id=779695&amp;type=1</t>
  </si>
  <si>
    <t>http://snap.windin.com/ns/bulletin.php?id=2054189&amp;type=1</t>
  </si>
  <si>
    <t>http://snap.windin.com/ns/bulletin.php?id=690805&amp;type=1</t>
  </si>
  <si>
    <t>http://snap.windin.com/ns/bulletin.php?id=435071&amp;type=1</t>
  </si>
  <si>
    <t>http://snap.windin.com/ns/bulletin.php?id=1963650&amp;type=1</t>
  </si>
  <si>
    <t>http://snap.windin.com/ns/bulletin.php?id=784625&amp;type=1</t>
  </si>
  <si>
    <t>http://snap.windin.com/ns/bulletin.php?id=1035014&amp;type=1</t>
  </si>
  <si>
    <t>http://snap.windin.com/ns/bulletin.php?id=1101106&amp;type=1</t>
  </si>
  <si>
    <t>http://snap.windin.com/ns/bulletin.php?id=178359&amp;type=1</t>
  </si>
  <si>
    <t>http://snap.windin.com/ns/bulletin.php?id=794896&amp;type=1</t>
  </si>
  <si>
    <t>http://snap.windin.com/ns/bulletin.php?id=2084010&amp;type=1</t>
  </si>
  <si>
    <t>http://snap.windin.com/ns/bulletin.php?id=2019594&amp;type=1</t>
  </si>
  <si>
    <t>http://snap.windin.com/ns/bulletin.php?id=1885142&amp;type=1</t>
  </si>
  <si>
    <t>http://snap.windin.com/ns/bulletin.php?id=585153&amp;type=1</t>
  </si>
  <si>
    <t>http://snap.windin.com/ns/bulletin.php?id=403061&amp;type=1</t>
  </si>
  <si>
    <t>http://snap.windin.com/ns/bulletin.php?id=1373200&amp;type=1</t>
  </si>
  <si>
    <t>http://snap.windin.com/ns/bulletin.php?id=1760560&amp;type=1</t>
  </si>
  <si>
    <t>http://snap.windin.com/ns/bulletin.php?id=1638837&amp;type=1</t>
  </si>
  <si>
    <t>http://snap.windin.com/ns/bulletin.php?id=914402&amp;type=1</t>
  </si>
  <si>
    <t>http://snap.windin.com/ns/bulletin.php?id=1701696&amp;type=1</t>
  </si>
  <si>
    <t>http://snap.windin.com/ns/bulletin.php?id=1453222&amp;type=1</t>
  </si>
  <si>
    <t>http://snap.windin.com/ns/bulletin.php?id=1660171&amp;type=1</t>
  </si>
  <si>
    <t>http://snap.windin.com/ns/bulletin.php?id=1909881&amp;type=1</t>
  </si>
  <si>
    <t>http://snap.windin.com/ns/bulletin.php?id=1831028&amp;type=1</t>
  </si>
  <si>
    <t>http://snap.windin.com/ns/bulletin.php?id=1686298&amp;type=1</t>
  </si>
  <si>
    <t>http://snap.windin.com/ns/bulletin.php?id=1425707&amp;type=1</t>
  </si>
  <si>
    <t>http://snap.windin.com/ns/bulletin.php?id=220619&amp;type=1</t>
  </si>
  <si>
    <t>http://snap.windin.com/ns/bulletin.php?id=507539&amp;type=1</t>
  </si>
  <si>
    <t>http://snap.windin.com/ns/bulletin.php?id=541417&amp;type=1</t>
  </si>
  <si>
    <t>http://snap.windin.com/ns/bulletin.php?id=1795346&amp;type=1</t>
  </si>
  <si>
    <t>http://snap.windin.com/ns/bulletin.php?id=2116308&amp;type=1</t>
  </si>
  <si>
    <t>http://snap.windin.com/ns/bulletin.php?id=1891870&amp;type=1</t>
  </si>
  <si>
    <t>http://snap.windin.com/ns/bulletin.php?id=239584&amp;type=1</t>
  </si>
  <si>
    <t>http://snap.windin.com/ns/bulletin.php?id=546698&amp;type=1</t>
  </si>
  <si>
    <t>http://snap.windin.com/ns/bulletin.php?id=1013608&amp;type=1</t>
  </si>
  <si>
    <t>http://snap.windin.com/ns/bulletin.php?id=116259&amp;type=1</t>
  </si>
  <si>
    <t>http://snap.windin.com/ns/bulletin.php?id=1148043&amp;type=1</t>
  </si>
  <si>
    <t>http://snap.windin.com/ns/bulletin.php?id=527878&amp;type=1</t>
  </si>
  <si>
    <t>http://snap.windin.com/ns/bulletin.php?id=789142&amp;type=1</t>
  </si>
  <si>
    <t>http://snap.windin.com/ns/bulletin.php?id=1749505&amp;type=1</t>
  </si>
  <si>
    <t>http://snap.windin.com/ns/bulletin.php?id=1917961&amp;type=1</t>
  </si>
  <si>
    <t>http://snap.windin.com/ns/bulletin.php?id=1728309&amp;type=1</t>
  </si>
  <si>
    <t>http://snap.windin.com/ns/bulletin.php?id=1297807&amp;type=1</t>
  </si>
  <si>
    <t>http://snap.windin.com/ns/bulletin.php?id=824615&amp;type=1</t>
  </si>
  <si>
    <t>http://snap.windin.com/ns/bulletin.php?id=1402287&amp;type=1</t>
  </si>
  <si>
    <t>http://snap.windin.com/ns/bulletin.php?id=506382&amp;type=1</t>
  </si>
  <si>
    <t>http://snap.windin.com/ns/bulletin.php?id=1970557&amp;type=1</t>
  </si>
  <si>
    <t>http://snap.windin.com/ns/bulletin.php?id=219128&amp;type=1</t>
  </si>
  <si>
    <t>http://snap.windin.com/ns/bulletin.php?id=1839308&amp;type=1</t>
  </si>
  <si>
    <t>http://snap.windin.com/ns/bulletin.php?id=1769677&amp;type=1</t>
  </si>
  <si>
    <t>http://snap.windin.com/ns/bulletin.php?id=1931833&amp;type=1</t>
  </si>
  <si>
    <t>http://snap.windin.com/ns/bulletin.php?id=491459&amp;type=1</t>
  </si>
  <si>
    <t>http://snap.windin.com/ns/bulletin.php?id=1244829&amp;type=1</t>
  </si>
  <si>
    <t>http://snap.windin.com/ns/bulletin.php?id=666711&amp;type=1</t>
  </si>
  <si>
    <t>http://snap.windin.com/ns/bulletin.php?id=1591966&amp;type=1</t>
  </si>
  <si>
    <t>http://snap.windin.com/ns/bulletin.php?id=1123013&amp;type=1</t>
  </si>
  <si>
    <t>http://snap.windin.com/ns/bulletin.php?id=1544502&amp;type=1</t>
  </si>
  <si>
    <t>http://snap.windin.com/ns/bulletin.php?id=1359392&amp;type=1</t>
  </si>
  <si>
    <t>http://snap.windin.com/ns/bulletin.php?id=2039214&amp;type=1</t>
  </si>
  <si>
    <t>http://snap.windin.com/ns/bulletin.php?id=1220939&amp;type=1</t>
  </si>
  <si>
    <t>http://snap.windin.com/ns/bulletin.php?id=867149&amp;type=1</t>
  </si>
  <si>
    <t>http://snap.windin.com/ns/bulletin.php?id=1550626&amp;type=1</t>
  </si>
  <si>
    <t>http://snap.windin.com/ns/bulletin.php?id=137468&amp;type=1</t>
  </si>
  <si>
    <t>http://snap.windin.com/ns/bulletin.php?id=413504&amp;type=1</t>
  </si>
  <si>
    <t>http://snap.windin.com/ns/bulletin.php?id=1287373&amp;type=1</t>
  </si>
  <si>
    <t>http://snap.windin.com/ns/bulletin.php?id=1393638&amp;type=1</t>
  </si>
  <si>
    <t>http://snap.windin.com/ns/bulletin.php?id=678720&amp;type=1</t>
  </si>
  <si>
    <t>http://snap.windin.com/ns/bulletin.php?id=1915059&amp;type=1</t>
  </si>
  <si>
    <t>http://snap.windin.com/ns/bulletin.php?id=1793424&amp;type=1</t>
  </si>
  <si>
    <t>http://snap.windin.com/ns/bulletin.php?id=2012146&amp;type=1</t>
  </si>
  <si>
    <t>http://snap.windin.com/ns/bulletin.php?id=403719&amp;type=1</t>
  </si>
  <si>
    <t>http://snap.windin.com/ns/bulletin.php?id=2043916&amp;type=1</t>
  </si>
  <si>
    <t>http://snap.windin.com/ns/bulletin.php?id=991874&amp;type=1</t>
  </si>
  <si>
    <t>http://snap.windin.com/ns/bulletin.php?id=657497&amp;type=1</t>
  </si>
  <si>
    <t>http://snap.windin.com/ns/bulletin.php?id=409656&amp;type=1</t>
  </si>
  <si>
    <t>http://snap.windin.com/ns/bulletin.php?id=1469441&amp;type=1</t>
  </si>
  <si>
    <t>http://snap.windin.com/ns/bulletin.php?id=101871&amp;type=1</t>
  </si>
  <si>
    <t>http://snap.windin.com/ns/bulletin.php?id=563397&amp;type=1</t>
  </si>
  <si>
    <t>http://snap.windin.com/ns/bulletin.php?id=1208354&amp;type=1</t>
  </si>
  <si>
    <t>http://snap.windin.com/ns/bulletin.php?id=2036298&amp;type=1</t>
  </si>
  <si>
    <t>深圳燃气</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</si>
</sst>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0"/>
      <color theme="1"/>
      <name val="宋体"/>
      <family val="2"/>
      <charset val="134"/>
      <scheme val="minor"/>
    </font>
    <font>
      <u/>
      <sz val="10"/>
      <color theme="10"/>
      <name val="宋体"/>
      <family val="2"/>
      <charset val="134"/>
      <scheme val="minor"/>
    </font>
    <font>
      <sz val="9"/>
      <name val="宋体"/>
      <family val="2"/>
      <charset val="134"/>
      <scheme val="minor"/>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 fillId="0" borderId="0" applyNumberFormat="0" applyFill="0" applyBorder="0" applyAlignment="0" applyProtection="0">
      <alignment vertical="center"/>
    </xf>
  </cellStyleXfs>
  <cellXfs count="5">
    <xf numFmtId="0" fontId="0" fillId="0" borderId="0" xfId="0">
      <alignment vertical="center"/>
    </xf>
    <xf numFmtId="14" fontId="0" fillId="0" borderId="0" xfId="0" applyNumberFormat="1">
      <alignment vertical="center"/>
    </xf>
    <xf numFmtId="0" fontId="1" fillId="0" borderId="0" xfId="1">
      <alignment vertical="center"/>
    </xf>
    <xf numFmtId="0" fontId="0" fillId="0" borderId="0" xfId="0" applyAlignment="1">
      <alignment vertical="center"/>
    </xf>
    <xf numFmtId="0" fontId="1" fillId="0" borderId="0" xfId="1" applyAlignment="1">
      <alignment vertical="center"/>
    </xf>
  </cellXfs>
  <cellStyles count="2">
    <cellStyle name="常规" xfId="0" builtinId="0"/>
    <cellStyle name="超链接" xfId="1" builtinId="8"/>
  </cellStyles>
  <dxfs count="2">
    <dxf>
      <alignment horizontal="general" vertical="center" textRotation="0" wrapText="0" indent="0" justifyLastLine="0" shrinkToFit="0" readingOrder="0"/>
    </dxf>
    <dxf>
      <numFmt numFmtId="176"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id="1" name="表1" displayName="表1" ref="A1:F1877" totalsRowShown="0">
  <autoFilter ref="A1:F1877"/>
  <sortState ref="A2:E1877">
    <sortCondition descending="1" ref="A2:A1877"/>
    <sortCondition descending="1" ref="B2:B1877"/>
    <sortCondition ref="D2:D1877"/>
  </sortState>
  <tableColumns count="6">
    <tableColumn id="1" name="公告日期" dataDxfId="1"/>
    <tableColumn id="2" name="证券代码"/>
    <tableColumn id="3" name="证券简称"/>
    <tableColumn id="4" name="公告说明"/>
    <tableColumn id="5" name="公告含链接" dataDxfId="0" dataCellStyle="超链接"/>
    <tableColumn id="6" name="公告链接"/>
  </tableColumns>
  <tableStyleInfo name="TableStyleLight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003"/>
  <sheetViews>
    <sheetView topLeftCell="E1814" workbookViewId="0">
      <selection activeCell="F1841" sqref="F1841"/>
    </sheetView>
  </sheetViews>
  <sheetFormatPr defaultRowHeight="12" x14ac:dyDescent="0.15"/>
  <cols>
    <col min="1" max="1" width="19.7109375" bestFit="1" customWidth="1"/>
    <col min="2" max="3" width="11.85546875" bestFit="1" customWidth="1"/>
    <col min="4" max="4" width="90.42578125" bestFit="1" customWidth="1"/>
    <col min="5" max="5" width="100" style="3" bestFit="1" customWidth="1"/>
    <col min="6" max="6" width="64.7109375" bestFit="1" customWidth="1"/>
    <col min="11" max="11" width="25.5703125" customWidth="1"/>
  </cols>
  <sheetData>
    <row r="1" spans="1:6" x14ac:dyDescent="0.15">
      <c r="A1" t="s">
        <v>0</v>
      </c>
      <c r="B1" t="s">
        <v>1</v>
      </c>
      <c r="C1" t="s">
        <v>880</v>
      </c>
      <c r="D1" t="s">
        <v>881</v>
      </c>
      <c r="E1" s="3" t="s">
        <v>882</v>
      </c>
      <c r="F1" t="s">
        <v>883</v>
      </c>
    </row>
    <row r="2" spans="1:6" x14ac:dyDescent="0.15">
      <c r="A2" s="1">
        <v>41815</v>
      </c>
      <c r="B2" t="s">
        <v>4</v>
      </c>
      <c r="C2" t="s">
        <v>382</v>
      </c>
      <c r="D2" t="s">
        <v>383</v>
      </c>
      <c r="E2" s="4" t="str">
        <f>HYPERLINK("http://snap.windin.com/ns/bulletin.php?id=62086458&amp;type=1", "飞天诚信:首次公开发行股票并在创业板上市上市公告书提示性公告")</f>
        <v>飞天诚信:首次公开发行股票并在创业板上市上市公告书提示性公告</v>
      </c>
      <c r="F2" t="s">
        <v>884</v>
      </c>
    </row>
    <row r="3" spans="1:6" x14ac:dyDescent="0.15">
      <c r="A3" s="1">
        <v>41771</v>
      </c>
      <c r="B3" t="s">
        <v>5</v>
      </c>
      <c r="C3" t="s">
        <v>384</v>
      </c>
      <c r="D3" t="s">
        <v>385</v>
      </c>
      <c r="E3" s="4" t="str">
        <f>HYPERLINK("http://snap.windin.com/ns/bulletin.php?id=49061070&amp;type=1", "中国北车:关于刊发H股招股说明书,H股发行价格区间及H股香港公开发售等相关事宜的公告")</f>
        <v>中国北车:关于刊发H股招股说明书,H股发行价格区间及H股香港公开发售等相关事宜的公告</v>
      </c>
      <c r="F3" t="s">
        <v>885</v>
      </c>
    </row>
    <row r="4" spans="1:6" x14ac:dyDescent="0.15">
      <c r="A4" s="1">
        <v>41694</v>
      </c>
      <c r="B4" t="s">
        <v>6</v>
      </c>
      <c r="C4" t="s">
        <v>386</v>
      </c>
      <c r="D4" t="s">
        <v>387</v>
      </c>
      <c r="E4" s="4" t="str">
        <f>HYPERLINK("http://snap.windin.com/ns/bulletin.php?id=22222482&amp;type=1", "安控股份:首次公开发行股票并在创业板上市招股说明书及上市公告书公告之更正公告")</f>
        <v>安控股份:首次公开发行股票并在创业板上市招股说明书及上市公告书公告之更正公告</v>
      </c>
      <c r="F4" t="s">
        <v>886</v>
      </c>
    </row>
    <row r="5" spans="1:6" x14ac:dyDescent="0.15">
      <c r="A5" s="1">
        <v>41688</v>
      </c>
      <c r="B5" t="s">
        <v>7</v>
      </c>
      <c r="C5" t="s">
        <v>388</v>
      </c>
      <c r="D5" t="s">
        <v>389</v>
      </c>
      <c r="E5" s="4" t="str">
        <f>HYPERLINK("http://snap.windin.com/ns/bulletin.php?id=22190360&amp;type=1", "岭南园林:首次公开发行股票上市公告书")</f>
        <v>岭南园林:首次公开发行股票上市公告书</v>
      </c>
      <c r="F5" t="s">
        <v>887</v>
      </c>
    </row>
    <row r="6" spans="1:6" x14ac:dyDescent="0.15">
      <c r="A6" s="1">
        <v>41688</v>
      </c>
      <c r="B6" t="s">
        <v>8</v>
      </c>
      <c r="C6" t="s">
        <v>390</v>
      </c>
      <c r="D6" t="s">
        <v>391</v>
      </c>
      <c r="E6" s="4" t="str">
        <f>HYPERLINK("http://snap.windin.com/ns/bulletin.php?id=22190346&amp;type=1", "登云股份:首次公开发行股票并上市上市公告书")</f>
        <v>登云股份:首次公开发行股票并上市上市公告书</v>
      </c>
      <c r="F6" t="s">
        <v>888</v>
      </c>
    </row>
    <row r="7" spans="1:6" x14ac:dyDescent="0.15">
      <c r="A7" s="1">
        <v>41688</v>
      </c>
      <c r="B7" t="s">
        <v>9</v>
      </c>
      <c r="C7" t="s">
        <v>392</v>
      </c>
      <c r="D7" t="s">
        <v>389</v>
      </c>
      <c r="E7" s="4" t="str">
        <f>HYPERLINK("http://snap.windin.com/ns/bulletin.php?id=22190338&amp;type=1", "东易日盛:首次公开发行股票上市公告书")</f>
        <v>东易日盛:首次公开发行股票上市公告书</v>
      </c>
      <c r="F7" t="s">
        <v>889</v>
      </c>
    </row>
    <row r="8" spans="1:6" x14ac:dyDescent="0.15">
      <c r="A8" s="1">
        <v>41683</v>
      </c>
      <c r="B8" t="s">
        <v>10</v>
      </c>
      <c r="C8" t="s">
        <v>393</v>
      </c>
      <c r="D8" t="s">
        <v>395</v>
      </c>
      <c r="E8" s="4" t="str">
        <f>HYPERLINK("http://snap.windin.com/ns/bulletin.php?id=22136262&amp;type=1", "新宝股份:首次公开发行股票上市公告书(更新后)")</f>
        <v>新宝股份:首次公开发行股票上市公告书(更新后)</v>
      </c>
      <c r="F8" t="s">
        <v>890</v>
      </c>
    </row>
    <row r="9" spans="1:6" x14ac:dyDescent="0.15">
      <c r="A9" s="1">
        <v>41683</v>
      </c>
      <c r="B9" t="s">
        <v>10</v>
      </c>
      <c r="C9" t="s">
        <v>393</v>
      </c>
      <c r="D9" t="s">
        <v>394</v>
      </c>
      <c r="E9" s="4" t="str">
        <f>HYPERLINK("http://snap.windin.com/ns/bulletin.php?id=22136264&amp;type=1", "新宝股份:首次公开发行股票上市公告书之补充公告")</f>
        <v>新宝股份:首次公开发行股票上市公告书之补充公告</v>
      </c>
      <c r="F9" t="s">
        <v>891</v>
      </c>
    </row>
    <row r="10" spans="1:6" x14ac:dyDescent="0.15">
      <c r="A10" s="1">
        <v>41680</v>
      </c>
      <c r="B10" t="s">
        <v>11</v>
      </c>
      <c r="C10" t="s">
        <v>401</v>
      </c>
      <c r="D10" t="s">
        <v>402</v>
      </c>
      <c r="E10" s="4" t="str">
        <f>HYPERLINK("http://snap.windin.com/ns/bulletin.php?id=22103414&amp;type=1", "海天味业:首次公开发行A股股票上市公告书")</f>
        <v>海天味业:首次公开发行A股股票上市公告书</v>
      </c>
      <c r="F10" t="s">
        <v>892</v>
      </c>
    </row>
    <row r="11" spans="1:6" x14ac:dyDescent="0.15">
      <c r="A11" s="1">
        <v>41680</v>
      </c>
      <c r="B11" t="s">
        <v>8</v>
      </c>
      <c r="C11" t="s">
        <v>390</v>
      </c>
      <c r="D11" t="s">
        <v>399</v>
      </c>
      <c r="E11" s="4" t="str">
        <f>HYPERLINK("http://snap.windin.com/ns/bulletin.php?id=22103526&amp;type=1", "登云股份:首次公开发行股票招股说明书")</f>
        <v>登云股份:首次公开发行股票招股说明书</v>
      </c>
      <c r="F11" t="s">
        <v>893</v>
      </c>
    </row>
    <row r="12" spans="1:6" x14ac:dyDescent="0.15">
      <c r="A12" s="1">
        <v>41680</v>
      </c>
      <c r="B12" t="s">
        <v>8</v>
      </c>
      <c r="C12" t="s">
        <v>390</v>
      </c>
      <c r="D12" t="s">
        <v>397</v>
      </c>
      <c r="E12" s="4" t="str">
        <f>HYPERLINK("http://snap.windin.com/ns/bulletin.php?id=22103636&amp;type=1", "登云股份:首次公开发行股票招股说明书(更新后)")</f>
        <v>登云股份:首次公开发行股票招股说明书(更新后)</v>
      </c>
      <c r="F12" t="s">
        <v>894</v>
      </c>
    </row>
    <row r="13" spans="1:6" x14ac:dyDescent="0.15">
      <c r="A13" s="1">
        <v>41680</v>
      </c>
      <c r="B13" t="s">
        <v>8</v>
      </c>
      <c r="C13" t="s">
        <v>390</v>
      </c>
      <c r="D13" t="s">
        <v>396</v>
      </c>
      <c r="E13" s="4" t="str">
        <f>HYPERLINK("http://snap.windin.com/ns/bulletin.php?id=22105348&amp;type=1", "登云股份:首次公开发行股票招股说明书(已取消)")</f>
        <v>登云股份:首次公开发行股票招股说明书(已取消)</v>
      </c>
      <c r="F13" t="s">
        <v>895</v>
      </c>
    </row>
    <row r="14" spans="1:6" x14ac:dyDescent="0.15">
      <c r="A14" s="1">
        <v>41680</v>
      </c>
      <c r="B14" t="s">
        <v>8</v>
      </c>
      <c r="C14" t="s">
        <v>390</v>
      </c>
      <c r="D14" t="s">
        <v>400</v>
      </c>
      <c r="E14" s="4" t="str">
        <f>HYPERLINK("http://snap.windin.com/ns/bulletin.php?id=22103514&amp;type=1", "登云股份:首次公开发行股票招股说明书摘要")</f>
        <v>登云股份:首次公开发行股票招股说明书摘要</v>
      </c>
      <c r="F14" t="s">
        <v>896</v>
      </c>
    </row>
    <row r="15" spans="1:6" x14ac:dyDescent="0.15">
      <c r="A15" s="1">
        <v>41680</v>
      </c>
      <c r="B15" t="s">
        <v>8</v>
      </c>
      <c r="C15" t="s">
        <v>390</v>
      </c>
      <c r="D15" t="s">
        <v>398</v>
      </c>
      <c r="E15" s="4" t="str">
        <f>HYPERLINK("http://snap.windin.com/ns/bulletin.php?id=22103634&amp;type=1", "登云股份:首次公开发行股票招股说明书摘要(更新后)")</f>
        <v>登云股份:首次公开发行股票招股说明书摘要(更新后)</v>
      </c>
      <c r="F15" t="s">
        <v>897</v>
      </c>
    </row>
    <row r="16" spans="1:6" x14ac:dyDescent="0.15">
      <c r="A16" s="1">
        <v>41670</v>
      </c>
      <c r="B16" t="s">
        <v>12</v>
      </c>
      <c r="C16" t="s">
        <v>403</v>
      </c>
      <c r="D16" t="s">
        <v>402</v>
      </c>
      <c r="E16" s="4" t="str">
        <f>HYPERLINK("http://snap.windin.com/ns/bulletin.php?id=22050986&amp;type=1", "晶方科技:首次公开发行A股股票上市公告书")</f>
        <v>晶方科技:首次公开发行A股股票上市公告书</v>
      </c>
      <c r="F16" t="s">
        <v>898</v>
      </c>
    </row>
    <row r="17" spans="1:6" x14ac:dyDescent="0.15">
      <c r="A17" s="1">
        <v>41669</v>
      </c>
      <c r="B17" t="s">
        <v>13</v>
      </c>
      <c r="C17" t="s">
        <v>404</v>
      </c>
      <c r="D17" t="s">
        <v>405</v>
      </c>
      <c r="E17" s="4" t="str">
        <f>HYPERLINK("http://snap.windin.com/ns/bulletin.php?id=22048066&amp;type=1", "东方通:首次公开发行股票并在创业板上市之上市公告书更正公告")</f>
        <v>东方通:首次公开发行股票并在创业板上市之上市公告书更正公告</v>
      </c>
      <c r="F17" t="s">
        <v>899</v>
      </c>
    </row>
    <row r="18" spans="1:6" x14ac:dyDescent="0.15">
      <c r="A18" s="1">
        <v>41667</v>
      </c>
      <c r="B18" t="s">
        <v>14</v>
      </c>
      <c r="C18" t="s">
        <v>406</v>
      </c>
      <c r="D18" t="s">
        <v>407</v>
      </c>
      <c r="E18" s="4" t="str">
        <f>HYPERLINK("http://snap.windin.com/ns/bulletin.php?id=22014862&amp;type=1", "光环新网:首次公开发行股票并在创业板上市公告书提示性公告")</f>
        <v>光环新网:首次公开发行股票并在创业板上市公告书提示性公告</v>
      </c>
      <c r="F18" t="s">
        <v>900</v>
      </c>
    </row>
    <row r="19" spans="1:6" x14ac:dyDescent="0.15">
      <c r="A19" s="1">
        <v>41667</v>
      </c>
      <c r="B19" t="s">
        <v>14</v>
      </c>
      <c r="C19" t="s">
        <v>406</v>
      </c>
      <c r="D19" t="s">
        <v>408</v>
      </c>
      <c r="E19" s="4" t="str">
        <f>HYPERLINK("http://snap.windin.com/ns/bulletin.php?id=22014832&amp;type=1", "光环新网:首次公开发行股票并在创业板上市之上市公告书")</f>
        <v>光环新网:首次公开发行股票并在创业板上市之上市公告书</v>
      </c>
      <c r="F19" t="s">
        <v>901</v>
      </c>
    </row>
    <row r="20" spans="1:6" x14ac:dyDescent="0.15">
      <c r="A20" s="1">
        <v>41667</v>
      </c>
      <c r="B20" t="s">
        <v>16</v>
      </c>
      <c r="C20" t="s">
        <v>411</v>
      </c>
      <c r="D20" t="s">
        <v>412</v>
      </c>
      <c r="E20" s="4" t="str">
        <f>HYPERLINK("http://snap.windin.com/ns/bulletin.php?id=22014426&amp;type=1", "斯莱克:首次公开发行股票并在创业板上市上市公告书")</f>
        <v>斯莱克:首次公开发行股票并在创业板上市上市公告书</v>
      </c>
      <c r="F20" t="s">
        <v>902</v>
      </c>
    </row>
    <row r="21" spans="1:6" x14ac:dyDescent="0.15">
      <c r="A21" s="1">
        <v>41667</v>
      </c>
      <c r="B21" t="s">
        <v>16</v>
      </c>
      <c r="C21" t="s">
        <v>411</v>
      </c>
      <c r="D21" t="s">
        <v>383</v>
      </c>
      <c r="E21" s="4" t="str">
        <f>HYPERLINK("http://snap.windin.com/ns/bulletin.php?id=22014422&amp;type=1", "斯莱克:首次公开发行股票并在创业板上市上市公告书提示性公告")</f>
        <v>斯莱克:首次公开发行股票并在创业板上市上市公告书提示性公告</v>
      </c>
      <c r="F21" t="s">
        <v>903</v>
      </c>
    </row>
    <row r="22" spans="1:6" x14ac:dyDescent="0.15">
      <c r="A22" s="1">
        <v>41667</v>
      </c>
      <c r="B22" t="s">
        <v>15</v>
      </c>
      <c r="C22" t="s">
        <v>409</v>
      </c>
      <c r="D22" t="s">
        <v>408</v>
      </c>
      <c r="E22" s="4" t="str">
        <f>HYPERLINK("http://snap.windin.com/ns/bulletin.php?id=22014504&amp;type=1", "绿盟科技:首次公开发行股票并在创业板上市之上市公告书")</f>
        <v>绿盟科技:首次公开发行股票并在创业板上市之上市公告书</v>
      </c>
      <c r="F22" t="s">
        <v>904</v>
      </c>
    </row>
    <row r="23" spans="1:6" x14ac:dyDescent="0.15">
      <c r="A23" s="1">
        <v>41667</v>
      </c>
      <c r="B23" t="s">
        <v>15</v>
      </c>
      <c r="C23" t="s">
        <v>409</v>
      </c>
      <c r="D23" t="s">
        <v>410</v>
      </c>
      <c r="E23" s="4" t="str">
        <f>HYPERLINK("http://snap.windin.com/ns/bulletin.php?id=22014508&amp;type=1", "绿盟科技:首次公开发行股票并在创业板上市之上市公告书提示性公告")</f>
        <v>绿盟科技:首次公开发行股票并在创业板上市之上市公告书提示性公告</v>
      </c>
      <c r="F23" t="s">
        <v>905</v>
      </c>
    </row>
    <row r="24" spans="1:6" x14ac:dyDescent="0.15">
      <c r="A24" s="1">
        <v>41667</v>
      </c>
      <c r="B24" t="s">
        <v>19</v>
      </c>
      <c r="C24" t="s">
        <v>416</v>
      </c>
      <c r="D24" t="s">
        <v>417</v>
      </c>
      <c r="E24" s="4" t="str">
        <f>HYPERLINK("http://snap.windin.com/ns/bulletin.php?id=22014066&amp;type=1", "东方网力:首次公开发行股票并在创业板上市公告书")</f>
        <v>东方网力:首次公开发行股票并在创业板上市公告书</v>
      </c>
      <c r="F24" t="s">
        <v>906</v>
      </c>
    </row>
    <row r="25" spans="1:6" x14ac:dyDescent="0.15">
      <c r="A25" s="1">
        <v>41667</v>
      </c>
      <c r="B25" t="s">
        <v>19</v>
      </c>
      <c r="C25" t="s">
        <v>416</v>
      </c>
      <c r="D25" t="s">
        <v>410</v>
      </c>
      <c r="E25" s="4" t="str">
        <f>HYPERLINK("http://snap.windin.com/ns/bulletin.php?id=22014040&amp;type=1", "东方网力:首次公开发行股票并在创业板上市之上市公告书提示性公告")</f>
        <v>东方网力:首次公开发行股票并在创业板上市之上市公告书提示性公告</v>
      </c>
      <c r="F25" t="s">
        <v>907</v>
      </c>
    </row>
    <row r="26" spans="1:6" x14ac:dyDescent="0.15">
      <c r="A26" s="1">
        <v>41667</v>
      </c>
      <c r="B26" t="s">
        <v>20</v>
      </c>
      <c r="C26" t="s">
        <v>418</v>
      </c>
      <c r="D26" t="s">
        <v>417</v>
      </c>
      <c r="E26" s="4" t="str">
        <f>HYPERLINK("http://snap.windin.com/ns/bulletin.php?id=22014044&amp;type=1", "博腾股份:首次公开发行股票并在创业板上市公告书")</f>
        <v>博腾股份:首次公开发行股票并在创业板上市公告书</v>
      </c>
      <c r="F26" t="s">
        <v>908</v>
      </c>
    </row>
    <row r="27" spans="1:6" x14ac:dyDescent="0.15">
      <c r="A27" s="1">
        <v>41667</v>
      </c>
      <c r="B27" t="s">
        <v>20</v>
      </c>
      <c r="C27" t="s">
        <v>418</v>
      </c>
      <c r="D27" t="s">
        <v>407</v>
      </c>
      <c r="E27" s="4" t="str">
        <f>HYPERLINK("http://snap.windin.com/ns/bulletin.php?id=22014032&amp;type=1", "博腾股份:首次公开发行股票并在创业板上市公告书提示性公告")</f>
        <v>博腾股份:首次公开发行股票并在创业板上市公告书提示性公告</v>
      </c>
      <c r="F27" t="s">
        <v>909</v>
      </c>
    </row>
    <row r="28" spans="1:6" x14ac:dyDescent="0.15">
      <c r="A28" s="1">
        <v>41667</v>
      </c>
      <c r="B28" t="s">
        <v>17</v>
      </c>
      <c r="C28" t="s">
        <v>413</v>
      </c>
      <c r="D28" t="s">
        <v>389</v>
      </c>
      <c r="E28" s="4" t="str">
        <f>HYPERLINK("http://snap.windin.com/ns/bulletin.php?id=22014074&amp;type=1", "跃岭股份:首次公开发行股票上市公告书")</f>
        <v>跃岭股份:首次公开发行股票上市公告书</v>
      </c>
      <c r="F28" t="s">
        <v>910</v>
      </c>
    </row>
    <row r="29" spans="1:6" x14ac:dyDescent="0.15">
      <c r="A29" s="1">
        <v>41667</v>
      </c>
      <c r="B29" t="s">
        <v>18</v>
      </c>
      <c r="C29" t="s">
        <v>414</v>
      </c>
      <c r="D29" t="s">
        <v>415</v>
      </c>
      <c r="E29" s="4" t="str">
        <f>HYPERLINK("http://snap.windin.com/ns/bulletin.php?id=22014068&amp;type=1", "金莱特:首次公开发行股票之上市公告书")</f>
        <v>金莱特:首次公开发行股票之上市公告书</v>
      </c>
      <c r="F29" t="s">
        <v>911</v>
      </c>
    </row>
    <row r="30" spans="1:6" x14ac:dyDescent="0.15">
      <c r="A30" s="1">
        <v>41666</v>
      </c>
      <c r="B30" t="s">
        <v>28</v>
      </c>
      <c r="C30" t="s">
        <v>427</v>
      </c>
      <c r="D30" t="s">
        <v>402</v>
      </c>
      <c r="E30" s="4" t="str">
        <f>HYPERLINK("http://snap.windin.com/ns/bulletin.php?id=22004148&amp;type=1", "陕西煤业:首次公开发行A股股票上市公告书")</f>
        <v>陕西煤业:首次公开发行A股股票上市公告书</v>
      </c>
      <c r="F30" t="s">
        <v>912</v>
      </c>
    </row>
    <row r="31" spans="1:6" x14ac:dyDescent="0.15">
      <c r="A31" s="1">
        <v>41666</v>
      </c>
      <c r="B31" t="s">
        <v>28</v>
      </c>
      <c r="C31" t="s">
        <v>427</v>
      </c>
      <c r="D31" t="s">
        <v>428</v>
      </c>
      <c r="E31" s="4" t="str">
        <f>HYPERLINK("http://snap.windin.com/ns/bulletin.php?id=22004160&amp;type=1", "陕西煤业:首次公开发行A股股票招股说明书(更新稿)")</f>
        <v>陕西煤业:首次公开发行A股股票招股说明书(更新稿)</v>
      </c>
      <c r="F31" t="s">
        <v>913</v>
      </c>
    </row>
    <row r="32" spans="1:6" x14ac:dyDescent="0.15">
      <c r="A32" s="1">
        <v>41666</v>
      </c>
      <c r="B32" t="s">
        <v>28</v>
      </c>
      <c r="C32" t="s">
        <v>427</v>
      </c>
      <c r="D32" t="s">
        <v>429</v>
      </c>
      <c r="E32" s="4" t="str">
        <f>HYPERLINK("http://snap.windin.com/ns/bulletin.php?id=22004136&amp;type=1", "陕西煤业:首次公开发行A股股票招股说明书摘要(更新稿)")</f>
        <v>陕西煤业:首次公开发行A股股票招股说明书摘要(更新稿)</v>
      </c>
      <c r="F32" t="s">
        <v>914</v>
      </c>
    </row>
    <row r="33" spans="1:6" x14ac:dyDescent="0.15">
      <c r="A33" s="1">
        <v>41666</v>
      </c>
      <c r="B33" t="s">
        <v>22</v>
      </c>
      <c r="C33" t="s">
        <v>421</v>
      </c>
      <c r="D33" t="s">
        <v>408</v>
      </c>
      <c r="E33" s="4" t="str">
        <f>HYPERLINK("http://snap.windin.com/ns/bulletin.php?id=22005380&amp;type=1", "溢多利:首次公开发行股票并在创业板上市之上市公告书")</f>
        <v>溢多利:首次公开发行股票并在创业板上市之上市公告书</v>
      </c>
      <c r="F33" t="s">
        <v>915</v>
      </c>
    </row>
    <row r="34" spans="1:6" x14ac:dyDescent="0.15">
      <c r="A34" s="1">
        <v>41666</v>
      </c>
      <c r="B34" t="s">
        <v>22</v>
      </c>
      <c r="C34" t="s">
        <v>421</v>
      </c>
      <c r="D34" t="s">
        <v>410</v>
      </c>
      <c r="E34" s="4" t="str">
        <f>HYPERLINK("http://snap.windin.com/ns/bulletin.php?id=22005372&amp;type=1", "溢多利:首次公开发行股票并在创业板上市之上市公告书提示性公告")</f>
        <v>溢多利:首次公开发行股票并在创业板上市之上市公告书提示性公告</v>
      </c>
      <c r="F34" t="s">
        <v>916</v>
      </c>
    </row>
    <row r="35" spans="1:6" x14ac:dyDescent="0.15">
      <c r="A35" s="1">
        <v>41666</v>
      </c>
      <c r="B35" t="s">
        <v>26</v>
      </c>
      <c r="C35" t="s">
        <v>425</v>
      </c>
      <c r="D35" t="s">
        <v>383</v>
      </c>
      <c r="E35" s="4" t="str">
        <f>HYPERLINK("http://snap.windin.com/ns/bulletin.php?id=22004588&amp;type=1", "安硕信息:首次公开发行股票并在创业板上市上市公告书提示性公告")</f>
        <v>安硕信息:首次公开发行股票并在创业板上市上市公告书提示性公告</v>
      </c>
      <c r="F35" t="s">
        <v>917</v>
      </c>
    </row>
    <row r="36" spans="1:6" x14ac:dyDescent="0.15">
      <c r="A36" s="1">
        <v>41666</v>
      </c>
      <c r="B36" t="s">
        <v>26</v>
      </c>
      <c r="C36" t="s">
        <v>425</v>
      </c>
      <c r="D36" t="s">
        <v>408</v>
      </c>
      <c r="E36" s="4" t="str">
        <f>HYPERLINK("http://snap.windin.com/ns/bulletin.php?id=22004594&amp;type=1", "安硕信息:首次公开发行股票并在创业板上市之上市公告书")</f>
        <v>安硕信息:首次公开发行股票并在创业板上市之上市公告书</v>
      </c>
      <c r="F36" t="s">
        <v>918</v>
      </c>
    </row>
    <row r="37" spans="1:6" x14ac:dyDescent="0.15">
      <c r="A37" s="1">
        <v>41666</v>
      </c>
      <c r="B37" t="s">
        <v>13</v>
      </c>
      <c r="C37" t="s">
        <v>404</v>
      </c>
      <c r="D37" t="s">
        <v>407</v>
      </c>
      <c r="E37" s="4" t="str">
        <f>HYPERLINK("http://snap.windin.com/ns/bulletin.php?id=22005370&amp;type=1", "东方通:首次公开发行股票并在创业板上市公告书提示性公告")</f>
        <v>东方通:首次公开发行股票并在创业板上市公告书提示性公告</v>
      </c>
      <c r="F37" t="s">
        <v>919</v>
      </c>
    </row>
    <row r="38" spans="1:6" x14ac:dyDescent="0.15">
      <c r="A38" s="1">
        <v>41666</v>
      </c>
      <c r="B38" t="s">
        <v>13</v>
      </c>
      <c r="C38" t="s">
        <v>404</v>
      </c>
      <c r="D38" t="s">
        <v>408</v>
      </c>
      <c r="E38" s="4" t="str">
        <f>HYPERLINK("http://snap.windin.com/ns/bulletin.php?id=22005376&amp;type=1", "东方通:首次公开发行股票并在创业板上市之上市公告书")</f>
        <v>东方通:首次公开发行股票并在创业板上市之上市公告书</v>
      </c>
      <c r="F38" t="s">
        <v>920</v>
      </c>
    </row>
    <row r="39" spans="1:6" x14ac:dyDescent="0.15">
      <c r="A39" s="1">
        <v>41666</v>
      </c>
      <c r="B39" t="s">
        <v>23</v>
      </c>
      <c r="C39" t="s">
        <v>422</v>
      </c>
      <c r="D39" t="s">
        <v>389</v>
      </c>
      <c r="E39" s="4" t="str">
        <f>HYPERLINK("http://snap.windin.com/ns/bulletin.php?id=22004610&amp;type=1", "金轮股份:首次公开发行股票上市公告书")</f>
        <v>金轮股份:首次公开发行股票上市公告书</v>
      </c>
      <c r="F39" t="s">
        <v>921</v>
      </c>
    </row>
    <row r="40" spans="1:6" x14ac:dyDescent="0.15">
      <c r="A40" s="1">
        <v>41666</v>
      </c>
      <c r="B40" t="s">
        <v>25</v>
      </c>
      <c r="C40" t="s">
        <v>424</v>
      </c>
      <c r="D40" t="s">
        <v>389</v>
      </c>
      <c r="E40" s="4" t="str">
        <f>HYPERLINK("http://snap.windin.com/ns/bulletin.php?id=22004602&amp;type=1", "麦趣尔:首次公开发行股票上市公告书")</f>
        <v>麦趣尔:首次公开发行股票上市公告书</v>
      </c>
      <c r="F40" t="s">
        <v>922</v>
      </c>
    </row>
    <row r="41" spans="1:6" x14ac:dyDescent="0.15">
      <c r="A41" s="1">
        <v>41666</v>
      </c>
      <c r="B41" t="s">
        <v>27</v>
      </c>
      <c r="C41" t="s">
        <v>426</v>
      </c>
      <c r="D41" t="s">
        <v>389</v>
      </c>
      <c r="E41" s="4" t="str">
        <f>HYPERLINK("http://snap.windin.com/ns/bulletin.php?id=22004566&amp;type=1", "友邦吊顶:首次公开发行股票上市公告书")</f>
        <v>友邦吊顶:首次公开发行股票上市公告书</v>
      </c>
      <c r="F41" t="s">
        <v>923</v>
      </c>
    </row>
    <row r="42" spans="1:6" x14ac:dyDescent="0.15">
      <c r="A42" s="1">
        <v>41666</v>
      </c>
      <c r="B42" t="s">
        <v>21</v>
      </c>
      <c r="C42" t="s">
        <v>419</v>
      </c>
      <c r="D42" t="s">
        <v>420</v>
      </c>
      <c r="E42" s="4" t="str">
        <f>HYPERLINK("http://snap.windin.com/ns/bulletin.php?id=22006832&amp;type=1", "金贵银业:首次发行股票上市公告书之更正公告")</f>
        <v>金贵银业:首次发行股票上市公告书之更正公告</v>
      </c>
      <c r="F42" t="s">
        <v>924</v>
      </c>
    </row>
    <row r="43" spans="1:6" x14ac:dyDescent="0.15">
      <c r="A43" s="1">
        <v>41666</v>
      </c>
      <c r="B43" t="s">
        <v>21</v>
      </c>
      <c r="C43" t="s">
        <v>419</v>
      </c>
      <c r="D43" t="s">
        <v>389</v>
      </c>
      <c r="E43" s="4" t="str">
        <f>HYPERLINK("http://snap.windin.com/ns/bulletin.php?id=22005384&amp;type=1", "金贵银业:首次公开发行股票上市公告书")</f>
        <v>金贵银业:首次公开发行股票上市公告书</v>
      </c>
      <c r="F43" t="s">
        <v>925</v>
      </c>
    </row>
    <row r="44" spans="1:6" x14ac:dyDescent="0.15">
      <c r="A44" s="1">
        <v>41666</v>
      </c>
      <c r="B44" t="s">
        <v>21</v>
      </c>
      <c r="C44" t="s">
        <v>419</v>
      </c>
      <c r="D44" t="s">
        <v>395</v>
      </c>
      <c r="E44" s="4" t="str">
        <f>HYPERLINK("http://snap.windin.com/ns/bulletin.php?id=22006834&amp;type=1", "金贵银业:首次公开发行股票上市公告书(更新后)")</f>
        <v>金贵银业:首次公开发行股票上市公告书(更新后)</v>
      </c>
      <c r="F44" t="s">
        <v>926</v>
      </c>
    </row>
    <row r="45" spans="1:6" x14ac:dyDescent="0.15">
      <c r="A45" s="1">
        <v>41666</v>
      </c>
      <c r="B45" t="s">
        <v>24</v>
      </c>
      <c r="C45" t="s">
        <v>423</v>
      </c>
      <c r="D45" t="s">
        <v>389</v>
      </c>
      <c r="E45" s="4" t="str">
        <f>HYPERLINK("http://snap.windin.com/ns/bulletin.php?id=22004608&amp;type=1", "牧原股份:首次公开发行股票上市公告书")</f>
        <v>牧原股份:首次公开发行股票上市公告书</v>
      </c>
      <c r="F45" t="s">
        <v>927</v>
      </c>
    </row>
    <row r="46" spans="1:6" x14ac:dyDescent="0.15">
      <c r="A46" s="1">
        <v>41663</v>
      </c>
      <c r="B46" t="s">
        <v>11</v>
      </c>
      <c r="C46" t="s">
        <v>401</v>
      </c>
      <c r="D46" t="s">
        <v>439</v>
      </c>
      <c r="E46" s="4" t="str">
        <f>HYPERLINK("http://snap.windin.com/ns/bulletin.php?id=21978334&amp;type=1", "海天味业:首次公开发行股票招股说明书(更新版)")</f>
        <v>海天味业:首次公开发行股票招股说明书(更新版)</v>
      </c>
      <c r="F46" t="s">
        <v>928</v>
      </c>
    </row>
    <row r="47" spans="1:6" x14ac:dyDescent="0.15">
      <c r="A47" s="1">
        <v>41663</v>
      </c>
      <c r="B47" t="s">
        <v>11</v>
      </c>
      <c r="C47" t="s">
        <v>401</v>
      </c>
      <c r="D47" t="s">
        <v>440</v>
      </c>
      <c r="E47" s="4" t="str">
        <f>HYPERLINK("http://snap.windin.com/ns/bulletin.php?id=21978254&amp;type=1", "海天味业:首次公开发行股票招股说明书摘要(更新版)")</f>
        <v>海天味业:首次公开发行股票招股说明书摘要(更新版)</v>
      </c>
      <c r="F47" t="s">
        <v>929</v>
      </c>
    </row>
    <row r="48" spans="1:6" x14ac:dyDescent="0.15">
      <c r="A48" s="1">
        <v>41663</v>
      </c>
      <c r="B48" t="s">
        <v>34</v>
      </c>
      <c r="C48" t="s">
        <v>436</v>
      </c>
      <c r="D48" t="s">
        <v>408</v>
      </c>
      <c r="E48" s="4" t="str">
        <f>HYPERLINK("http://snap.windin.com/ns/bulletin.php?id=21979438&amp;type=1", "鼎捷软件:首次公开发行股票并在创业板上市之上市公告书")</f>
        <v>鼎捷软件:首次公开发行股票并在创业板上市之上市公告书</v>
      </c>
      <c r="F48" t="s">
        <v>930</v>
      </c>
    </row>
    <row r="49" spans="1:6" x14ac:dyDescent="0.15">
      <c r="A49" s="1">
        <v>41663</v>
      </c>
      <c r="B49" t="s">
        <v>34</v>
      </c>
      <c r="C49" t="s">
        <v>436</v>
      </c>
      <c r="D49" t="s">
        <v>410</v>
      </c>
      <c r="E49" s="4" t="str">
        <f>HYPERLINK("http://snap.windin.com/ns/bulletin.php?id=21979356&amp;type=1", "鼎捷软件:首次公开发行股票并在创业板上市之上市公告书提示性公告")</f>
        <v>鼎捷软件:首次公开发行股票并在创业板上市之上市公告书提示性公告</v>
      </c>
      <c r="F49" t="s">
        <v>931</v>
      </c>
    </row>
    <row r="50" spans="1:6" x14ac:dyDescent="0.15">
      <c r="A50" s="1">
        <v>41663</v>
      </c>
      <c r="B50" t="s">
        <v>32</v>
      </c>
      <c r="C50" t="s">
        <v>434</v>
      </c>
      <c r="D50" t="s">
        <v>408</v>
      </c>
      <c r="E50" s="4" t="str">
        <f>HYPERLINK("http://snap.windin.com/ns/bulletin.php?id=21980190&amp;type=1", "赢时胜:首次公开发行股票并在创业板上市之上市公告书")</f>
        <v>赢时胜:首次公开发行股票并在创业板上市之上市公告书</v>
      </c>
      <c r="F50" t="s">
        <v>932</v>
      </c>
    </row>
    <row r="51" spans="1:6" x14ac:dyDescent="0.15">
      <c r="A51" s="1">
        <v>41663</v>
      </c>
      <c r="B51" t="s">
        <v>32</v>
      </c>
      <c r="C51" t="s">
        <v>434</v>
      </c>
      <c r="D51" t="s">
        <v>410</v>
      </c>
      <c r="E51" s="4" t="str">
        <f>HYPERLINK("http://snap.windin.com/ns/bulletin.php?id=21980192&amp;type=1", "赢时胜:首次公开发行股票并在创业板上市之上市公告书提示性公告")</f>
        <v>赢时胜:首次公开发行股票并在创业板上市之上市公告书提示性公告</v>
      </c>
      <c r="F51" t="s">
        <v>933</v>
      </c>
    </row>
    <row r="52" spans="1:6" x14ac:dyDescent="0.15">
      <c r="A52" s="1">
        <v>41663</v>
      </c>
      <c r="B52" t="s">
        <v>33</v>
      </c>
      <c r="C52" t="s">
        <v>435</v>
      </c>
      <c r="D52" t="s">
        <v>407</v>
      </c>
      <c r="E52" s="4" t="str">
        <f>HYPERLINK("http://snap.windin.com/ns/bulletin.php?id=21979652&amp;type=1", "易事特:首次公开发行股票并在创业板上市公告书提示性公告")</f>
        <v>易事特:首次公开发行股票并在创业板上市公告书提示性公告</v>
      </c>
      <c r="F52" t="s">
        <v>934</v>
      </c>
    </row>
    <row r="53" spans="1:6" x14ac:dyDescent="0.15">
      <c r="A53" s="1">
        <v>41663</v>
      </c>
      <c r="B53" t="s">
        <v>33</v>
      </c>
      <c r="C53" t="s">
        <v>435</v>
      </c>
      <c r="D53" t="s">
        <v>408</v>
      </c>
      <c r="E53" s="4" t="str">
        <f>HYPERLINK("http://snap.windin.com/ns/bulletin.php?id=21979628&amp;type=1", "易事特:首次公开发行股票并在创业板上市之上市公告书")</f>
        <v>易事特:首次公开发行股票并在创业板上市之上市公告书</v>
      </c>
      <c r="F53" t="s">
        <v>935</v>
      </c>
    </row>
    <row r="54" spans="1:6" x14ac:dyDescent="0.15">
      <c r="A54" s="1">
        <v>41663</v>
      </c>
      <c r="B54" t="s">
        <v>36</v>
      </c>
      <c r="C54" t="s">
        <v>438</v>
      </c>
      <c r="D54" t="s">
        <v>407</v>
      </c>
      <c r="E54" s="4" t="str">
        <f>HYPERLINK("http://snap.windin.com/ns/bulletin.php?id=21978490&amp;type=1", "鹏翎股份:首次公开发行股票并在创业板上市公告书提示性公告")</f>
        <v>鹏翎股份:首次公开发行股票并在创业板上市公告书提示性公告</v>
      </c>
      <c r="F54" t="s">
        <v>936</v>
      </c>
    </row>
    <row r="55" spans="1:6" x14ac:dyDescent="0.15">
      <c r="A55" s="1">
        <v>41663</v>
      </c>
      <c r="B55" t="s">
        <v>36</v>
      </c>
      <c r="C55" t="s">
        <v>438</v>
      </c>
      <c r="D55" t="s">
        <v>412</v>
      </c>
      <c r="E55" s="4" t="str">
        <f>HYPERLINK("http://snap.windin.com/ns/bulletin.php?id=21978484&amp;type=1", "鹏翎股份:首次公开发行股票并在创业板上市上市公告书")</f>
        <v>鹏翎股份:首次公开发行股票并在创业板上市上市公告书</v>
      </c>
      <c r="F55" t="s">
        <v>937</v>
      </c>
    </row>
    <row r="56" spans="1:6" x14ac:dyDescent="0.15">
      <c r="A56" s="1">
        <v>41663</v>
      </c>
      <c r="B56" t="s">
        <v>30</v>
      </c>
      <c r="C56" t="s">
        <v>432</v>
      </c>
      <c r="D56" t="s">
        <v>417</v>
      </c>
      <c r="E56" s="4" t="str">
        <f>HYPERLINK("http://snap.windin.com/ns/bulletin.php?id=21980218&amp;type=1", "欣泰电气:首次公开发行股票并在创业板上市公告书")</f>
        <v>欣泰电气:首次公开发行股票并在创业板上市公告书</v>
      </c>
      <c r="F56" t="s">
        <v>938</v>
      </c>
    </row>
    <row r="57" spans="1:6" x14ac:dyDescent="0.15">
      <c r="A57" s="1">
        <v>41663</v>
      </c>
      <c r="B57" t="s">
        <v>30</v>
      </c>
      <c r="C57" t="s">
        <v>432</v>
      </c>
      <c r="D57" t="s">
        <v>407</v>
      </c>
      <c r="E57" s="4" t="str">
        <f>HYPERLINK("http://snap.windin.com/ns/bulletin.php?id=21980226&amp;type=1", "欣泰电气:首次公开发行股票并在创业板上市公告书提示性公告")</f>
        <v>欣泰电气:首次公开发行股票并在创业板上市公告书提示性公告</v>
      </c>
      <c r="F57" t="s">
        <v>939</v>
      </c>
    </row>
    <row r="58" spans="1:6" x14ac:dyDescent="0.15">
      <c r="A58" s="1">
        <v>41663</v>
      </c>
      <c r="B58" t="s">
        <v>31</v>
      </c>
      <c r="C58" t="s">
        <v>433</v>
      </c>
      <c r="D58" t="s">
        <v>407</v>
      </c>
      <c r="E58" s="4" t="str">
        <f>HYPERLINK("http://snap.windin.com/ns/bulletin.php?id=21980118&amp;type=1", "创意信息:首次公开发行股票并在创业板上市公告书提示性公告")</f>
        <v>创意信息:首次公开发行股票并在创业板上市公告书提示性公告</v>
      </c>
      <c r="F58" t="s">
        <v>940</v>
      </c>
    </row>
    <row r="59" spans="1:6" x14ac:dyDescent="0.15">
      <c r="A59" s="1">
        <v>41663</v>
      </c>
      <c r="B59" t="s">
        <v>31</v>
      </c>
      <c r="C59" t="s">
        <v>433</v>
      </c>
      <c r="D59" t="s">
        <v>408</v>
      </c>
      <c r="E59" s="4" t="str">
        <f>HYPERLINK("http://snap.windin.com/ns/bulletin.php?id=21980198&amp;type=1", "创意信息:首次公开发行股票并在创业板上市之上市公告书")</f>
        <v>创意信息:首次公开发行股票并在创业板上市之上市公告书</v>
      </c>
      <c r="F59" t="s">
        <v>941</v>
      </c>
    </row>
    <row r="60" spans="1:6" x14ac:dyDescent="0.15">
      <c r="A60" s="1">
        <v>41663</v>
      </c>
      <c r="B60" t="s">
        <v>35</v>
      </c>
      <c r="C60" t="s">
        <v>437</v>
      </c>
      <c r="D60" t="s">
        <v>389</v>
      </c>
      <c r="E60" s="4" t="str">
        <f>HYPERLINK("http://snap.windin.com/ns/bulletin.php?id=21979346&amp;type=1", "金一文化:首次公开发行股票上市公告书")</f>
        <v>金一文化:首次公开发行股票上市公告书</v>
      </c>
      <c r="F60" t="s">
        <v>942</v>
      </c>
    </row>
    <row r="61" spans="1:6" x14ac:dyDescent="0.15">
      <c r="A61" s="1">
        <v>41663</v>
      </c>
      <c r="B61" t="s">
        <v>29</v>
      </c>
      <c r="C61" t="s">
        <v>430</v>
      </c>
      <c r="D61" t="s">
        <v>431</v>
      </c>
      <c r="E61" s="4" t="str">
        <f>HYPERLINK("http://snap.windin.com/ns/bulletin.php?id=21980876&amp;type=1", "欧浦钢网:关于公司首次公开发行股票上市公告书之更正公告")</f>
        <v>欧浦钢网:关于公司首次公开发行股票上市公告书之更正公告</v>
      </c>
      <c r="F61" t="s">
        <v>943</v>
      </c>
    </row>
    <row r="62" spans="1:6" x14ac:dyDescent="0.15">
      <c r="A62" s="1">
        <v>41663</v>
      </c>
      <c r="B62" t="s">
        <v>29</v>
      </c>
      <c r="C62" t="s">
        <v>430</v>
      </c>
      <c r="D62" t="s">
        <v>389</v>
      </c>
      <c r="E62" s="4" t="str">
        <f>HYPERLINK("http://snap.windin.com/ns/bulletin.php?id=21979512&amp;type=1", "欧浦钢网:首次公开发行股票上市公告书")</f>
        <v>欧浦钢网:首次公开发行股票上市公告书</v>
      </c>
      <c r="F62" t="s">
        <v>944</v>
      </c>
    </row>
    <row r="63" spans="1:6" x14ac:dyDescent="0.15">
      <c r="A63" s="1">
        <v>41663</v>
      </c>
      <c r="B63" t="s">
        <v>29</v>
      </c>
      <c r="C63" t="s">
        <v>430</v>
      </c>
      <c r="D63" t="s">
        <v>395</v>
      </c>
      <c r="E63" s="4" t="str">
        <f>HYPERLINK("http://snap.windin.com/ns/bulletin.php?id=21980874&amp;type=1", "欧浦钢网:首次公开发行股票上市公告书(更新后)")</f>
        <v>欧浦钢网:首次公开发行股票上市公告书(更新后)</v>
      </c>
      <c r="F63" t="s">
        <v>945</v>
      </c>
    </row>
    <row r="64" spans="1:6" x14ac:dyDescent="0.15">
      <c r="A64" s="1">
        <v>41662</v>
      </c>
      <c r="B64" t="s">
        <v>37</v>
      </c>
      <c r="C64" t="s">
        <v>441</v>
      </c>
      <c r="D64" t="s">
        <v>402</v>
      </c>
      <c r="E64" s="4" t="str">
        <f>HYPERLINK("http://snap.windin.com/ns/bulletin.php?id=21964846&amp;type=1", "贵人鸟:首次公开发行A股股票上市公告书")</f>
        <v>贵人鸟:首次公开发行A股股票上市公告书</v>
      </c>
      <c r="F64" t="s">
        <v>946</v>
      </c>
    </row>
    <row r="65" spans="1:6" x14ac:dyDescent="0.15">
      <c r="A65" s="1">
        <v>41662</v>
      </c>
      <c r="B65" t="s">
        <v>11</v>
      </c>
      <c r="C65" t="s">
        <v>401</v>
      </c>
      <c r="D65" t="s">
        <v>399</v>
      </c>
      <c r="E65" s="4" t="str">
        <f>HYPERLINK("http://snap.windin.com/ns/bulletin.php?id=21966190&amp;type=1", "海天味业:首次公开发行股票招股说明书")</f>
        <v>海天味业:首次公开发行股票招股说明书</v>
      </c>
      <c r="F65" t="s">
        <v>947</v>
      </c>
    </row>
    <row r="66" spans="1:6" x14ac:dyDescent="0.15">
      <c r="A66" s="1">
        <v>41662</v>
      </c>
      <c r="B66" t="s">
        <v>11</v>
      </c>
      <c r="C66" t="s">
        <v>401</v>
      </c>
      <c r="D66" t="s">
        <v>400</v>
      </c>
      <c r="E66" s="4" t="str">
        <f>HYPERLINK("http://snap.windin.com/ns/bulletin.php?id=21965932&amp;type=1", "海天味业:首次公开发行股票招股说明书摘要")</f>
        <v>海天味业:首次公开发行股票招股说明书摘要</v>
      </c>
      <c r="F66" t="s">
        <v>948</v>
      </c>
    </row>
    <row r="67" spans="1:6" x14ac:dyDescent="0.15">
      <c r="A67" s="1">
        <v>41661</v>
      </c>
      <c r="B67" t="s">
        <v>12</v>
      </c>
      <c r="C67" t="s">
        <v>403</v>
      </c>
      <c r="D67" t="s">
        <v>439</v>
      </c>
      <c r="E67" s="4" t="str">
        <f>HYPERLINK("http://snap.windin.com/ns/bulletin.php?id=21949548&amp;type=1", "晶方科技:首次公开发行股票招股说明书(更新版)")</f>
        <v>晶方科技:首次公开发行股票招股说明书(更新版)</v>
      </c>
      <c r="F67" t="s">
        <v>949</v>
      </c>
    </row>
    <row r="68" spans="1:6" x14ac:dyDescent="0.15">
      <c r="A68" s="1">
        <v>41661</v>
      </c>
      <c r="B68" t="s">
        <v>12</v>
      </c>
      <c r="C68" t="s">
        <v>403</v>
      </c>
      <c r="D68" t="s">
        <v>440</v>
      </c>
      <c r="E68" s="4" t="str">
        <f>HYPERLINK("http://snap.windin.com/ns/bulletin.php?id=21949542&amp;type=1", "晶方科技:首次公开发行股票招股说明书摘要(更新版)")</f>
        <v>晶方科技:首次公开发行股票招股说明书摘要(更新版)</v>
      </c>
      <c r="F68" t="s">
        <v>950</v>
      </c>
    </row>
    <row r="69" spans="1:6" x14ac:dyDescent="0.15">
      <c r="A69" s="1">
        <v>41661</v>
      </c>
      <c r="B69" t="s">
        <v>43</v>
      </c>
      <c r="C69" t="s">
        <v>447</v>
      </c>
      <c r="D69" t="s">
        <v>449</v>
      </c>
      <c r="E69" s="4" t="str">
        <f>HYPERLINK("http://snap.windin.com/ns/bulletin.php?id=21952112&amp;type=1", "扬杰科技:首次公开发行股票并在创业板上市上市公告书提示公告")</f>
        <v>扬杰科技:首次公开发行股票并在创业板上市上市公告书提示公告</v>
      </c>
      <c r="F69" t="s">
        <v>951</v>
      </c>
    </row>
    <row r="70" spans="1:6" x14ac:dyDescent="0.15">
      <c r="A70" s="1">
        <v>41661</v>
      </c>
      <c r="B70" t="s">
        <v>43</v>
      </c>
      <c r="C70" t="s">
        <v>447</v>
      </c>
      <c r="D70" t="s">
        <v>408</v>
      </c>
      <c r="E70" s="4" t="str">
        <f>HYPERLINK("http://snap.windin.com/ns/bulletin.php?id=21952176&amp;type=1", "扬杰科技:首次公开发行股票并在创业板上市之上市公告书")</f>
        <v>扬杰科技:首次公开发行股票并在创业板上市之上市公告书</v>
      </c>
      <c r="F70" t="s">
        <v>952</v>
      </c>
    </row>
    <row r="71" spans="1:6" x14ac:dyDescent="0.15">
      <c r="A71" s="1">
        <v>41661</v>
      </c>
      <c r="B71" t="s">
        <v>40</v>
      </c>
      <c r="C71" t="s">
        <v>444</v>
      </c>
      <c r="D71" t="s">
        <v>408</v>
      </c>
      <c r="E71" s="4" t="str">
        <f>HYPERLINK("http://snap.windin.com/ns/bulletin.php?id=21952992&amp;type=1", "汇中股份:首次公开发行股票并在创业板上市之上市公告书")</f>
        <v>汇中股份:首次公开发行股票并在创业板上市之上市公告书</v>
      </c>
      <c r="F71" t="s">
        <v>953</v>
      </c>
    </row>
    <row r="72" spans="1:6" x14ac:dyDescent="0.15">
      <c r="A72" s="1">
        <v>41661</v>
      </c>
      <c r="B72" t="s">
        <v>40</v>
      </c>
      <c r="C72" t="s">
        <v>444</v>
      </c>
      <c r="D72" t="s">
        <v>410</v>
      </c>
      <c r="E72" s="4" t="str">
        <f>HYPERLINK("http://snap.windin.com/ns/bulletin.php?id=21952980&amp;type=1", "汇中股份:首次公开发行股票并在创业板上市之上市公告书提示性公告")</f>
        <v>汇中股份:首次公开发行股票并在创业板上市之上市公告书提示性公告</v>
      </c>
      <c r="F72" t="s">
        <v>954</v>
      </c>
    </row>
    <row r="73" spans="1:6" x14ac:dyDescent="0.15">
      <c r="A73" s="1">
        <v>41661</v>
      </c>
      <c r="B73" t="s">
        <v>6</v>
      </c>
      <c r="C73" t="s">
        <v>386</v>
      </c>
      <c r="D73" t="s">
        <v>417</v>
      </c>
      <c r="E73" s="4" t="str">
        <f>HYPERLINK("http://snap.windin.com/ns/bulletin.php?id=21952178&amp;type=1", "安控股份:首次公开发行股票并在创业板上市公告书")</f>
        <v>安控股份:首次公开发行股票并在创业板上市公告书</v>
      </c>
      <c r="F73" t="s">
        <v>955</v>
      </c>
    </row>
    <row r="74" spans="1:6" x14ac:dyDescent="0.15">
      <c r="A74" s="1">
        <v>41661</v>
      </c>
      <c r="B74" t="s">
        <v>6</v>
      </c>
      <c r="C74" t="s">
        <v>386</v>
      </c>
      <c r="D74" t="s">
        <v>407</v>
      </c>
      <c r="E74" s="4" t="str">
        <f>HYPERLINK("http://snap.windin.com/ns/bulletin.php?id=21952142&amp;type=1", "安控股份:首次公开发行股票并在创业板上市公告书提示性公告")</f>
        <v>安控股份:首次公开发行股票并在创业板上市公告书提示性公告</v>
      </c>
      <c r="F74" t="s">
        <v>956</v>
      </c>
    </row>
    <row r="75" spans="1:6" x14ac:dyDescent="0.15">
      <c r="A75" s="1">
        <v>41661</v>
      </c>
      <c r="B75" t="s">
        <v>44</v>
      </c>
      <c r="C75" t="s">
        <v>448</v>
      </c>
      <c r="D75" t="s">
        <v>383</v>
      </c>
      <c r="E75" s="4" t="str">
        <f>HYPERLINK("http://snap.windin.com/ns/bulletin.php?id=21952120&amp;type=1", "汇金股份:首次公开发行股票并在创业板上市上市公告书提示性公告")</f>
        <v>汇金股份:首次公开发行股票并在创业板上市上市公告书提示性公告</v>
      </c>
      <c r="F75" t="s">
        <v>957</v>
      </c>
    </row>
    <row r="76" spans="1:6" x14ac:dyDescent="0.15">
      <c r="A76" s="1">
        <v>41661</v>
      </c>
      <c r="B76" t="s">
        <v>44</v>
      </c>
      <c r="C76" t="s">
        <v>448</v>
      </c>
      <c r="D76" t="s">
        <v>408</v>
      </c>
      <c r="E76" s="4" t="str">
        <f>HYPERLINK("http://snap.windin.com/ns/bulletin.php?id=21952152&amp;type=1", "汇金股份:首次公开发行股票并在创业板上市之上市公告书")</f>
        <v>汇金股份:首次公开发行股票并在创业板上市之上市公告书</v>
      </c>
      <c r="F76" t="s">
        <v>958</v>
      </c>
    </row>
    <row r="77" spans="1:6" x14ac:dyDescent="0.15">
      <c r="A77" s="1">
        <v>41661</v>
      </c>
      <c r="B77" t="s">
        <v>39</v>
      </c>
      <c r="C77" t="s">
        <v>443</v>
      </c>
      <c r="D77" t="s">
        <v>407</v>
      </c>
      <c r="E77" s="4" t="str">
        <f>HYPERLINK("http://snap.windin.com/ns/bulletin.php?id=21953672&amp;type=1", "恒华科技:首次公开发行股票并在创业板上市公告书提示性公告")</f>
        <v>恒华科技:首次公开发行股票并在创业板上市公告书提示性公告</v>
      </c>
      <c r="F77" t="s">
        <v>959</v>
      </c>
    </row>
    <row r="78" spans="1:6" x14ac:dyDescent="0.15">
      <c r="A78" s="1">
        <v>41661</v>
      </c>
      <c r="B78" t="s">
        <v>39</v>
      </c>
      <c r="C78" t="s">
        <v>443</v>
      </c>
      <c r="D78" t="s">
        <v>408</v>
      </c>
      <c r="E78" s="4" t="str">
        <f>HYPERLINK("http://snap.windin.com/ns/bulletin.php?id=21953668&amp;type=1", "恒华科技:首次公开发行股票并在创业板上市之上市公告书")</f>
        <v>恒华科技:首次公开发行股票并在创业板上市之上市公告书</v>
      </c>
      <c r="F78" t="s">
        <v>960</v>
      </c>
    </row>
    <row r="79" spans="1:6" x14ac:dyDescent="0.15">
      <c r="A79" s="1">
        <v>41661</v>
      </c>
      <c r="B79" t="s">
        <v>38</v>
      </c>
      <c r="C79" t="s">
        <v>442</v>
      </c>
      <c r="D79" t="s">
        <v>389</v>
      </c>
      <c r="E79" s="4" t="str">
        <f>HYPERLINK("http://snap.windin.com/ns/bulletin.php?id=21953680&amp;type=1", "思美传媒:首次公开发行股票上市公告书")</f>
        <v>思美传媒:首次公开发行股票上市公告书</v>
      </c>
      <c r="F79" t="s">
        <v>961</v>
      </c>
    </row>
    <row r="80" spans="1:6" x14ac:dyDescent="0.15">
      <c r="A80" s="1">
        <v>41661</v>
      </c>
      <c r="B80" t="s">
        <v>41</v>
      </c>
      <c r="C80" t="s">
        <v>445</v>
      </c>
      <c r="D80" t="s">
        <v>389</v>
      </c>
      <c r="E80" s="4" t="str">
        <f>HYPERLINK("http://snap.windin.com/ns/bulletin.php?id=21952982&amp;type=1", "天赐材料:首次公开发行股票上市公告书")</f>
        <v>天赐材料:首次公开发行股票上市公告书</v>
      </c>
      <c r="F80" t="s">
        <v>962</v>
      </c>
    </row>
    <row r="81" spans="1:6" x14ac:dyDescent="0.15">
      <c r="A81" s="1">
        <v>41661</v>
      </c>
      <c r="B81" t="s">
        <v>42</v>
      </c>
      <c r="C81" t="s">
        <v>446</v>
      </c>
      <c r="D81" t="s">
        <v>389</v>
      </c>
      <c r="E81" s="4" t="str">
        <f>HYPERLINK("http://snap.windin.com/ns/bulletin.php?id=21952978&amp;type=1", "众信旅游:首次公开发行股票上市公告书")</f>
        <v>众信旅游:首次公开发行股票上市公告书</v>
      </c>
      <c r="F81" t="s">
        <v>963</v>
      </c>
    </row>
    <row r="82" spans="1:6" x14ac:dyDescent="0.15">
      <c r="A82" s="1">
        <v>41660</v>
      </c>
      <c r="B82" t="s">
        <v>45</v>
      </c>
      <c r="C82" t="s">
        <v>450</v>
      </c>
      <c r="D82" t="s">
        <v>402</v>
      </c>
      <c r="E82" s="4" t="str">
        <f>HYPERLINK("http://snap.windin.com/ns/bulletin.php?id=21941896&amp;type=1", "应流股份:首次公开发行A股股票上市公告书")</f>
        <v>应流股份:首次公开发行A股股票上市公告书</v>
      </c>
      <c r="F82" t="s">
        <v>964</v>
      </c>
    </row>
    <row r="83" spans="1:6" x14ac:dyDescent="0.15">
      <c r="A83" s="1">
        <v>41659</v>
      </c>
      <c r="B83" t="s">
        <v>14</v>
      </c>
      <c r="C83" t="s">
        <v>406</v>
      </c>
      <c r="D83" t="s">
        <v>455</v>
      </c>
      <c r="E83" s="4" t="str">
        <f>HYPERLINK("http://snap.windin.com/ns/bulletin.php?id=21933382&amp;type=1", "光环新网:首次公开发行股票并在创业板上市招股说明书")</f>
        <v>光环新网:首次公开发行股票并在创业板上市招股说明书</v>
      </c>
      <c r="F83" t="s">
        <v>965</v>
      </c>
    </row>
    <row r="84" spans="1:6" x14ac:dyDescent="0.15">
      <c r="A84" s="1">
        <v>41659</v>
      </c>
      <c r="B84" t="s">
        <v>49</v>
      </c>
      <c r="C84" t="s">
        <v>454</v>
      </c>
      <c r="D84" t="s">
        <v>407</v>
      </c>
      <c r="E84" s="4" t="str">
        <f>HYPERLINK("http://snap.windin.com/ns/bulletin.php?id=21933362&amp;type=1", "天保重装:首次公开发行股票并在创业板上市公告书提示性公告")</f>
        <v>天保重装:首次公开发行股票并在创业板上市公告书提示性公告</v>
      </c>
      <c r="F84" t="s">
        <v>966</v>
      </c>
    </row>
    <row r="85" spans="1:6" x14ac:dyDescent="0.15">
      <c r="A85" s="1">
        <v>41659</v>
      </c>
      <c r="B85" t="s">
        <v>49</v>
      </c>
      <c r="C85" t="s">
        <v>454</v>
      </c>
      <c r="D85" t="s">
        <v>412</v>
      </c>
      <c r="E85" s="4" t="str">
        <f>HYPERLINK("http://snap.windin.com/ns/bulletin.php?id=21933384&amp;type=1", "天保重装:首次公开发行股票并在创业板上市上市公告书")</f>
        <v>天保重装:首次公开发行股票并在创业板上市上市公告书</v>
      </c>
      <c r="F85" t="s">
        <v>967</v>
      </c>
    </row>
    <row r="86" spans="1:6" x14ac:dyDescent="0.15">
      <c r="A86" s="1">
        <v>41659</v>
      </c>
      <c r="B86" t="s">
        <v>47</v>
      </c>
      <c r="C86" t="s">
        <v>452</v>
      </c>
      <c r="D86" t="s">
        <v>407</v>
      </c>
      <c r="E86" s="4" t="str">
        <f>HYPERLINK("http://snap.windin.com/ns/bulletin.php?id=21933458&amp;type=1", "炬华科技:首次公开发行股票并在创业板上市公告书提示性公告")</f>
        <v>炬华科技:首次公开发行股票并在创业板上市公告书提示性公告</v>
      </c>
      <c r="F86" t="s">
        <v>968</v>
      </c>
    </row>
    <row r="87" spans="1:6" x14ac:dyDescent="0.15">
      <c r="A87" s="1">
        <v>41659</v>
      </c>
      <c r="B87" t="s">
        <v>47</v>
      </c>
      <c r="C87" t="s">
        <v>452</v>
      </c>
      <c r="D87" t="s">
        <v>408</v>
      </c>
      <c r="E87" s="4" t="str">
        <f>HYPERLINK("http://snap.windin.com/ns/bulletin.php?id=21933470&amp;type=1", "炬华科技:首次公开发行股票并在创业板上市之上市公告书")</f>
        <v>炬华科技:首次公开发行股票并在创业板上市之上市公告书</v>
      </c>
      <c r="F87" t="s">
        <v>969</v>
      </c>
    </row>
    <row r="88" spans="1:6" x14ac:dyDescent="0.15">
      <c r="A88" s="1">
        <v>41659</v>
      </c>
      <c r="B88" t="s">
        <v>48</v>
      </c>
      <c r="C88" t="s">
        <v>453</v>
      </c>
      <c r="D88" t="s">
        <v>407</v>
      </c>
      <c r="E88" s="4" t="str">
        <f>HYPERLINK("http://snap.windin.com/ns/bulletin.php?id=21933462&amp;type=1", "全通教育:首次公开发行股票并在创业板上市公告书提示性公告")</f>
        <v>全通教育:首次公开发行股票并在创业板上市公告书提示性公告</v>
      </c>
      <c r="F88" t="s">
        <v>970</v>
      </c>
    </row>
    <row r="89" spans="1:6" x14ac:dyDescent="0.15">
      <c r="A89" s="1">
        <v>41659</v>
      </c>
      <c r="B89" t="s">
        <v>48</v>
      </c>
      <c r="C89" t="s">
        <v>453</v>
      </c>
      <c r="D89" t="s">
        <v>408</v>
      </c>
      <c r="E89" s="4" t="str">
        <f>HYPERLINK("http://snap.windin.com/ns/bulletin.php?id=21933466&amp;type=1", "全通教育:首次公开发行股票并在创业板上市之上市公告书")</f>
        <v>全通教育:首次公开发行股票并在创业板上市之上市公告书</v>
      </c>
      <c r="F89" t="s">
        <v>971</v>
      </c>
    </row>
    <row r="90" spans="1:6" x14ac:dyDescent="0.15">
      <c r="A90" s="1">
        <v>41659</v>
      </c>
      <c r="B90" t="s">
        <v>50</v>
      </c>
      <c r="C90" t="s">
        <v>456</v>
      </c>
      <c r="D90" t="s">
        <v>407</v>
      </c>
      <c r="E90" s="4" t="str">
        <f>HYPERLINK("http://snap.windin.com/ns/bulletin.php?id=21933282&amp;type=1", "楚天科技:首次公开发行股票并在创业板上市公告书提示性公告")</f>
        <v>楚天科技:首次公开发行股票并在创业板上市公告书提示性公告</v>
      </c>
      <c r="F90" t="s">
        <v>972</v>
      </c>
    </row>
    <row r="91" spans="1:6" x14ac:dyDescent="0.15">
      <c r="A91" s="1">
        <v>41659</v>
      </c>
      <c r="B91" t="s">
        <v>50</v>
      </c>
      <c r="C91" t="s">
        <v>456</v>
      </c>
      <c r="D91" t="s">
        <v>389</v>
      </c>
      <c r="E91" s="4" t="str">
        <f>HYPERLINK("http://snap.windin.com/ns/bulletin.php?id=21933310&amp;type=1", "楚天科技:首次公开发行股票上市公告书")</f>
        <v>楚天科技:首次公开发行股票上市公告书</v>
      </c>
      <c r="F91" t="s">
        <v>973</v>
      </c>
    </row>
    <row r="92" spans="1:6" x14ac:dyDescent="0.15">
      <c r="A92" s="1">
        <v>41659</v>
      </c>
      <c r="B92" t="s">
        <v>46</v>
      </c>
      <c r="C92" t="s">
        <v>451</v>
      </c>
      <c r="D92" t="s">
        <v>408</v>
      </c>
      <c r="E92" s="4" t="str">
        <f>HYPERLINK("http://snap.windin.com/ns/bulletin.php?id=21933610&amp;type=1", "我武生物:首次公开发行股票并在创业板上市之上市公告书")</f>
        <v>我武生物:首次公开发行股票并在创业板上市之上市公告书</v>
      </c>
      <c r="F92" t="s">
        <v>974</v>
      </c>
    </row>
    <row r="93" spans="1:6" x14ac:dyDescent="0.15">
      <c r="A93" s="1">
        <v>41659</v>
      </c>
      <c r="B93" t="s">
        <v>46</v>
      </c>
      <c r="C93" t="s">
        <v>451</v>
      </c>
      <c r="D93" t="s">
        <v>410</v>
      </c>
      <c r="E93" s="4" t="str">
        <f>HYPERLINK("http://snap.windin.com/ns/bulletin.php?id=21933612&amp;type=1", "我武生物:首次公开发行股票并在创业板上市之上市公告书提示性公告")</f>
        <v>我武生物:首次公开发行股票并在创业板上市之上市公告书提示性公告</v>
      </c>
      <c r="F93" t="s">
        <v>975</v>
      </c>
    </row>
    <row r="94" spans="1:6" x14ac:dyDescent="0.15">
      <c r="A94" s="1">
        <v>41659</v>
      </c>
      <c r="B94" t="s">
        <v>51</v>
      </c>
      <c r="C94" t="s">
        <v>457</v>
      </c>
      <c r="D94" t="s">
        <v>389</v>
      </c>
      <c r="E94" s="4" t="str">
        <f>HYPERLINK("http://snap.windin.com/ns/bulletin.php?id=21933268&amp;type=1", "光洋股份:首次公开发行股票上市公告书")</f>
        <v>光洋股份:首次公开发行股票上市公告书</v>
      </c>
      <c r="F94" t="s">
        <v>976</v>
      </c>
    </row>
    <row r="95" spans="1:6" x14ac:dyDescent="0.15">
      <c r="A95" s="1">
        <v>41659</v>
      </c>
      <c r="B95" t="s">
        <v>52</v>
      </c>
      <c r="C95" t="s">
        <v>458</v>
      </c>
      <c r="D95" t="s">
        <v>389</v>
      </c>
      <c r="E95" s="4" t="str">
        <f>HYPERLINK("http://snap.windin.com/ns/bulletin.php?id=21933264&amp;type=1", "良信电器:首次公开发行股票上市公告书")</f>
        <v>良信电器:首次公开发行股票上市公告书</v>
      </c>
      <c r="F95" t="s">
        <v>977</v>
      </c>
    </row>
    <row r="96" spans="1:6" x14ac:dyDescent="0.15">
      <c r="A96" s="1">
        <v>41659</v>
      </c>
      <c r="B96" t="s">
        <v>10</v>
      </c>
      <c r="C96" t="s">
        <v>393</v>
      </c>
      <c r="D96" t="s">
        <v>389</v>
      </c>
      <c r="E96" s="4" t="str">
        <f>HYPERLINK("http://snap.windin.com/ns/bulletin.php?id=21933540&amp;type=1", "新宝股份:首次公开发行股票上市公告书")</f>
        <v>新宝股份:首次公开发行股票上市公告书</v>
      </c>
      <c r="F96" t="s">
        <v>978</v>
      </c>
    </row>
    <row r="97" spans="1:6" x14ac:dyDescent="0.15">
      <c r="A97" s="1">
        <v>41657</v>
      </c>
      <c r="B97" t="s">
        <v>36</v>
      </c>
      <c r="C97" t="s">
        <v>438</v>
      </c>
      <c r="D97" t="s">
        <v>460</v>
      </c>
      <c r="E97" s="4" t="str">
        <f>HYPERLINK("http://snap.windin.com/ns/bulletin.php?id=21919108&amp;type=1", "鹏翎股份:关于公司首次公开发行股票并在创业板上市招股说明书之更正公告")</f>
        <v>鹏翎股份:关于公司首次公开发行股票并在创业板上市招股说明书之更正公告</v>
      </c>
      <c r="F97" t="s">
        <v>979</v>
      </c>
    </row>
    <row r="98" spans="1:6" x14ac:dyDescent="0.15">
      <c r="A98" s="1">
        <v>41657</v>
      </c>
      <c r="B98" t="s">
        <v>36</v>
      </c>
      <c r="C98" t="s">
        <v>438</v>
      </c>
      <c r="D98" t="s">
        <v>459</v>
      </c>
      <c r="E98" s="4" t="str">
        <f>HYPERLINK("http://snap.windin.com/ns/bulletin.php?id=21919112&amp;type=1", "鹏翎股份:首次公开发行股票并在创业板上市招股说明书(更新后)")</f>
        <v>鹏翎股份:首次公开发行股票并在创业板上市招股说明书(更新后)</v>
      </c>
      <c r="F98" t="s">
        <v>980</v>
      </c>
    </row>
    <row r="99" spans="1:6" x14ac:dyDescent="0.15">
      <c r="A99" s="1">
        <v>41656</v>
      </c>
      <c r="B99" t="s">
        <v>16</v>
      </c>
      <c r="C99" t="s">
        <v>411</v>
      </c>
      <c r="D99" t="s">
        <v>455</v>
      </c>
      <c r="E99" s="4" t="str">
        <f>HYPERLINK("http://snap.windin.com/ns/bulletin.php?id=21910426&amp;type=1", "斯莱克:首次公开发行股票并在创业板上市招股说明书")</f>
        <v>斯莱克:首次公开发行股票并在创业板上市招股说明书</v>
      </c>
      <c r="F99" t="s">
        <v>981</v>
      </c>
    </row>
    <row r="100" spans="1:6" x14ac:dyDescent="0.15">
      <c r="A100" s="1">
        <v>41656</v>
      </c>
      <c r="B100" t="s">
        <v>13</v>
      </c>
      <c r="C100" t="s">
        <v>404</v>
      </c>
      <c r="D100" t="s">
        <v>455</v>
      </c>
      <c r="E100" s="4" t="str">
        <f>HYPERLINK("http://snap.windin.com/ns/bulletin.php?id=21910010&amp;type=1", "东方通:首次公开发行股票并在创业板上市招股说明书")</f>
        <v>东方通:首次公开发行股票并在创业板上市招股说明书</v>
      </c>
      <c r="F100" t="s">
        <v>982</v>
      </c>
    </row>
    <row r="101" spans="1:6" x14ac:dyDescent="0.15">
      <c r="A101" s="1">
        <v>41656</v>
      </c>
      <c r="B101" t="s">
        <v>15</v>
      </c>
      <c r="C101" t="s">
        <v>409</v>
      </c>
      <c r="D101" t="s">
        <v>455</v>
      </c>
      <c r="E101" s="4" t="str">
        <f>HYPERLINK("http://snap.windin.com/ns/bulletin.php?id=21911034&amp;type=1", "绿盟科技:首次公开发行股票并在创业板上市招股说明书")</f>
        <v>绿盟科技:首次公开发行股票并在创业板上市招股说明书</v>
      </c>
      <c r="F101" t="s">
        <v>983</v>
      </c>
    </row>
    <row r="102" spans="1:6" x14ac:dyDescent="0.15">
      <c r="A102" s="1">
        <v>41656</v>
      </c>
      <c r="B102" t="s">
        <v>19</v>
      </c>
      <c r="C102" t="s">
        <v>416</v>
      </c>
      <c r="D102" t="s">
        <v>455</v>
      </c>
      <c r="E102" s="4" t="str">
        <f>HYPERLINK("http://snap.windin.com/ns/bulletin.php?id=21910946&amp;type=1", "东方网力:首次公开发行股票并在创业板上市招股说明书")</f>
        <v>东方网力:首次公开发行股票并在创业板上市招股说明书</v>
      </c>
      <c r="F102" t="s">
        <v>984</v>
      </c>
    </row>
    <row r="103" spans="1:6" x14ac:dyDescent="0.15">
      <c r="A103" s="1">
        <v>41656</v>
      </c>
      <c r="B103" t="s">
        <v>20</v>
      </c>
      <c r="C103" t="s">
        <v>418</v>
      </c>
      <c r="D103" t="s">
        <v>455</v>
      </c>
      <c r="E103" s="4" t="str">
        <f>HYPERLINK("http://snap.windin.com/ns/bulletin.php?id=21910754&amp;type=1", "博腾股份:首次公开发行股票并在创业板上市招股说明书")</f>
        <v>博腾股份:首次公开发行股票并在创业板上市招股说明书</v>
      </c>
      <c r="F103" t="s">
        <v>985</v>
      </c>
    </row>
    <row r="104" spans="1:6" x14ac:dyDescent="0.15">
      <c r="A104" s="1">
        <v>41656</v>
      </c>
      <c r="B104" t="s">
        <v>17</v>
      </c>
      <c r="C104" t="s">
        <v>413</v>
      </c>
      <c r="D104" t="s">
        <v>399</v>
      </c>
      <c r="E104" s="4" t="str">
        <f>HYPERLINK("http://snap.windin.com/ns/bulletin.php?id=21910980&amp;type=1", "跃岭股份:首次公开发行股票招股说明书")</f>
        <v>跃岭股份:首次公开发行股票招股说明书</v>
      </c>
      <c r="F104" t="s">
        <v>986</v>
      </c>
    </row>
    <row r="105" spans="1:6" x14ac:dyDescent="0.15">
      <c r="A105" s="1">
        <v>41656</v>
      </c>
      <c r="B105" t="s">
        <v>17</v>
      </c>
      <c r="C105" t="s">
        <v>413</v>
      </c>
      <c r="D105" t="s">
        <v>400</v>
      </c>
      <c r="E105" s="4" t="str">
        <f>HYPERLINK("http://snap.windin.com/ns/bulletin.php?id=21910978&amp;type=1", "跃岭股份:首次公开发行股票招股说明书摘要")</f>
        <v>跃岭股份:首次公开发行股票招股说明书摘要</v>
      </c>
      <c r="F105" t="s">
        <v>987</v>
      </c>
    </row>
    <row r="106" spans="1:6" x14ac:dyDescent="0.15">
      <c r="A106" s="1">
        <v>41656</v>
      </c>
      <c r="B106" t="s">
        <v>18</v>
      </c>
      <c r="C106" t="s">
        <v>414</v>
      </c>
      <c r="D106" t="s">
        <v>399</v>
      </c>
      <c r="E106" s="4" t="str">
        <f>HYPERLINK("http://snap.windin.com/ns/bulletin.php?id=21911234&amp;type=1", "金莱特:首次公开发行股票招股说明书")</f>
        <v>金莱特:首次公开发行股票招股说明书</v>
      </c>
      <c r="F106" t="s">
        <v>988</v>
      </c>
    </row>
    <row r="107" spans="1:6" x14ac:dyDescent="0.15">
      <c r="A107" s="1">
        <v>41656</v>
      </c>
      <c r="B107" t="s">
        <v>18</v>
      </c>
      <c r="C107" t="s">
        <v>414</v>
      </c>
      <c r="D107" t="s">
        <v>400</v>
      </c>
      <c r="E107" s="4" t="str">
        <f>HYPERLINK("http://snap.windin.com/ns/bulletin.php?id=21911236&amp;type=1", "金莱特:首次公开发行股票招股说明书摘要")</f>
        <v>金莱特:首次公开发行股票招股说明书摘要</v>
      </c>
      <c r="F107" t="s">
        <v>989</v>
      </c>
    </row>
    <row r="108" spans="1:6" x14ac:dyDescent="0.15">
      <c r="A108" s="1">
        <v>41656</v>
      </c>
      <c r="B108" t="s">
        <v>23</v>
      </c>
      <c r="C108" t="s">
        <v>422</v>
      </c>
      <c r="D108" t="s">
        <v>399</v>
      </c>
      <c r="E108" s="4" t="str">
        <f>HYPERLINK("http://snap.windin.com/ns/bulletin.php?id=21911274&amp;type=1", "金轮股份:首次公开发行股票招股说明书")</f>
        <v>金轮股份:首次公开发行股票招股说明书</v>
      </c>
      <c r="F108" t="s">
        <v>990</v>
      </c>
    </row>
    <row r="109" spans="1:6" x14ac:dyDescent="0.15">
      <c r="A109" s="1">
        <v>41656</v>
      </c>
      <c r="B109" t="s">
        <v>23</v>
      </c>
      <c r="C109" t="s">
        <v>422</v>
      </c>
      <c r="D109" t="s">
        <v>400</v>
      </c>
      <c r="E109" s="4" t="str">
        <f>HYPERLINK("http://snap.windin.com/ns/bulletin.php?id=21911270&amp;type=1", "金轮股份:首次公开发行股票招股说明书摘要")</f>
        <v>金轮股份:首次公开发行股票招股说明书摘要</v>
      </c>
      <c r="F109" t="s">
        <v>991</v>
      </c>
    </row>
    <row r="110" spans="1:6" x14ac:dyDescent="0.15">
      <c r="A110" s="1">
        <v>41656</v>
      </c>
      <c r="B110" t="s">
        <v>25</v>
      </c>
      <c r="C110" t="s">
        <v>424</v>
      </c>
      <c r="D110" t="s">
        <v>399</v>
      </c>
      <c r="E110" s="4" t="str">
        <f>HYPERLINK("http://snap.windin.com/ns/bulletin.php?id=21911016&amp;type=1", "麦趣尔:首次公开发行股票招股说明书")</f>
        <v>麦趣尔:首次公开发行股票招股说明书</v>
      </c>
      <c r="F110" t="s">
        <v>992</v>
      </c>
    </row>
    <row r="111" spans="1:6" x14ac:dyDescent="0.15">
      <c r="A111" s="1">
        <v>41656</v>
      </c>
      <c r="B111" t="s">
        <v>25</v>
      </c>
      <c r="C111" t="s">
        <v>424</v>
      </c>
      <c r="D111" t="s">
        <v>400</v>
      </c>
      <c r="E111" s="4" t="str">
        <f>HYPERLINK("http://snap.windin.com/ns/bulletin.php?id=21911008&amp;type=1", "麦趣尔:首次公开发行股票招股说明书摘要")</f>
        <v>麦趣尔:首次公开发行股票招股说明书摘要</v>
      </c>
      <c r="F111" t="s">
        <v>993</v>
      </c>
    </row>
    <row r="112" spans="1:6" x14ac:dyDescent="0.15">
      <c r="A112" s="1">
        <v>41656</v>
      </c>
      <c r="B112" t="s">
        <v>27</v>
      </c>
      <c r="C112" t="s">
        <v>426</v>
      </c>
      <c r="D112" t="s">
        <v>399</v>
      </c>
      <c r="E112" s="4" t="str">
        <f>HYPERLINK("http://snap.windin.com/ns/bulletin.php?id=21909894&amp;type=1", "友邦吊顶:首次公开发行股票招股说明书")</f>
        <v>友邦吊顶:首次公开发行股票招股说明书</v>
      </c>
      <c r="F112" t="s">
        <v>994</v>
      </c>
    </row>
    <row r="113" spans="1:6" x14ac:dyDescent="0.15">
      <c r="A113" s="1">
        <v>41656</v>
      </c>
      <c r="B113" t="s">
        <v>27</v>
      </c>
      <c r="C113" t="s">
        <v>426</v>
      </c>
      <c r="D113" t="s">
        <v>400</v>
      </c>
      <c r="E113" s="4" t="str">
        <f>HYPERLINK("http://snap.windin.com/ns/bulletin.php?id=21909896&amp;type=1", "友邦吊顶:首次公开发行股票招股说明书摘要")</f>
        <v>友邦吊顶:首次公开发行股票招股说明书摘要</v>
      </c>
      <c r="F113" t="s">
        <v>995</v>
      </c>
    </row>
    <row r="114" spans="1:6" x14ac:dyDescent="0.15">
      <c r="A114" s="1">
        <v>41655</v>
      </c>
      <c r="B114" t="s">
        <v>53</v>
      </c>
      <c r="C114" t="s">
        <v>463</v>
      </c>
      <c r="D114" t="s">
        <v>402</v>
      </c>
      <c r="E114" s="4" t="str">
        <f>HYPERLINK("http://snap.windin.com/ns/bulletin.php?id=21898144&amp;type=1", "纽威股份:首次公开发行A股股票上市公告书")</f>
        <v>纽威股份:首次公开发行A股股票上市公告书</v>
      </c>
      <c r="F114" t="s">
        <v>996</v>
      </c>
    </row>
    <row r="115" spans="1:6" x14ac:dyDescent="0.15">
      <c r="A115" s="1">
        <v>41655</v>
      </c>
      <c r="B115" t="s">
        <v>12</v>
      </c>
      <c r="C115" t="s">
        <v>403</v>
      </c>
      <c r="D115" t="s">
        <v>464</v>
      </c>
      <c r="E115" s="4" t="str">
        <f>HYPERLINK("http://snap.windin.com/ns/bulletin.php?id=21897864&amp;type=1", "晶方科技:首次公开发行股票招股说明书摘要(修订版)")</f>
        <v>晶方科技:首次公开发行股票招股说明书摘要(修订版)</v>
      </c>
      <c r="F115" t="s">
        <v>997</v>
      </c>
    </row>
    <row r="116" spans="1:6" x14ac:dyDescent="0.15">
      <c r="A116" s="1">
        <v>41655</v>
      </c>
      <c r="B116" t="s">
        <v>28</v>
      </c>
      <c r="C116" t="s">
        <v>427</v>
      </c>
      <c r="D116" t="s">
        <v>462</v>
      </c>
      <c r="E116" s="4" t="str">
        <f>HYPERLINK("http://snap.windin.com/ns/bulletin.php?id=21900312&amp;type=1", "陕西煤业:首次公开发行A股股票招股说明书")</f>
        <v>陕西煤业:首次公开发行A股股票招股说明书</v>
      </c>
      <c r="F116" t="s">
        <v>998</v>
      </c>
    </row>
    <row r="117" spans="1:6" x14ac:dyDescent="0.15">
      <c r="A117" s="1">
        <v>41655</v>
      </c>
      <c r="B117" t="s">
        <v>28</v>
      </c>
      <c r="C117" t="s">
        <v>427</v>
      </c>
      <c r="D117" t="s">
        <v>461</v>
      </c>
      <c r="E117" s="4" t="str">
        <f>HYPERLINK("http://snap.windin.com/ns/bulletin.php?id=21902554&amp;type=1", "陕西煤业:首次公开发行A股股票招股说明书摘要")</f>
        <v>陕西煤业:首次公开发行A股股票招股说明书摘要</v>
      </c>
      <c r="F117" t="s">
        <v>999</v>
      </c>
    </row>
    <row r="118" spans="1:6" x14ac:dyDescent="0.15">
      <c r="A118" s="1">
        <v>41655</v>
      </c>
      <c r="B118" t="s">
        <v>22</v>
      </c>
      <c r="C118" t="s">
        <v>421</v>
      </c>
      <c r="D118" t="s">
        <v>455</v>
      </c>
      <c r="E118" s="4" t="str">
        <f>HYPERLINK("http://snap.windin.com/ns/bulletin.php?id=21900340&amp;type=1", "溢多利:首次公开发行股票并在创业板上市招股说明书")</f>
        <v>溢多利:首次公开发行股票并在创业板上市招股说明书</v>
      </c>
      <c r="F118" t="s">
        <v>1000</v>
      </c>
    </row>
    <row r="119" spans="1:6" x14ac:dyDescent="0.15">
      <c r="A119" s="1">
        <v>41655</v>
      </c>
      <c r="B119" t="s">
        <v>26</v>
      </c>
      <c r="C119" t="s">
        <v>425</v>
      </c>
      <c r="D119" t="s">
        <v>455</v>
      </c>
      <c r="E119" s="4" t="str">
        <f>HYPERLINK("http://snap.windin.com/ns/bulletin.php?id=21900276&amp;type=1", "安硕信息:首次公开发行股票并在创业板上市招股说明书")</f>
        <v>安硕信息:首次公开发行股票并在创业板上市招股说明书</v>
      </c>
      <c r="F119" t="s">
        <v>1001</v>
      </c>
    </row>
    <row r="120" spans="1:6" x14ac:dyDescent="0.15">
      <c r="A120" s="1">
        <v>41655</v>
      </c>
      <c r="B120" t="s">
        <v>34</v>
      </c>
      <c r="C120" t="s">
        <v>436</v>
      </c>
      <c r="D120" t="s">
        <v>455</v>
      </c>
      <c r="E120" s="4" t="str">
        <f>HYPERLINK("http://snap.windin.com/ns/bulletin.php?id=21900272&amp;type=1", "鼎捷软件:首次公开发行股票并在创业板上市招股说明书")</f>
        <v>鼎捷软件:首次公开发行股票并在创业板上市招股说明书</v>
      </c>
      <c r="F120" t="s">
        <v>1002</v>
      </c>
    </row>
    <row r="121" spans="1:6" x14ac:dyDescent="0.15">
      <c r="A121" s="1">
        <v>41655</v>
      </c>
      <c r="B121" t="s">
        <v>33</v>
      </c>
      <c r="C121" t="s">
        <v>435</v>
      </c>
      <c r="D121" t="s">
        <v>455</v>
      </c>
      <c r="E121" s="4" t="str">
        <f>HYPERLINK("http://snap.windin.com/ns/bulletin.php?id=21899560&amp;type=1", "易事特:首次公开发行股票并在创业板上市招股说明书")</f>
        <v>易事特:首次公开发行股票并在创业板上市招股说明书</v>
      </c>
      <c r="F121" t="s">
        <v>1003</v>
      </c>
    </row>
    <row r="122" spans="1:6" x14ac:dyDescent="0.15">
      <c r="A122" s="1">
        <v>41655</v>
      </c>
      <c r="B122" t="s">
        <v>7</v>
      </c>
      <c r="C122" t="s">
        <v>388</v>
      </c>
      <c r="D122" t="s">
        <v>399</v>
      </c>
      <c r="E122" s="4" t="str">
        <f>HYPERLINK("http://snap.windin.com/ns/bulletin.php?id=21900386&amp;type=1", "岭南园林:首次公开发行股票招股说明书")</f>
        <v>岭南园林:首次公开发行股票招股说明书</v>
      </c>
      <c r="F122" t="s">
        <v>1004</v>
      </c>
    </row>
    <row r="123" spans="1:6" x14ac:dyDescent="0.15">
      <c r="A123" s="1">
        <v>41655</v>
      </c>
      <c r="B123" t="s">
        <v>7</v>
      </c>
      <c r="C123" t="s">
        <v>388</v>
      </c>
      <c r="D123" t="s">
        <v>400</v>
      </c>
      <c r="E123" s="4" t="str">
        <f>HYPERLINK("http://snap.windin.com/ns/bulletin.php?id=21900382&amp;type=1", "岭南园林:首次公开发行股票招股说明书摘要")</f>
        <v>岭南园林:首次公开发行股票招股说明书摘要</v>
      </c>
      <c r="F123" t="s">
        <v>1005</v>
      </c>
    </row>
    <row r="124" spans="1:6" x14ac:dyDescent="0.15">
      <c r="A124" s="1">
        <v>41655</v>
      </c>
      <c r="B124" t="s">
        <v>21</v>
      </c>
      <c r="C124" t="s">
        <v>419</v>
      </c>
      <c r="D124" t="s">
        <v>399</v>
      </c>
      <c r="E124" s="4" t="str">
        <f>HYPERLINK("http://snap.windin.com/ns/bulletin.php?id=21900372&amp;type=1", "金贵银业:首次公开发行股票招股说明书")</f>
        <v>金贵银业:首次公开发行股票招股说明书</v>
      </c>
      <c r="F124" t="s">
        <v>1006</v>
      </c>
    </row>
    <row r="125" spans="1:6" x14ac:dyDescent="0.15">
      <c r="A125" s="1">
        <v>41655</v>
      </c>
      <c r="B125" t="s">
        <v>21</v>
      </c>
      <c r="C125" t="s">
        <v>419</v>
      </c>
      <c r="D125" t="s">
        <v>400</v>
      </c>
      <c r="E125" s="4" t="str">
        <f>HYPERLINK("http://snap.windin.com/ns/bulletin.php?id=21900384&amp;type=1", "金贵银业:首次公开发行股票招股说明书摘要")</f>
        <v>金贵银业:首次公开发行股票招股说明书摘要</v>
      </c>
      <c r="F125" t="s">
        <v>1007</v>
      </c>
    </row>
    <row r="126" spans="1:6" x14ac:dyDescent="0.15">
      <c r="A126" s="1">
        <v>41655</v>
      </c>
      <c r="B126" t="s">
        <v>24</v>
      </c>
      <c r="C126" t="s">
        <v>423</v>
      </c>
      <c r="D126" t="s">
        <v>399</v>
      </c>
      <c r="E126" s="4" t="str">
        <f>HYPERLINK("http://snap.windin.com/ns/bulletin.php?id=21900380&amp;type=1", "牧原股份:首次公开发行股票招股说明书")</f>
        <v>牧原股份:首次公开发行股票招股说明书</v>
      </c>
      <c r="F126" t="s">
        <v>1008</v>
      </c>
    </row>
    <row r="127" spans="1:6" x14ac:dyDescent="0.15">
      <c r="A127" s="1">
        <v>41655</v>
      </c>
      <c r="B127" t="s">
        <v>24</v>
      </c>
      <c r="C127" t="s">
        <v>423</v>
      </c>
      <c r="D127" t="s">
        <v>400</v>
      </c>
      <c r="E127" s="4" t="str">
        <f>HYPERLINK("http://snap.windin.com/ns/bulletin.php?id=21900376&amp;type=1", "牧原股份:首次公开发行股票招股说明书摘要")</f>
        <v>牧原股份:首次公开发行股票招股说明书摘要</v>
      </c>
      <c r="F127" t="s">
        <v>1009</v>
      </c>
    </row>
    <row r="128" spans="1:6" x14ac:dyDescent="0.15">
      <c r="A128" s="1">
        <v>41655</v>
      </c>
      <c r="B128" t="s">
        <v>29</v>
      </c>
      <c r="C128" t="s">
        <v>430</v>
      </c>
      <c r="D128" t="s">
        <v>399</v>
      </c>
      <c r="E128" s="4" t="str">
        <f>HYPERLINK("http://snap.windin.com/ns/bulletin.php?id=21900324&amp;type=1", "欧浦钢网:首次公开发行股票招股说明书")</f>
        <v>欧浦钢网:首次公开发行股票招股说明书</v>
      </c>
      <c r="F128" t="s">
        <v>1010</v>
      </c>
    </row>
    <row r="129" spans="1:6" x14ac:dyDescent="0.15">
      <c r="A129" s="1">
        <v>41655</v>
      </c>
      <c r="B129" t="s">
        <v>29</v>
      </c>
      <c r="C129" t="s">
        <v>430</v>
      </c>
      <c r="D129" t="s">
        <v>400</v>
      </c>
      <c r="E129" s="4" t="str">
        <f>HYPERLINK("http://snap.windin.com/ns/bulletin.php?id=21902086&amp;type=1", "欧浦钢网:首次公开发行股票招股说明书摘要")</f>
        <v>欧浦钢网:首次公开发行股票招股说明书摘要</v>
      </c>
      <c r="F129" t="s">
        <v>1011</v>
      </c>
    </row>
    <row r="130" spans="1:6" x14ac:dyDescent="0.15">
      <c r="A130" s="1">
        <v>41654</v>
      </c>
      <c r="B130" t="s">
        <v>11</v>
      </c>
      <c r="C130" t="s">
        <v>401</v>
      </c>
      <c r="D130" t="s">
        <v>465</v>
      </c>
      <c r="E130" s="4" t="str">
        <f>HYPERLINK("http://snap.windin.com/ns/bulletin.php?id=21886798&amp;type=1", "海天味业:首次公开发行股票招股意向书")</f>
        <v>海天味业:首次公开发行股票招股意向书</v>
      </c>
      <c r="F130" t="s">
        <v>1012</v>
      </c>
    </row>
    <row r="131" spans="1:6" x14ac:dyDescent="0.15">
      <c r="A131" s="1">
        <v>41654</v>
      </c>
      <c r="B131" t="s">
        <v>11</v>
      </c>
      <c r="C131" t="s">
        <v>401</v>
      </c>
      <c r="D131" t="s">
        <v>467</v>
      </c>
      <c r="E131" s="4" t="str">
        <f>HYPERLINK("http://snap.windin.com/ns/bulletin.php?id=21886756&amp;type=1", "海天味业:首次公开发行股票招股意向书附录")</f>
        <v>海天味业:首次公开发行股票招股意向书附录</v>
      </c>
      <c r="F131" t="s">
        <v>1013</v>
      </c>
    </row>
    <row r="132" spans="1:6" x14ac:dyDescent="0.15">
      <c r="A132" s="1">
        <v>41654</v>
      </c>
      <c r="B132" t="s">
        <v>11</v>
      </c>
      <c r="C132" t="s">
        <v>401</v>
      </c>
      <c r="D132" t="s">
        <v>466</v>
      </c>
      <c r="E132" s="4" t="str">
        <f>HYPERLINK("http://snap.windin.com/ns/bulletin.php?id=21886788&amp;type=1", "海天味业:首次公开发行股票招股意向书摘要")</f>
        <v>海天味业:首次公开发行股票招股意向书摘要</v>
      </c>
      <c r="F132" t="s">
        <v>1014</v>
      </c>
    </row>
    <row r="133" spans="1:6" x14ac:dyDescent="0.15">
      <c r="A133" s="1">
        <v>41654</v>
      </c>
      <c r="B133" t="s">
        <v>12</v>
      </c>
      <c r="C133" t="s">
        <v>403</v>
      </c>
      <c r="D133" t="s">
        <v>399</v>
      </c>
      <c r="E133" s="4" t="str">
        <f>HYPERLINK("http://snap.windin.com/ns/bulletin.php?id=21885880&amp;type=1", "晶方科技:首次公开发行股票招股说明书")</f>
        <v>晶方科技:首次公开发行股票招股说明书</v>
      </c>
      <c r="F133" t="s">
        <v>1015</v>
      </c>
    </row>
    <row r="134" spans="1:6" x14ac:dyDescent="0.15">
      <c r="A134" s="1">
        <v>41654</v>
      </c>
      <c r="B134" t="s">
        <v>12</v>
      </c>
      <c r="C134" t="s">
        <v>403</v>
      </c>
      <c r="D134" t="s">
        <v>400</v>
      </c>
      <c r="E134" s="4" t="str">
        <f>HYPERLINK("http://snap.windin.com/ns/bulletin.php?id=21885820&amp;type=1", "晶方科技:首次公开发行股票招股说明书摘要")</f>
        <v>晶方科技:首次公开发行股票招股说明书摘要</v>
      </c>
      <c r="F134" t="s">
        <v>1016</v>
      </c>
    </row>
    <row r="135" spans="1:6" x14ac:dyDescent="0.15">
      <c r="A135" s="1">
        <v>41654</v>
      </c>
      <c r="B135" t="s">
        <v>30</v>
      </c>
      <c r="C135" t="s">
        <v>432</v>
      </c>
      <c r="D135" t="s">
        <v>455</v>
      </c>
      <c r="E135" s="4" t="str">
        <f>HYPERLINK("http://snap.windin.com/ns/bulletin.php?id=21886226&amp;type=1", "欣泰电气:首次公开发行股票并在创业板上市招股说明书")</f>
        <v>欣泰电气:首次公开发行股票并在创业板上市招股说明书</v>
      </c>
      <c r="F135" t="s">
        <v>1017</v>
      </c>
    </row>
    <row r="136" spans="1:6" x14ac:dyDescent="0.15">
      <c r="A136" s="1">
        <v>41654</v>
      </c>
      <c r="B136" t="s">
        <v>31</v>
      </c>
      <c r="C136" t="s">
        <v>433</v>
      </c>
      <c r="D136" t="s">
        <v>455</v>
      </c>
      <c r="E136" s="4" t="str">
        <f>HYPERLINK("http://snap.windin.com/ns/bulletin.php?id=21886556&amp;type=1", "创意信息:首次公开发行股票并在创业板上市招股说明书")</f>
        <v>创意信息:首次公开发行股票并在创业板上市招股说明书</v>
      </c>
      <c r="F136" t="s">
        <v>1018</v>
      </c>
    </row>
    <row r="137" spans="1:6" x14ac:dyDescent="0.15">
      <c r="A137" s="1">
        <v>41654</v>
      </c>
      <c r="B137" t="s">
        <v>35</v>
      </c>
      <c r="C137" t="s">
        <v>437</v>
      </c>
      <c r="D137" t="s">
        <v>399</v>
      </c>
      <c r="E137" s="4" t="str">
        <f>HYPERLINK("http://snap.windin.com/ns/bulletin.php?id=21886548&amp;type=1", "金一文化:首次公开发行股票招股说明书")</f>
        <v>金一文化:首次公开发行股票招股说明书</v>
      </c>
      <c r="F137" t="s">
        <v>1019</v>
      </c>
    </row>
    <row r="138" spans="1:6" x14ac:dyDescent="0.15">
      <c r="A138" s="1">
        <v>41654</v>
      </c>
      <c r="B138" t="s">
        <v>35</v>
      </c>
      <c r="C138" t="s">
        <v>437</v>
      </c>
      <c r="D138" t="s">
        <v>400</v>
      </c>
      <c r="E138" s="4" t="str">
        <f>HYPERLINK("http://snap.windin.com/ns/bulletin.php?id=21886540&amp;type=1", "金一文化:首次公开发行股票招股说明书摘要")</f>
        <v>金一文化:首次公开发行股票招股说明书摘要</v>
      </c>
      <c r="F138" t="s">
        <v>1020</v>
      </c>
    </row>
    <row r="139" spans="1:6" x14ac:dyDescent="0.15">
      <c r="A139" s="1">
        <v>41653</v>
      </c>
      <c r="B139" t="s">
        <v>37</v>
      </c>
      <c r="C139" t="s">
        <v>441</v>
      </c>
      <c r="D139" t="s">
        <v>399</v>
      </c>
      <c r="E139" s="4" t="str">
        <f>HYPERLINK("http://snap.windin.com/ns/bulletin.php?id=21877122&amp;type=1", "贵人鸟:首次公开发行股票招股说明书")</f>
        <v>贵人鸟:首次公开发行股票招股说明书</v>
      </c>
      <c r="F139" t="s">
        <v>1021</v>
      </c>
    </row>
    <row r="140" spans="1:6" x14ac:dyDescent="0.15">
      <c r="A140" s="1">
        <v>41653</v>
      </c>
      <c r="B140" t="s">
        <v>37</v>
      </c>
      <c r="C140" t="s">
        <v>441</v>
      </c>
      <c r="D140" t="s">
        <v>400</v>
      </c>
      <c r="E140" s="4" t="str">
        <f>HYPERLINK("http://snap.windin.com/ns/bulletin.php?id=21877118&amp;type=1", "贵人鸟:首次公开发行股票招股说明书摘要")</f>
        <v>贵人鸟:首次公开发行股票招股说明书摘要</v>
      </c>
      <c r="F140" t="s">
        <v>1022</v>
      </c>
    </row>
    <row r="141" spans="1:6" x14ac:dyDescent="0.15">
      <c r="A141" s="1">
        <v>41653</v>
      </c>
      <c r="B141" t="s">
        <v>36</v>
      </c>
      <c r="C141" t="s">
        <v>438</v>
      </c>
      <c r="D141" t="s">
        <v>455</v>
      </c>
      <c r="E141" s="4" t="str">
        <f>HYPERLINK("http://snap.windin.com/ns/bulletin.php?id=21877140&amp;type=1", "鹏翎股份:首次公开发行股票并在创业板上市招股说明书")</f>
        <v>鹏翎股份:首次公开发行股票并在创业板上市招股说明书</v>
      </c>
      <c r="F141" t="s">
        <v>1023</v>
      </c>
    </row>
    <row r="142" spans="1:6" x14ac:dyDescent="0.15">
      <c r="A142" s="1">
        <v>41653</v>
      </c>
      <c r="B142" t="s">
        <v>43</v>
      </c>
      <c r="C142" t="s">
        <v>447</v>
      </c>
      <c r="D142" t="s">
        <v>455</v>
      </c>
      <c r="E142" s="4" t="str">
        <f>HYPERLINK("http://snap.windin.com/ns/bulletin.php?id=21877366&amp;type=1", "扬杰科技:首次公开发行股票并在创业板上市招股说明书")</f>
        <v>扬杰科技:首次公开发行股票并在创业板上市招股说明书</v>
      </c>
      <c r="F142" t="s">
        <v>1024</v>
      </c>
    </row>
    <row r="143" spans="1:6" x14ac:dyDescent="0.15">
      <c r="A143" s="1">
        <v>41653</v>
      </c>
      <c r="B143" t="s">
        <v>40</v>
      </c>
      <c r="C143" t="s">
        <v>444</v>
      </c>
      <c r="D143" t="s">
        <v>455</v>
      </c>
      <c r="E143" s="4" t="str">
        <f>HYPERLINK("http://snap.windin.com/ns/bulletin.php?id=21877282&amp;type=1", "汇中股份:首次公开发行股票并在创业板上市招股说明书")</f>
        <v>汇中股份:首次公开发行股票并在创业板上市招股说明书</v>
      </c>
      <c r="F143" t="s">
        <v>1025</v>
      </c>
    </row>
    <row r="144" spans="1:6" x14ac:dyDescent="0.15">
      <c r="A144" s="1">
        <v>41653</v>
      </c>
      <c r="B144" t="s">
        <v>44</v>
      </c>
      <c r="C144" t="s">
        <v>448</v>
      </c>
      <c r="D144" t="s">
        <v>455</v>
      </c>
      <c r="E144" s="4" t="str">
        <f>HYPERLINK("http://snap.windin.com/ns/bulletin.php?id=21877352&amp;type=1", "汇金股份:首次公开发行股票并在创业板上市招股说明书")</f>
        <v>汇金股份:首次公开发行股票并在创业板上市招股说明书</v>
      </c>
      <c r="F144" t="s">
        <v>1026</v>
      </c>
    </row>
    <row r="145" spans="1:6" x14ac:dyDescent="0.15">
      <c r="A145" s="1">
        <v>41653</v>
      </c>
      <c r="B145" t="s">
        <v>39</v>
      </c>
      <c r="C145" t="s">
        <v>443</v>
      </c>
      <c r="D145" t="s">
        <v>455</v>
      </c>
      <c r="E145" s="4" t="str">
        <f>HYPERLINK("http://snap.windin.com/ns/bulletin.php?id=21877132&amp;type=1", "恒华科技:首次公开发行股票并在创业板上市招股说明书")</f>
        <v>恒华科技:首次公开发行股票并在创业板上市招股说明书</v>
      </c>
      <c r="F145" t="s">
        <v>1027</v>
      </c>
    </row>
    <row r="146" spans="1:6" x14ac:dyDescent="0.15">
      <c r="A146" s="1">
        <v>41653</v>
      </c>
      <c r="B146" t="s">
        <v>9</v>
      </c>
      <c r="C146" t="s">
        <v>392</v>
      </c>
      <c r="D146" t="s">
        <v>469</v>
      </c>
      <c r="E146" s="4" t="str">
        <f>HYPERLINK("http://snap.windin.com/ns/bulletin.php?id=21877274&amp;type=1", "东易日盛:首次公开发行股票并上市招股说明书")</f>
        <v>东易日盛:首次公开发行股票并上市招股说明书</v>
      </c>
      <c r="F146" t="s">
        <v>1028</v>
      </c>
    </row>
    <row r="147" spans="1:6" x14ac:dyDescent="0.15">
      <c r="A147" s="1">
        <v>41653</v>
      </c>
      <c r="B147" t="s">
        <v>9</v>
      </c>
      <c r="C147" t="s">
        <v>392</v>
      </c>
      <c r="D147" t="s">
        <v>468</v>
      </c>
      <c r="E147" s="4" t="str">
        <f>HYPERLINK("http://snap.windin.com/ns/bulletin.php?id=21877278&amp;type=1", "东易日盛:首次公开发行股票并上市招股说明书摘要")</f>
        <v>东易日盛:首次公开发行股票并上市招股说明书摘要</v>
      </c>
      <c r="F147" t="s">
        <v>1029</v>
      </c>
    </row>
    <row r="148" spans="1:6" x14ac:dyDescent="0.15">
      <c r="A148" s="1">
        <v>41653</v>
      </c>
      <c r="B148" t="s">
        <v>42</v>
      </c>
      <c r="C148" t="s">
        <v>446</v>
      </c>
      <c r="D148" t="s">
        <v>399</v>
      </c>
      <c r="E148" s="4" t="str">
        <f>HYPERLINK("http://snap.windin.com/ns/bulletin.php?id=21877130&amp;type=1", "众信旅游:首次公开发行股票招股说明书")</f>
        <v>众信旅游:首次公开发行股票招股说明书</v>
      </c>
      <c r="F148" t="s">
        <v>1030</v>
      </c>
    </row>
    <row r="149" spans="1:6" x14ac:dyDescent="0.15">
      <c r="A149" s="1">
        <v>41653</v>
      </c>
      <c r="B149" t="s">
        <v>42</v>
      </c>
      <c r="C149" t="s">
        <v>446</v>
      </c>
      <c r="D149" t="s">
        <v>400</v>
      </c>
      <c r="E149" s="4" t="str">
        <f>HYPERLINK("http://snap.windin.com/ns/bulletin.php?id=21877128&amp;type=1", "众信旅游:首次公开发行股票招股说明书摘要")</f>
        <v>众信旅游:首次公开发行股票招股说明书摘要</v>
      </c>
      <c r="F149" t="s">
        <v>1031</v>
      </c>
    </row>
    <row r="150" spans="1:6" x14ac:dyDescent="0.15">
      <c r="A150" s="1">
        <v>41652</v>
      </c>
      <c r="B150" t="s">
        <v>53</v>
      </c>
      <c r="C150" t="s">
        <v>463</v>
      </c>
      <c r="D150" t="s">
        <v>399</v>
      </c>
      <c r="E150" s="4" t="str">
        <f>HYPERLINK("http://snap.windin.com/ns/bulletin.php?id=21865940&amp;type=1", "纽威股份:首次公开发行股票招股说明书")</f>
        <v>纽威股份:首次公开发行股票招股说明书</v>
      </c>
      <c r="F150" t="s">
        <v>1032</v>
      </c>
    </row>
    <row r="151" spans="1:6" x14ac:dyDescent="0.15">
      <c r="A151" s="1">
        <v>41652</v>
      </c>
      <c r="B151" t="s">
        <v>53</v>
      </c>
      <c r="C151" t="s">
        <v>463</v>
      </c>
      <c r="D151" t="s">
        <v>400</v>
      </c>
      <c r="E151" s="4" t="str">
        <f>HYPERLINK("http://snap.windin.com/ns/bulletin.php?id=21865916&amp;type=1", "纽威股份:首次公开发行股票招股说明书摘要")</f>
        <v>纽威股份:首次公开发行股票招股说明书摘要</v>
      </c>
      <c r="F151" t="s">
        <v>1033</v>
      </c>
    </row>
    <row r="152" spans="1:6" x14ac:dyDescent="0.15">
      <c r="A152" s="1">
        <v>41650</v>
      </c>
      <c r="B152" t="s">
        <v>36</v>
      </c>
      <c r="C152" t="s">
        <v>438</v>
      </c>
      <c r="D152" t="s">
        <v>470</v>
      </c>
      <c r="E152" s="4" t="str">
        <f>HYPERLINK("http://snap.windin.com/ns/bulletin.php?id=21856630&amp;type=1", "鹏翎股份:首次公开发行股票并在创业板上市招股意向书(更新后)")</f>
        <v>鹏翎股份:首次公开发行股票并在创业板上市招股意向书(更新后)</v>
      </c>
      <c r="F152" t="s">
        <v>1034</v>
      </c>
    </row>
    <row r="153" spans="1:6" x14ac:dyDescent="0.15">
      <c r="A153" s="1">
        <v>41650</v>
      </c>
      <c r="B153" t="s">
        <v>6</v>
      </c>
      <c r="C153" t="s">
        <v>386</v>
      </c>
      <c r="D153" t="s">
        <v>459</v>
      </c>
      <c r="E153" s="4" t="str">
        <f>HYPERLINK("http://snap.windin.com/ns/bulletin.php?id=21857970&amp;type=1", "安控股份:首次公开发行股票并在创业板上市招股说明书(更新后)")</f>
        <v>安控股份:首次公开发行股票并在创业板上市招股说明书(更新后)</v>
      </c>
      <c r="F153" t="s">
        <v>1035</v>
      </c>
    </row>
    <row r="154" spans="1:6" x14ac:dyDescent="0.15">
      <c r="A154" s="1">
        <v>41649</v>
      </c>
      <c r="B154" t="s">
        <v>45</v>
      </c>
      <c r="C154" t="s">
        <v>450</v>
      </c>
      <c r="D154" t="s">
        <v>399</v>
      </c>
      <c r="E154" s="4" t="str">
        <f>HYPERLINK("http://snap.windin.com/ns/bulletin.php?id=21848034&amp;type=1", "应流股份:首次公开发行股票招股说明书")</f>
        <v>应流股份:首次公开发行股票招股说明书</v>
      </c>
      <c r="F154" t="s">
        <v>1036</v>
      </c>
    </row>
    <row r="155" spans="1:6" x14ac:dyDescent="0.15">
      <c r="A155" s="1">
        <v>41649</v>
      </c>
      <c r="B155" t="s">
        <v>45</v>
      </c>
      <c r="C155" t="s">
        <v>450</v>
      </c>
      <c r="D155" t="s">
        <v>400</v>
      </c>
      <c r="E155" s="4" t="str">
        <f>HYPERLINK("http://snap.windin.com/ns/bulletin.php?id=21848028&amp;type=1", "应流股份:首次公开发行股票招股说明书摘要")</f>
        <v>应流股份:首次公开发行股票招股说明书摘要</v>
      </c>
      <c r="F155" t="s">
        <v>1037</v>
      </c>
    </row>
    <row r="156" spans="1:6" x14ac:dyDescent="0.15">
      <c r="A156" s="1">
        <v>41649</v>
      </c>
      <c r="B156" t="s">
        <v>14</v>
      </c>
      <c r="C156" t="s">
        <v>406</v>
      </c>
      <c r="D156" t="s">
        <v>471</v>
      </c>
      <c r="E156" s="4" t="str">
        <f>HYPERLINK("http://snap.windin.com/ns/bulletin.php?id=21849146&amp;type=1", "光环新网:首次公开发行股票并在创业板上市招股意向书")</f>
        <v>光环新网:首次公开发行股票并在创业板上市招股意向书</v>
      </c>
      <c r="F156" t="s">
        <v>1038</v>
      </c>
    </row>
    <row r="157" spans="1:6" x14ac:dyDescent="0.15">
      <c r="A157" s="1">
        <v>41649</v>
      </c>
      <c r="B157" t="s">
        <v>6</v>
      </c>
      <c r="C157" t="s">
        <v>386</v>
      </c>
      <c r="D157" t="s">
        <v>455</v>
      </c>
      <c r="E157" s="4" t="str">
        <f>HYPERLINK("http://snap.windin.com/ns/bulletin.php?id=21849226&amp;type=1", "安控股份:首次公开发行股票并在创业板上市招股说明书")</f>
        <v>安控股份:首次公开发行股票并在创业板上市招股说明书</v>
      </c>
      <c r="F157" t="s">
        <v>1039</v>
      </c>
    </row>
    <row r="158" spans="1:6" x14ac:dyDescent="0.15">
      <c r="A158" s="1">
        <v>41649</v>
      </c>
      <c r="B158" t="s">
        <v>48</v>
      </c>
      <c r="C158" t="s">
        <v>453</v>
      </c>
      <c r="D158" t="s">
        <v>455</v>
      </c>
      <c r="E158" s="4" t="str">
        <f>HYPERLINK("http://snap.windin.com/ns/bulletin.php?id=21849198&amp;type=1", "全通教育:首次公开发行股票并在创业板上市招股说明书")</f>
        <v>全通教育:首次公开发行股票并在创业板上市招股说明书</v>
      </c>
      <c r="F158" t="s">
        <v>1040</v>
      </c>
    </row>
    <row r="159" spans="1:6" x14ac:dyDescent="0.15">
      <c r="A159" s="1">
        <v>41649</v>
      </c>
      <c r="B159" t="s">
        <v>38</v>
      </c>
      <c r="C159" t="s">
        <v>442</v>
      </c>
      <c r="D159" t="s">
        <v>469</v>
      </c>
      <c r="E159" s="4" t="str">
        <f>HYPERLINK("http://snap.windin.com/ns/bulletin.php?id=21847982&amp;type=1", "思美传媒:首次公开发行股票并上市招股说明书")</f>
        <v>思美传媒:首次公开发行股票并上市招股说明书</v>
      </c>
      <c r="F159" t="s">
        <v>1041</v>
      </c>
    </row>
    <row r="160" spans="1:6" x14ac:dyDescent="0.15">
      <c r="A160" s="1">
        <v>41649</v>
      </c>
      <c r="B160" t="s">
        <v>38</v>
      </c>
      <c r="C160" t="s">
        <v>442</v>
      </c>
      <c r="D160" t="s">
        <v>468</v>
      </c>
      <c r="E160" s="4" t="str">
        <f>HYPERLINK("http://snap.windin.com/ns/bulletin.php?id=21847946&amp;type=1", "思美传媒:首次公开发行股票并上市招股说明书摘要")</f>
        <v>思美传媒:首次公开发行股票并上市招股说明书摘要</v>
      </c>
      <c r="F160" t="s">
        <v>1042</v>
      </c>
    </row>
    <row r="161" spans="1:6" x14ac:dyDescent="0.15">
      <c r="A161" s="1">
        <v>41649</v>
      </c>
      <c r="B161" t="s">
        <v>41</v>
      </c>
      <c r="C161" t="s">
        <v>445</v>
      </c>
      <c r="D161" t="s">
        <v>399</v>
      </c>
      <c r="E161" s="4" t="str">
        <f>HYPERLINK("http://snap.windin.com/ns/bulletin.php?id=21848764&amp;type=1", "天赐材料:首次公开发行股票招股说明书")</f>
        <v>天赐材料:首次公开发行股票招股说明书</v>
      </c>
      <c r="F161" t="s">
        <v>1043</v>
      </c>
    </row>
    <row r="162" spans="1:6" x14ac:dyDescent="0.15">
      <c r="A162" s="1">
        <v>41649</v>
      </c>
      <c r="B162" t="s">
        <v>41</v>
      </c>
      <c r="C162" t="s">
        <v>445</v>
      </c>
      <c r="D162" t="s">
        <v>400</v>
      </c>
      <c r="E162" s="4" t="str">
        <f>HYPERLINK("http://snap.windin.com/ns/bulletin.php?id=21848756&amp;type=1", "天赐材料:首次公开发行股票招股说明书摘要")</f>
        <v>天赐材料:首次公开发行股票招股说明书摘要</v>
      </c>
      <c r="F162" t="s">
        <v>1044</v>
      </c>
    </row>
    <row r="163" spans="1:6" x14ac:dyDescent="0.15">
      <c r="A163" s="1">
        <v>41649</v>
      </c>
      <c r="B163" t="s">
        <v>51</v>
      </c>
      <c r="C163" t="s">
        <v>457</v>
      </c>
      <c r="D163" t="s">
        <v>399</v>
      </c>
      <c r="E163" s="4" t="str">
        <f>HYPERLINK("http://snap.windin.com/ns/bulletin.php?id=21849140&amp;type=1", "光洋股份:首次公开发行股票招股说明书")</f>
        <v>光洋股份:首次公开发行股票招股说明书</v>
      </c>
      <c r="F163" t="s">
        <v>1045</v>
      </c>
    </row>
    <row r="164" spans="1:6" x14ac:dyDescent="0.15">
      <c r="A164" s="1">
        <v>41649</v>
      </c>
      <c r="B164" t="s">
        <v>51</v>
      </c>
      <c r="C164" t="s">
        <v>457</v>
      </c>
      <c r="D164" t="s">
        <v>400</v>
      </c>
      <c r="E164" s="4" t="str">
        <f>HYPERLINK("http://snap.windin.com/ns/bulletin.php?id=21849170&amp;type=1", "光洋股份:首次公开发行股票招股说明书摘要")</f>
        <v>光洋股份:首次公开发行股票招股说明书摘要</v>
      </c>
      <c r="F164" t="s">
        <v>1046</v>
      </c>
    </row>
    <row r="165" spans="1:6" x14ac:dyDescent="0.15">
      <c r="A165" s="1">
        <v>41648</v>
      </c>
      <c r="B165" t="s">
        <v>12</v>
      </c>
      <c r="C165" t="s">
        <v>403</v>
      </c>
      <c r="D165" t="s">
        <v>465</v>
      </c>
      <c r="E165" s="4" t="str">
        <f>HYPERLINK("http://snap.windin.com/ns/bulletin.php?id=21839476&amp;type=1", "晶方科技:首次公开发行股票招股意向书")</f>
        <v>晶方科技:首次公开发行股票招股意向书</v>
      </c>
      <c r="F165" t="s">
        <v>1047</v>
      </c>
    </row>
    <row r="166" spans="1:6" x14ac:dyDescent="0.15">
      <c r="A166" s="1">
        <v>41648</v>
      </c>
      <c r="B166" t="s">
        <v>12</v>
      </c>
      <c r="C166" t="s">
        <v>403</v>
      </c>
      <c r="D166" t="s">
        <v>467</v>
      </c>
      <c r="E166" s="4" t="str">
        <f>HYPERLINK("http://snap.windin.com/ns/bulletin.php?id=21839480&amp;type=1", "晶方科技:首次公开发行股票招股意向书附录")</f>
        <v>晶方科技:首次公开发行股票招股意向书附录</v>
      </c>
      <c r="F166" t="s">
        <v>1048</v>
      </c>
    </row>
    <row r="167" spans="1:6" x14ac:dyDescent="0.15">
      <c r="A167" s="1">
        <v>41648</v>
      </c>
      <c r="B167" t="s">
        <v>12</v>
      </c>
      <c r="C167" t="s">
        <v>403</v>
      </c>
      <c r="D167" t="s">
        <v>466</v>
      </c>
      <c r="E167" s="4" t="str">
        <f>HYPERLINK("http://snap.windin.com/ns/bulletin.php?id=21839474&amp;type=1", "晶方科技:首次公开发行股票招股意向书摘要")</f>
        <v>晶方科技:首次公开发行股票招股意向书摘要</v>
      </c>
      <c r="F167" t="s">
        <v>1049</v>
      </c>
    </row>
    <row r="168" spans="1:6" x14ac:dyDescent="0.15">
      <c r="A168" s="1">
        <v>41648</v>
      </c>
      <c r="B168" t="s">
        <v>16</v>
      </c>
      <c r="C168" t="s">
        <v>411</v>
      </c>
      <c r="D168" t="s">
        <v>471</v>
      </c>
      <c r="E168" s="4" t="str">
        <f>HYPERLINK("http://snap.windin.com/ns/bulletin.php?id=21840102&amp;type=1", "斯莱克:首次公开发行股票并在创业板上市招股意向书")</f>
        <v>斯莱克:首次公开发行股票并在创业板上市招股意向书</v>
      </c>
      <c r="F168" t="s">
        <v>1050</v>
      </c>
    </row>
    <row r="169" spans="1:6" x14ac:dyDescent="0.15">
      <c r="A169" s="1">
        <v>41648</v>
      </c>
      <c r="B169" t="s">
        <v>22</v>
      </c>
      <c r="C169" t="s">
        <v>421</v>
      </c>
      <c r="D169" t="s">
        <v>471</v>
      </c>
      <c r="E169" s="4" t="str">
        <f>HYPERLINK("http://snap.windin.com/ns/bulletin.php?id=21840640&amp;type=1", "溢多利:首次公开发行股票并在创业板上市招股意向书")</f>
        <v>溢多利:首次公开发行股票并在创业板上市招股意向书</v>
      </c>
      <c r="F169" t="s">
        <v>1051</v>
      </c>
    </row>
    <row r="170" spans="1:6" x14ac:dyDescent="0.15">
      <c r="A170" s="1">
        <v>41648</v>
      </c>
      <c r="B170" t="s">
        <v>26</v>
      </c>
      <c r="C170" t="s">
        <v>425</v>
      </c>
      <c r="D170" t="s">
        <v>471</v>
      </c>
      <c r="E170" s="4" t="str">
        <f>HYPERLINK("http://snap.windin.com/ns/bulletin.php?id=21840014&amp;type=1", "安硕信息:首次公开发行股票并在创业板上市招股意向书")</f>
        <v>安硕信息:首次公开发行股票并在创业板上市招股意向书</v>
      </c>
      <c r="F170" t="s">
        <v>1052</v>
      </c>
    </row>
    <row r="171" spans="1:6" x14ac:dyDescent="0.15">
      <c r="A171" s="1">
        <v>41648</v>
      </c>
      <c r="B171" t="s">
        <v>13</v>
      </c>
      <c r="C171" t="s">
        <v>404</v>
      </c>
      <c r="D171" t="s">
        <v>471</v>
      </c>
      <c r="E171" s="4" t="str">
        <f>HYPERLINK("http://snap.windin.com/ns/bulletin.php?id=21840080&amp;type=1", "东方通:首次公开发行股票并在创业板上市招股意向书")</f>
        <v>东方通:首次公开发行股票并在创业板上市招股意向书</v>
      </c>
      <c r="F171" t="s">
        <v>1053</v>
      </c>
    </row>
    <row r="172" spans="1:6" x14ac:dyDescent="0.15">
      <c r="A172" s="1">
        <v>41648</v>
      </c>
      <c r="B172" t="s">
        <v>49</v>
      </c>
      <c r="C172" t="s">
        <v>454</v>
      </c>
      <c r="D172" t="s">
        <v>455</v>
      </c>
      <c r="E172" s="4" t="str">
        <f>HYPERLINK("http://snap.windin.com/ns/bulletin.php?id=21839966&amp;type=1", "天保重装:首次公开发行股票并在创业板上市招股说明书")</f>
        <v>天保重装:首次公开发行股票并在创业板上市招股说明书</v>
      </c>
      <c r="F172" t="s">
        <v>1054</v>
      </c>
    </row>
    <row r="173" spans="1:6" x14ac:dyDescent="0.15">
      <c r="A173" s="1">
        <v>41648</v>
      </c>
      <c r="B173" t="s">
        <v>47</v>
      </c>
      <c r="C173" t="s">
        <v>452</v>
      </c>
      <c r="D173" t="s">
        <v>455</v>
      </c>
      <c r="E173" s="4" t="str">
        <f>HYPERLINK("http://snap.windin.com/ns/bulletin.php?id=21839932&amp;type=1", "炬华科技:首次公开发行股票并在创业板上市招股说明书")</f>
        <v>炬华科技:首次公开发行股票并在创业板上市招股说明书</v>
      </c>
      <c r="F173" t="s">
        <v>1055</v>
      </c>
    </row>
    <row r="174" spans="1:6" x14ac:dyDescent="0.15">
      <c r="A174" s="1">
        <v>41648</v>
      </c>
      <c r="B174" t="s">
        <v>17</v>
      </c>
      <c r="C174" t="s">
        <v>413</v>
      </c>
      <c r="D174" t="s">
        <v>465</v>
      </c>
      <c r="E174" s="4" t="str">
        <f>HYPERLINK("http://snap.windin.com/ns/bulletin.php?id=21840326&amp;type=1", "跃岭股份:首次公开发行股票招股意向书")</f>
        <v>跃岭股份:首次公开发行股票招股意向书</v>
      </c>
      <c r="F174" t="s">
        <v>1056</v>
      </c>
    </row>
    <row r="175" spans="1:6" x14ac:dyDescent="0.15">
      <c r="A175" s="1">
        <v>41648</v>
      </c>
      <c r="B175" t="s">
        <v>17</v>
      </c>
      <c r="C175" t="s">
        <v>413</v>
      </c>
      <c r="D175" t="s">
        <v>466</v>
      </c>
      <c r="E175" s="4" t="str">
        <f>HYPERLINK("http://snap.windin.com/ns/bulletin.php?id=21840438&amp;type=1", "跃岭股份:首次公开发行股票招股意向书摘要")</f>
        <v>跃岭股份:首次公开发行股票招股意向书摘要</v>
      </c>
      <c r="F175" t="s">
        <v>1057</v>
      </c>
    </row>
    <row r="176" spans="1:6" x14ac:dyDescent="0.15">
      <c r="A176" s="1">
        <v>41648</v>
      </c>
      <c r="B176" t="s">
        <v>18</v>
      </c>
      <c r="C176" t="s">
        <v>414</v>
      </c>
      <c r="D176" t="s">
        <v>465</v>
      </c>
      <c r="E176" s="4" t="str">
        <f>HYPERLINK("http://snap.windin.com/ns/bulletin.php?id=21840540&amp;type=1", "金莱特:首次公开发行股票招股意向书")</f>
        <v>金莱特:首次公开发行股票招股意向书</v>
      </c>
      <c r="F176" t="s">
        <v>1058</v>
      </c>
    </row>
    <row r="177" spans="1:6" x14ac:dyDescent="0.15">
      <c r="A177" s="1">
        <v>41648</v>
      </c>
      <c r="B177" t="s">
        <v>18</v>
      </c>
      <c r="C177" t="s">
        <v>414</v>
      </c>
      <c r="D177" t="s">
        <v>466</v>
      </c>
      <c r="E177" s="4" t="str">
        <f>HYPERLINK("http://snap.windin.com/ns/bulletin.php?id=21840524&amp;type=1", "金莱特:首次公开发行股票招股意向书摘要")</f>
        <v>金莱特:首次公开发行股票招股意向书摘要</v>
      </c>
      <c r="F177" t="s">
        <v>1059</v>
      </c>
    </row>
    <row r="178" spans="1:6" x14ac:dyDescent="0.15">
      <c r="A178" s="1">
        <v>41648</v>
      </c>
      <c r="B178" t="s">
        <v>23</v>
      </c>
      <c r="C178" t="s">
        <v>422</v>
      </c>
      <c r="D178" t="s">
        <v>465</v>
      </c>
      <c r="E178" s="4" t="str">
        <f>HYPERLINK("http://snap.windin.com/ns/bulletin.php?id=21840606&amp;type=1", "金轮股份:首次公开发行股票招股意向书")</f>
        <v>金轮股份:首次公开发行股票招股意向书</v>
      </c>
      <c r="F178" t="s">
        <v>1060</v>
      </c>
    </row>
    <row r="179" spans="1:6" x14ac:dyDescent="0.15">
      <c r="A179" s="1">
        <v>41648</v>
      </c>
      <c r="B179" t="s">
        <v>23</v>
      </c>
      <c r="C179" t="s">
        <v>422</v>
      </c>
      <c r="D179" t="s">
        <v>466</v>
      </c>
      <c r="E179" s="4" t="str">
        <f>HYPERLINK("http://snap.windin.com/ns/bulletin.php?id=21840572&amp;type=1", "金轮股份:首次公开发行股票招股意向书摘要")</f>
        <v>金轮股份:首次公开发行股票招股意向书摘要</v>
      </c>
      <c r="F179" t="s">
        <v>1061</v>
      </c>
    </row>
    <row r="180" spans="1:6" x14ac:dyDescent="0.15">
      <c r="A180" s="1">
        <v>41648</v>
      </c>
      <c r="B180" t="s">
        <v>35</v>
      </c>
      <c r="C180" t="s">
        <v>437</v>
      </c>
      <c r="D180" t="s">
        <v>465</v>
      </c>
      <c r="E180" s="4" t="str">
        <f>HYPERLINK("http://snap.windin.com/ns/bulletin.php?id=21840346&amp;type=1", "金一文化:首次公开发行股票招股意向书")</f>
        <v>金一文化:首次公开发行股票招股意向书</v>
      </c>
      <c r="F180" t="s">
        <v>1062</v>
      </c>
    </row>
    <row r="181" spans="1:6" x14ac:dyDescent="0.15">
      <c r="A181" s="1">
        <v>41648</v>
      </c>
      <c r="B181" t="s">
        <v>35</v>
      </c>
      <c r="C181" t="s">
        <v>437</v>
      </c>
      <c r="D181" t="s">
        <v>466</v>
      </c>
      <c r="E181" s="4" t="str">
        <f>HYPERLINK("http://snap.windin.com/ns/bulletin.php?id=21840332&amp;type=1", "金一文化:首次公开发行股票招股意向书摘要")</f>
        <v>金一文化:首次公开发行股票招股意向书摘要</v>
      </c>
      <c r="F181" t="s">
        <v>1063</v>
      </c>
    </row>
    <row r="182" spans="1:6" x14ac:dyDescent="0.15">
      <c r="A182" s="1">
        <v>41648</v>
      </c>
      <c r="B182" t="s">
        <v>25</v>
      </c>
      <c r="C182" t="s">
        <v>424</v>
      </c>
      <c r="D182" t="s">
        <v>465</v>
      </c>
      <c r="E182" s="4" t="str">
        <f>HYPERLINK("http://snap.windin.com/ns/bulletin.php?id=21840396&amp;type=1", "麦趣尔:首次公开发行股票招股意向书")</f>
        <v>麦趣尔:首次公开发行股票招股意向书</v>
      </c>
      <c r="F182" t="s">
        <v>1064</v>
      </c>
    </row>
    <row r="183" spans="1:6" x14ac:dyDescent="0.15">
      <c r="A183" s="1">
        <v>41648</v>
      </c>
      <c r="B183" t="s">
        <v>25</v>
      </c>
      <c r="C183" t="s">
        <v>424</v>
      </c>
      <c r="D183" t="s">
        <v>466</v>
      </c>
      <c r="E183" s="4" t="str">
        <f>HYPERLINK("http://snap.windin.com/ns/bulletin.php?id=21840402&amp;type=1", "麦趣尔:首次公开发行股票招股意向书摘要")</f>
        <v>麦趣尔:首次公开发行股票招股意向书摘要</v>
      </c>
      <c r="F183" t="s">
        <v>1065</v>
      </c>
    </row>
    <row r="184" spans="1:6" x14ac:dyDescent="0.15">
      <c r="A184" s="1">
        <v>41648</v>
      </c>
      <c r="B184" t="s">
        <v>27</v>
      </c>
      <c r="C184" t="s">
        <v>426</v>
      </c>
      <c r="D184" t="s">
        <v>465</v>
      </c>
      <c r="E184" s="4" t="str">
        <f>HYPERLINK("http://snap.windin.com/ns/bulletin.php?id=21839938&amp;type=1", "友邦吊顶:首次公开发行股票招股意向书")</f>
        <v>友邦吊顶:首次公开发行股票招股意向书</v>
      </c>
      <c r="F184" t="s">
        <v>1066</v>
      </c>
    </row>
    <row r="185" spans="1:6" x14ac:dyDescent="0.15">
      <c r="A185" s="1">
        <v>41648</v>
      </c>
      <c r="B185" t="s">
        <v>27</v>
      </c>
      <c r="C185" t="s">
        <v>426</v>
      </c>
      <c r="D185" t="s">
        <v>466</v>
      </c>
      <c r="E185" s="4" t="str">
        <f>HYPERLINK("http://snap.windin.com/ns/bulletin.php?id=21839940&amp;type=1", "友邦吊顶:首次公开发行股票招股意向书摘要")</f>
        <v>友邦吊顶:首次公开发行股票招股意向书摘要</v>
      </c>
      <c r="F185" t="s">
        <v>1067</v>
      </c>
    </row>
    <row r="186" spans="1:6" x14ac:dyDescent="0.15">
      <c r="A186" s="1">
        <v>41648</v>
      </c>
      <c r="B186" t="s">
        <v>24</v>
      </c>
      <c r="C186" t="s">
        <v>423</v>
      </c>
      <c r="D186" t="s">
        <v>465</v>
      </c>
      <c r="E186" s="4" t="str">
        <f>HYPERLINK("http://snap.windin.com/ns/bulletin.php?id=21840548&amp;type=1", "牧原股份:首次公开发行股票招股意向书")</f>
        <v>牧原股份:首次公开发行股票招股意向书</v>
      </c>
      <c r="F186" t="s">
        <v>1068</v>
      </c>
    </row>
    <row r="187" spans="1:6" x14ac:dyDescent="0.15">
      <c r="A187" s="1">
        <v>41648</v>
      </c>
      <c r="B187" t="s">
        <v>24</v>
      </c>
      <c r="C187" t="s">
        <v>423</v>
      </c>
      <c r="D187" t="s">
        <v>466</v>
      </c>
      <c r="E187" s="4" t="str">
        <f>HYPERLINK("http://snap.windin.com/ns/bulletin.php?id=21840364&amp;type=1", "牧原股份:首次公开发行股票招股意向书摘要")</f>
        <v>牧原股份:首次公开发行股票招股意向书摘要</v>
      </c>
      <c r="F187" t="s">
        <v>1069</v>
      </c>
    </row>
    <row r="188" spans="1:6" x14ac:dyDescent="0.15">
      <c r="A188" s="1">
        <v>41648</v>
      </c>
      <c r="B188" t="s">
        <v>52</v>
      </c>
      <c r="C188" t="s">
        <v>458</v>
      </c>
      <c r="D188" t="s">
        <v>399</v>
      </c>
      <c r="E188" s="4" t="str">
        <f>HYPERLINK("http://snap.windin.com/ns/bulletin.php?id=21840172&amp;type=1", "良信电器:首次公开发行股票招股说明书")</f>
        <v>良信电器:首次公开发行股票招股说明书</v>
      </c>
      <c r="F188" t="s">
        <v>1070</v>
      </c>
    </row>
    <row r="189" spans="1:6" x14ac:dyDescent="0.15">
      <c r="A189" s="1">
        <v>41648</v>
      </c>
      <c r="B189" t="s">
        <v>52</v>
      </c>
      <c r="C189" t="s">
        <v>458</v>
      </c>
      <c r="D189" t="s">
        <v>400</v>
      </c>
      <c r="E189" s="4" t="str">
        <f>HYPERLINK("http://snap.windin.com/ns/bulletin.php?id=21840170&amp;type=1", "良信电器:首次公开发行股票招股说明书摘要")</f>
        <v>良信电器:首次公开发行股票招股说明书摘要</v>
      </c>
      <c r="F189" t="s">
        <v>1071</v>
      </c>
    </row>
    <row r="190" spans="1:6" x14ac:dyDescent="0.15">
      <c r="A190" s="1">
        <v>41647</v>
      </c>
      <c r="B190" t="s">
        <v>28</v>
      </c>
      <c r="C190" t="s">
        <v>427</v>
      </c>
      <c r="D190" t="s">
        <v>475</v>
      </c>
      <c r="E190" s="4" t="str">
        <f>HYPERLINK("http://snap.windin.com/ns/bulletin.php?id=21826970&amp;type=1", "陕西煤业:首次公开发行A股股票招股意向书")</f>
        <v>陕西煤业:首次公开发行A股股票招股意向书</v>
      </c>
      <c r="F190" t="s">
        <v>1072</v>
      </c>
    </row>
    <row r="191" spans="1:6" x14ac:dyDescent="0.15">
      <c r="A191" s="1">
        <v>41647</v>
      </c>
      <c r="B191" t="s">
        <v>28</v>
      </c>
      <c r="C191" t="s">
        <v>427</v>
      </c>
      <c r="D191" t="s">
        <v>474</v>
      </c>
      <c r="E191" s="4" t="str">
        <f>HYPERLINK("http://snap.windin.com/ns/bulletin.php?id=21826974&amp;type=1", "陕西煤业:首次公开发行A股股票招股意向书附录")</f>
        <v>陕西煤业:首次公开发行A股股票招股意向书附录</v>
      </c>
      <c r="F191" t="s">
        <v>1073</v>
      </c>
    </row>
    <row r="192" spans="1:6" x14ac:dyDescent="0.15">
      <c r="A192" s="1">
        <v>41647</v>
      </c>
      <c r="B192" t="s">
        <v>28</v>
      </c>
      <c r="C192" t="s">
        <v>427</v>
      </c>
      <c r="D192" t="s">
        <v>476</v>
      </c>
      <c r="E192" s="4" t="str">
        <f>HYPERLINK("http://snap.windin.com/ns/bulletin.php?id=21826968&amp;type=1", "陕西煤业:首次公开发行A股股票招股意向书摘要")</f>
        <v>陕西煤业:首次公开发行A股股票招股意向书摘要</v>
      </c>
      <c r="F192" t="s">
        <v>1074</v>
      </c>
    </row>
    <row r="193" spans="1:6" x14ac:dyDescent="0.15">
      <c r="A193" s="1">
        <v>41647</v>
      </c>
      <c r="B193" t="s">
        <v>34</v>
      </c>
      <c r="C193" t="s">
        <v>436</v>
      </c>
      <c r="D193" t="s">
        <v>471</v>
      </c>
      <c r="E193" s="4" t="str">
        <f>HYPERLINK("http://snap.windin.com/ns/bulletin.php?id=21825568&amp;type=1", "鼎捷软件:首次公开发行股票并在创业板上市招股意向书")</f>
        <v>鼎捷软件:首次公开发行股票并在创业板上市招股意向书</v>
      </c>
      <c r="F193" t="s">
        <v>1075</v>
      </c>
    </row>
    <row r="194" spans="1:6" x14ac:dyDescent="0.15">
      <c r="A194" s="1">
        <v>41647</v>
      </c>
      <c r="B194" t="s">
        <v>32</v>
      </c>
      <c r="C194" t="s">
        <v>434</v>
      </c>
      <c r="D194" t="s">
        <v>471</v>
      </c>
      <c r="E194" s="4" t="str">
        <f>HYPERLINK("http://snap.windin.com/ns/bulletin.php?id=21825498&amp;type=1", "赢时胜:首次公开发行股票并在创业板上市招股意向书")</f>
        <v>赢时胜:首次公开发行股票并在创业板上市招股意向书</v>
      </c>
      <c r="F194" t="s">
        <v>1076</v>
      </c>
    </row>
    <row r="195" spans="1:6" x14ac:dyDescent="0.15">
      <c r="A195" s="1">
        <v>41647</v>
      </c>
      <c r="B195" t="s">
        <v>50</v>
      </c>
      <c r="C195" t="s">
        <v>456</v>
      </c>
      <c r="D195" t="s">
        <v>455</v>
      </c>
      <c r="E195" s="4" t="str">
        <f>HYPERLINK("http://snap.windin.com/ns/bulletin.php?id=21827192&amp;type=1", "楚天科技:首次公开发行股票并在创业板上市招股说明书")</f>
        <v>楚天科技:首次公开发行股票并在创业板上市招股说明书</v>
      </c>
      <c r="F195" t="s">
        <v>1077</v>
      </c>
    </row>
    <row r="196" spans="1:6" x14ac:dyDescent="0.15">
      <c r="A196" s="1">
        <v>41647</v>
      </c>
      <c r="B196" t="s">
        <v>7</v>
      </c>
      <c r="C196" t="s">
        <v>388</v>
      </c>
      <c r="D196" t="s">
        <v>465</v>
      </c>
      <c r="E196" s="4" t="str">
        <f>HYPERLINK("http://snap.windin.com/ns/bulletin.php?id=21826708&amp;type=1", "岭南园林:首次公开发行股票招股意向书")</f>
        <v>岭南园林:首次公开发行股票招股意向书</v>
      </c>
      <c r="F196" t="s">
        <v>1078</v>
      </c>
    </row>
    <row r="197" spans="1:6" x14ac:dyDescent="0.15">
      <c r="A197" s="1">
        <v>41647</v>
      </c>
      <c r="B197" t="s">
        <v>7</v>
      </c>
      <c r="C197" t="s">
        <v>388</v>
      </c>
      <c r="D197" t="s">
        <v>466</v>
      </c>
      <c r="E197" s="4" t="str">
        <f>HYPERLINK("http://snap.windin.com/ns/bulletin.php?id=21826636&amp;type=1", "岭南园林:首次公开发行股票招股意向书摘要")</f>
        <v>岭南园林:首次公开发行股票招股意向书摘要</v>
      </c>
      <c r="F197" t="s">
        <v>1079</v>
      </c>
    </row>
    <row r="198" spans="1:6" x14ac:dyDescent="0.15">
      <c r="A198" s="1">
        <v>41647</v>
      </c>
      <c r="B198" t="s">
        <v>21</v>
      </c>
      <c r="C198" t="s">
        <v>419</v>
      </c>
      <c r="D198" t="s">
        <v>465</v>
      </c>
      <c r="E198" s="4" t="str">
        <f>HYPERLINK("http://snap.windin.com/ns/bulletin.php?id=21827148&amp;type=1", "金贵银业:首次公开发行股票招股意向书")</f>
        <v>金贵银业:首次公开发行股票招股意向书</v>
      </c>
      <c r="F198" t="s">
        <v>1080</v>
      </c>
    </row>
    <row r="199" spans="1:6" x14ac:dyDescent="0.15">
      <c r="A199" s="1">
        <v>41647</v>
      </c>
      <c r="B199" t="s">
        <v>21</v>
      </c>
      <c r="C199" t="s">
        <v>419</v>
      </c>
      <c r="D199" t="s">
        <v>466</v>
      </c>
      <c r="E199" s="4" t="str">
        <f>HYPERLINK("http://snap.windin.com/ns/bulletin.php?id=21827154&amp;type=1", "金贵银业:首次公开发行股票招股意向书摘要")</f>
        <v>金贵银业:首次公开发行股票招股意向书摘要</v>
      </c>
      <c r="F199" t="s">
        <v>1081</v>
      </c>
    </row>
    <row r="200" spans="1:6" x14ac:dyDescent="0.15">
      <c r="A200" s="1">
        <v>41647</v>
      </c>
      <c r="B200" t="s">
        <v>8</v>
      </c>
      <c r="C200" t="s">
        <v>390</v>
      </c>
      <c r="D200" t="s">
        <v>465</v>
      </c>
      <c r="E200" s="4" t="str">
        <f>HYPERLINK("http://snap.windin.com/ns/bulletin.php?id=21826472&amp;type=1", "登云股份:首次公开发行股票招股意向书")</f>
        <v>登云股份:首次公开发行股票招股意向书</v>
      </c>
      <c r="F200" t="s">
        <v>1082</v>
      </c>
    </row>
    <row r="201" spans="1:6" x14ac:dyDescent="0.15">
      <c r="A201" s="1">
        <v>41647</v>
      </c>
      <c r="B201" t="s">
        <v>8</v>
      </c>
      <c r="C201" t="s">
        <v>390</v>
      </c>
      <c r="D201" t="s">
        <v>473</v>
      </c>
      <c r="E201" s="4" t="str">
        <f>HYPERLINK("http://snap.windin.com/ns/bulletin.php?id=21831060&amp;type=1", "登云股份:首次公开发行股票招股意向书(更新后)")</f>
        <v>登云股份:首次公开发行股票招股意向书(更新后)</v>
      </c>
      <c r="F201" t="s">
        <v>1083</v>
      </c>
    </row>
    <row r="202" spans="1:6" x14ac:dyDescent="0.15">
      <c r="A202" s="1">
        <v>41647</v>
      </c>
      <c r="B202" t="s">
        <v>8</v>
      </c>
      <c r="C202" t="s">
        <v>390</v>
      </c>
      <c r="D202" t="s">
        <v>466</v>
      </c>
      <c r="E202" s="4" t="str">
        <f>HYPERLINK("http://snap.windin.com/ns/bulletin.php?id=21826424&amp;type=1", "登云股份:首次公开发行股票招股意向书摘要")</f>
        <v>登云股份:首次公开发行股票招股意向书摘要</v>
      </c>
      <c r="F202" t="s">
        <v>1084</v>
      </c>
    </row>
    <row r="203" spans="1:6" x14ac:dyDescent="0.15">
      <c r="A203" s="1">
        <v>41647</v>
      </c>
      <c r="B203" t="s">
        <v>8</v>
      </c>
      <c r="C203" t="s">
        <v>390</v>
      </c>
      <c r="D203" t="s">
        <v>472</v>
      </c>
      <c r="E203" s="4" t="str">
        <f>HYPERLINK("http://snap.windin.com/ns/bulletin.php?id=21831716&amp;type=1", "登云股份:首次公开发行股票招股意向书摘要(更新后)")</f>
        <v>登云股份:首次公开发行股票招股意向书摘要(更新后)</v>
      </c>
      <c r="F203" t="s">
        <v>1085</v>
      </c>
    </row>
    <row r="204" spans="1:6" x14ac:dyDescent="0.15">
      <c r="A204" s="1">
        <v>41646</v>
      </c>
      <c r="B204" t="s">
        <v>37</v>
      </c>
      <c r="C204" t="s">
        <v>441</v>
      </c>
      <c r="D204" t="s">
        <v>475</v>
      </c>
      <c r="E204" s="4" t="str">
        <f>HYPERLINK("http://snap.windin.com/ns/bulletin.php?id=21816766&amp;type=1", "贵人鸟:首次公开发行A股股票招股意向书")</f>
        <v>贵人鸟:首次公开发行A股股票招股意向书</v>
      </c>
      <c r="F204" t="s">
        <v>1086</v>
      </c>
    </row>
    <row r="205" spans="1:6" x14ac:dyDescent="0.15">
      <c r="A205" s="1">
        <v>41646</v>
      </c>
      <c r="B205" t="s">
        <v>37</v>
      </c>
      <c r="C205" t="s">
        <v>441</v>
      </c>
      <c r="D205" t="s">
        <v>476</v>
      </c>
      <c r="E205" s="4" t="str">
        <f>HYPERLINK("http://snap.windin.com/ns/bulletin.php?id=21816758&amp;type=1", "贵人鸟:首次公开发行A股股票招股意向书摘要")</f>
        <v>贵人鸟:首次公开发行A股股票招股意向书摘要</v>
      </c>
      <c r="F205" t="s">
        <v>1087</v>
      </c>
    </row>
    <row r="206" spans="1:6" x14ac:dyDescent="0.15">
      <c r="A206" s="1">
        <v>41646</v>
      </c>
      <c r="B206" t="s">
        <v>37</v>
      </c>
      <c r="C206" t="s">
        <v>441</v>
      </c>
      <c r="D206" t="s">
        <v>467</v>
      </c>
      <c r="E206" s="4" t="str">
        <f>HYPERLINK("http://snap.windin.com/ns/bulletin.php?id=21816764&amp;type=1", "贵人鸟:首次公开发行股票招股意向书附录")</f>
        <v>贵人鸟:首次公开发行股票招股意向书附录</v>
      </c>
      <c r="F206" t="s">
        <v>1088</v>
      </c>
    </row>
    <row r="207" spans="1:6" x14ac:dyDescent="0.15">
      <c r="A207" s="1">
        <v>41646</v>
      </c>
      <c r="B207" t="s">
        <v>33</v>
      </c>
      <c r="C207" t="s">
        <v>435</v>
      </c>
      <c r="D207" t="s">
        <v>471</v>
      </c>
      <c r="E207" s="4" t="str">
        <f>HYPERLINK("http://snap.windin.com/ns/bulletin.php?id=21816744&amp;type=1", "易事特:首次公开发行股票并在创业板上市招股意向书")</f>
        <v>易事特:首次公开发行股票并在创业板上市招股意向书</v>
      </c>
      <c r="F207" t="s">
        <v>1089</v>
      </c>
    </row>
    <row r="208" spans="1:6" x14ac:dyDescent="0.15">
      <c r="A208" s="1">
        <v>41646</v>
      </c>
      <c r="B208" t="s">
        <v>36</v>
      </c>
      <c r="C208" t="s">
        <v>438</v>
      </c>
      <c r="D208" t="s">
        <v>471</v>
      </c>
      <c r="E208" s="4" t="str">
        <f>HYPERLINK("http://snap.windin.com/ns/bulletin.php?id=21816806&amp;type=1", "鹏翎股份:首次公开发行股票并在创业板上市招股意向书")</f>
        <v>鹏翎股份:首次公开发行股票并在创业板上市招股意向书</v>
      </c>
      <c r="F208" t="s">
        <v>1090</v>
      </c>
    </row>
    <row r="209" spans="1:6" x14ac:dyDescent="0.15">
      <c r="A209" s="1">
        <v>41646</v>
      </c>
      <c r="B209" t="s">
        <v>46</v>
      </c>
      <c r="C209" t="s">
        <v>451</v>
      </c>
      <c r="D209" t="s">
        <v>455</v>
      </c>
      <c r="E209" s="4" t="str">
        <f>HYPERLINK("http://snap.windin.com/ns/bulletin.php?id=21816798&amp;type=1", "我武生物:首次公开发行股票并在创业板上市招股说明书")</f>
        <v>我武生物:首次公开发行股票并在创业板上市招股说明书</v>
      </c>
      <c r="F209" t="s">
        <v>1091</v>
      </c>
    </row>
    <row r="210" spans="1:6" x14ac:dyDescent="0.15">
      <c r="A210" s="1">
        <v>41646</v>
      </c>
      <c r="B210" t="s">
        <v>9</v>
      </c>
      <c r="C210" t="s">
        <v>392</v>
      </c>
      <c r="D210" t="s">
        <v>478</v>
      </c>
      <c r="E210" s="4" t="str">
        <f>HYPERLINK("http://snap.windin.com/ns/bulletin.php?id=21816778&amp;type=1", "东易日盛:首次公开发行股票并上市招股意向书")</f>
        <v>东易日盛:首次公开发行股票并上市招股意向书</v>
      </c>
      <c r="F210" t="s">
        <v>1092</v>
      </c>
    </row>
    <row r="211" spans="1:6" x14ac:dyDescent="0.15">
      <c r="A211" s="1">
        <v>41646</v>
      </c>
      <c r="B211" t="s">
        <v>9</v>
      </c>
      <c r="C211" t="s">
        <v>392</v>
      </c>
      <c r="D211" t="s">
        <v>477</v>
      </c>
      <c r="E211" s="4" t="str">
        <f>HYPERLINK("http://snap.windin.com/ns/bulletin.php?id=21816792&amp;type=1", "东易日盛:首次公开发行股票并上市招股意向书摘要")</f>
        <v>东易日盛:首次公开发行股票并上市招股意向书摘要</v>
      </c>
      <c r="F211" t="s">
        <v>1093</v>
      </c>
    </row>
    <row r="212" spans="1:6" x14ac:dyDescent="0.15">
      <c r="A212" s="1">
        <v>41646</v>
      </c>
      <c r="B212" t="s">
        <v>10</v>
      </c>
      <c r="C212" t="s">
        <v>393</v>
      </c>
      <c r="D212" t="s">
        <v>399</v>
      </c>
      <c r="E212" s="4" t="str">
        <f>HYPERLINK("http://snap.windin.com/ns/bulletin.php?id=21816802&amp;type=1", "新宝股份:首次公开发行股票招股说明书")</f>
        <v>新宝股份:首次公开发行股票招股说明书</v>
      </c>
      <c r="F212" t="s">
        <v>1094</v>
      </c>
    </row>
    <row r="213" spans="1:6" x14ac:dyDescent="0.15">
      <c r="A213" s="1">
        <v>41646</v>
      </c>
      <c r="B213" t="s">
        <v>10</v>
      </c>
      <c r="C213" t="s">
        <v>393</v>
      </c>
      <c r="D213" t="s">
        <v>400</v>
      </c>
      <c r="E213" s="4" t="str">
        <f>HYPERLINK("http://snap.windin.com/ns/bulletin.php?id=21816804&amp;type=1", "新宝股份:首次公开发行股票招股说明书摘要")</f>
        <v>新宝股份:首次公开发行股票招股说明书摘要</v>
      </c>
      <c r="F213" t="s">
        <v>1095</v>
      </c>
    </row>
    <row r="214" spans="1:6" x14ac:dyDescent="0.15">
      <c r="A214" s="1">
        <v>41645</v>
      </c>
      <c r="B214" t="s">
        <v>43</v>
      </c>
      <c r="C214" t="s">
        <v>447</v>
      </c>
      <c r="D214" t="s">
        <v>471</v>
      </c>
      <c r="E214" s="4" t="str">
        <f>HYPERLINK("http://snap.windin.com/ns/bulletin.php?id=21809496&amp;type=1", "扬杰科技:首次公开发行股票并在创业板上市招股意向书")</f>
        <v>扬杰科技:首次公开发行股票并在创业板上市招股意向书</v>
      </c>
      <c r="F214" t="s">
        <v>1096</v>
      </c>
    </row>
    <row r="215" spans="1:6" x14ac:dyDescent="0.15">
      <c r="A215" s="1">
        <v>41645</v>
      </c>
      <c r="B215" t="s">
        <v>30</v>
      </c>
      <c r="C215" t="s">
        <v>432</v>
      </c>
      <c r="D215" t="s">
        <v>471</v>
      </c>
      <c r="E215" s="4" t="str">
        <f>HYPERLINK("http://snap.windin.com/ns/bulletin.php?id=21809342&amp;type=1", "欣泰电气:首次公开发行股票并在创业板上市招股意向书")</f>
        <v>欣泰电气:首次公开发行股票并在创业板上市招股意向书</v>
      </c>
      <c r="F215" t="s">
        <v>1097</v>
      </c>
    </row>
    <row r="216" spans="1:6" x14ac:dyDescent="0.15">
      <c r="A216" s="1">
        <v>41645</v>
      </c>
      <c r="B216" t="s">
        <v>40</v>
      </c>
      <c r="C216" t="s">
        <v>444</v>
      </c>
      <c r="D216" t="s">
        <v>471</v>
      </c>
      <c r="E216" s="4" t="str">
        <f>HYPERLINK("http://snap.windin.com/ns/bulletin.php?id=21809378&amp;type=1", "汇中股份:首次公开发行股票并在创业板上市招股意向书")</f>
        <v>汇中股份:首次公开发行股票并在创业板上市招股意向书</v>
      </c>
      <c r="F216" t="s">
        <v>1098</v>
      </c>
    </row>
    <row r="217" spans="1:6" x14ac:dyDescent="0.15">
      <c r="A217" s="1">
        <v>41645</v>
      </c>
      <c r="B217" t="s">
        <v>6</v>
      </c>
      <c r="C217" t="s">
        <v>386</v>
      </c>
      <c r="D217" t="s">
        <v>471</v>
      </c>
      <c r="E217" s="4" t="str">
        <f>HYPERLINK("http://snap.windin.com/ns/bulletin.php?id=21809430&amp;type=1", "安控股份:首次公开发行股票并在创业板上市招股意向书")</f>
        <v>安控股份:首次公开发行股票并在创业板上市招股意向书</v>
      </c>
      <c r="F217" t="s">
        <v>1099</v>
      </c>
    </row>
    <row r="218" spans="1:6" x14ac:dyDescent="0.15">
      <c r="A218" s="1">
        <v>41645</v>
      </c>
      <c r="B218" t="s">
        <v>15</v>
      </c>
      <c r="C218" t="s">
        <v>409</v>
      </c>
      <c r="D218" t="s">
        <v>471</v>
      </c>
      <c r="E218" s="4" t="str">
        <f>HYPERLINK("http://snap.windin.com/ns/bulletin.php?id=21809036&amp;type=1", "绿盟科技:首次公开发行股票并在创业板上市招股意向书")</f>
        <v>绿盟科技:首次公开发行股票并在创业板上市招股意向书</v>
      </c>
      <c r="F218" t="s">
        <v>1100</v>
      </c>
    </row>
    <row r="219" spans="1:6" x14ac:dyDescent="0.15">
      <c r="A219" s="1">
        <v>41645</v>
      </c>
      <c r="B219" t="s">
        <v>44</v>
      </c>
      <c r="C219" t="s">
        <v>448</v>
      </c>
      <c r="D219" t="s">
        <v>471</v>
      </c>
      <c r="E219" s="4" t="str">
        <f>HYPERLINK("http://snap.windin.com/ns/bulletin.php?id=21809626&amp;type=1", "汇金股份:首次公开发行股票并在创业板上市招股意向书")</f>
        <v>汇金股份:首次公开发行股票并在创业板上市招股意向书</v>
      </c>
      <c r="F219" t="s">
        <v>1101</v>
      </c>
    </row>
    <row r="220" spans="1:6" x14ac:dyDescent="0.15">
      <c r="A220" s="1">
        <v>41645</v>
      </c>
      <c r="B220" t="s">
        <v>19</v>
      </c>
      <c r="C220" t="s">
        <v>416</v>
      </c>
      <c r="D220" t="s">
        <v>471</v>
      </c>
      <c r="E220" s="4" t="str">
        <f>HYPERLINK("http://snap.windin.com/ns/bulletin.php?id=21809288&amp;type=1", "东方网力:首次公开发行股票并在创业板上市招股意向书")</f>
        <v>东方网力:首次公开发行股票并在创业板上市招股意向书</v>
      </c>
      <c r="F220" t="s">
        <v>1102</v>
      </c>
    </row>
    <row r="221" spans="1:6" x14ac:dyDescent="0.15">
      <c r="A221" s="1">
        <v>41645</v>
      </c>
      <c r="B221" t="s">
        <v>31</v>
      </c>
      <c r="C221" t="s">
        <v>433</v>
      </c>
      <c r="D221" t="s">
        <v>471</v>
      </c>
      <c r="E221" s="4" t="str">
        <f>HYPERLINK("http://snap.windin.com/ns/bulletin.php?id=21809736&amp;type=1", "创意信息:首次公开发行股票并在创业板上市招股意向书")</f>
        <v>创意信息:首次公开发行股票并在创业板上市招股意向书</v>
      </c>
      <c r="F221" t="s">
        <v>1103</v>
      </c>
    </row>
    <row r="222" spans="1:6" x14ac:dyDescent="0.15">
      <c r="A222" s="1">
        <v>41645</v>
      </c>
      <c r="B222" t="s">
        <v>38</v>
      </c>
      <c r="C222" t="s">
        <v>442</v>
      </c>
      <c r="D222" t="s">
        <v>478</v>
      </c>
      <c r="E222" s="4" t="str">
        <f>HYPERLINK("http://snap.windin.com/ns/bulletin.php?id=21809152&amp;type=1", "思美传媒:首次公开发行股票并上市招股意向书")</f>
        <v>思美传媒:首次公开发行股票并上市招股意向书</v>
      </c>
      <c r="F222" t="s">
        <v>1104</v>
      </c>
    </row>
    <row r="223" spans="1:6" x14ac:dyDescent="0.15">
      <c r="A223" s="1">
        <v>41645</v>
      </c>
      <c r="B223" t="s">
        <v>38</v>
      </c>
      <c r="C223" t="s">
        <v>442</v>
      </c>
      <c r="D223" t="s">
        <v>477</v>
      </c>
      <c r="E223" s="4" t="str">
        <f>HYPERLINK("http://snap.windin.com/ns/bulletin.php?id=21809126&amp;type=1", "思美传媒:首次公开发行股票并上市招股意向书摘要")</f>
        <v>思美传媒:首次公开发行股票并上市招股意向书摘要</v>
      </c>
      <c r="F223" t="s">
        <v>1105</v>
      </c>
    </row>
    <row r="224" spans="1:6" x14ac:dyDescent="0.15">
      <c r="A224" s="1">
        <v>41645</v>
      </c>
      <c r="B224" t="s">
        <v>29</v>
      </c>
      <c r="C224" t="s">
        <v>430</v>
      </c>
      <c r="D224" t="s">
        <v>465</v>
      </c>
      <c r="E224" s="4" t="str">
        <f>HYPERLINK("http://snap.windin.com/ns/bulletin.php?id=21809318&amp;type=1", "欧浦钢网:首次公开发行股票招股意向书")</f>
        <v>欧浦钢网:首次公开发行股票招股意向书</v>
      </c>
      <c r="F224" t="s">
        <v>1106</v>
      </c>
    </row>
    <row r="225" spans="1:6" x14ac:dyDescent="0.15">
      <c r="A225" s="1">
        <v>41645</v>
      </c>
      <c r="B225" t="s">
        <v>29</v>
      </c>
      <c r="C225" t="s">
        <v>430</v>
      </c>
      <c r="D225" t="s">
        <v>466</v>
      </c>
      <c r="E225" s="4" t="str">
        <f>HYPERLINK("http://snap.windin.com/ns/bulletin.php?id=21809280&amp;type=1", "欧浦钢网:首次公开发行股票招股意向书摘要")</f>
        <v>欧浦钢网:首次公开发行股票招股意向书摘要</v>
      </c>
      <c r="F225" t="s">
        <v>1107</v>
      </c>
    </row>
    <row r="226" spans="1:6" x14ac:dyDescent="0.15">
      <c r="A226" s="1">
        <v>41642</v>
      </c>
      <c r="B226" t="s">
        <v>53</v>
      </c>
      <c r="C226" t="s">
        <v>463</v>
      </c>
      <c r="D226" t="s">
        <v>480</v>
      </c>
      <c r="E226" s="4" t="str">
        <f>HYPERLINK("http://snap.windin.com/ns/bulletin.php?id=21758894&amp;type=1", "纽威股份:首次公开发行股票招股意向书更正公告")</f>
        <v>纽威股份:首次公开发行股票招股意向书更正公告</v>
      </c>
      <c r="F226" t="s">
        <v>1108</v>
      </c>
    </row>
    <row r="227" spans="1:6" x14ac:dyDescent="0.15">
      <c r="A227" s="1">
        <v>41642</v>
      </c>
      <c r="B227" t="s">
        <v>45</v>
      </c>
      <c r="C227" t="s">
        <v>450</v>
      </c>
      <c r="D227" t="s">
        <v>465</v>
      </c>
      <c r="E227" s="4" t="str">
        <f>HYPERLINK("http://snap.windin.com/ns/bulletin.php?id=21759414&amp;type=1", "应流股份:首次公开发行股票招股意向书")</f>
        <v>应流股份:首次公开发行股票招股意向书</v>
      </c>
      <c r="F227" t="s">
        <v>1109</v>
      </c>
    </row>
    <row r="228" spans="1:6" x14ac:dyDescent="0.15">
      <c r="A228" s="1">
        <v>41642</v>
      </c>
      <c r="B228" t="s">
        <v>45</v>
      </c>
      <c r="C228" t="s">
        <v>450</v>
      </c>
      <c r="D228" t="s">
        <v>467</v>
      </c>
      <c r="E228" s="4" t="str">
        <f>HYPERLINK("http://snap.windin.com/ns/bulletin.php?id=21759416&amp;type=1", "应流股份:首次公开发行股票招股意向书附录")</f>
        <v>应流股份:首次公开发行股票招股意向书附录</v>
      </c>
      <c r="F228" t="s">
        <v>1110</v>
      </c>
    </row>
    <row r="229" spans="1:6" x14ac:dyDescent="0.15">
      <c r="A229" s="1">
        <v>41642</v>
      </c>
      <c r="B229" t="s">
        <v>45</v>
      </c>
      <c r="C229" t="s">
        <v>450</v>
      </c>
      <c r="D229" t="s">
        <v>466</v>
      </c>
      <c r="E229" s="4" t="str">
        <f>HYPERLINK("http://snap.windin.com/ns/bulletin.php?id=21759412&amp;type=1", "应流股份:首次公开发行股票招股意向书摘要")</f>
        <v>应流股份:首次公开发行股票招股意向书摘要</v>
      </c>
      <c r="F229" t="s">
        <v>1111</v>
      </c>
    </row>
    <row r="230" spans="1:6" x14ac:dyDescent="0.15">
      <c r="A230" s="1">
        <v>41642</v>
      </c>
      <c r="B230" t="s">
        <v>39</v>
      </c>
      <c r="C230" t="s">
        <v>443</v>
      </c>
      <c r="D230" t="s">
        <v>471</v>
      </c>
      <c r="E230" s="4" t="str">
        <f>HYPERLINK("http://snap.windin.com/ns/bulletin.php?id=21759476&amp;type=1", "恒华科技:首次公开发行股票并在创业板上市招股意向书")</f>
        <v>恒华科技:首次公开发行股票并在创业板上市招股意向书</v>
      </c>
      <c r="F230" t="s">
        <v>1112</v>
      </c>
    </row>
    <row r="231" spans="1:6" x14ac:dyDescent="0.15">
      <c r="A231" s="1">
        <v>41642</v>
      </c>
      <c r="B231" t="s">
        <v>20</v>
      </c>
      <c r="C231" t="s">
        <v>418</v>
      </c>
      <c r="D231" t="s">
        <v>471</v>
      </c>
      <c r="E231" s="4" t="str">
        <f>HYPERLINK("http://snap.windin.com/ns/bulletin.php?id=21759546&amp;type=1", "博腾股份:首次公开发行股票并在创业板上市招股意向书")</f>
        <v>博腾股份:首次公开发行股票并在创业板上市招股意向书</v>
      </c>
      <c r="F231" t="s">
        <v>1113</v>
      </c>
    </row>
    <row r="232" spans="1:6" x14ac:dyDescent="0.15">
      <c r="A232" s="1">
        <v>41642</v>
      </c>
      <c r="B232" t="s">
        <v>41</v>
      </c>
      <c r="C232" t="s">
        <v>445</v>
      </c>
      <c r="D232" t="s">
        <v>479</v>
      </c>
      <c r="E232" s="4" t="str">
        <f>HYPERLINK("http://snap.windin.com/ns/bulletin.php?id=21761426&amp;type=1", "天赐材料:关于公司首次公开发行股票招股意向书以及招股意向书摘要之更正公告")</f>
        <v>天赐材料:关于公司首次公开发行股票招股意向书以及招股意向书摘要之更正公告</v>
      </c>
      <c r="F232" t="s">
        <v>1114</v>
      </c>
    </row>
    <row r="233" spans="1:6" x14ac:dyDescent="0.15">
      <c r="A233" s="1">
        <v>41642</v>
      </c>
      <c r="B233" t="s">
        <v>41</v>
      </c>
      <c r="C233" t="s">
        <v>445</v>
      </c>
      <c r="D233" t="s">
        <v>465</v>
      </c>
      <c r="E233" s="4" t="str">
        <f>HYPERLINK("http://snap.windin.com/ns/bulletin.php?id=21759602&amp;type=1", "天赐材料:首次公开发行股票招股意向书")</f>
        <v>天赐材料:首次公开发行股票招股意向书</v>
      </c>
      <c r="F233" t="s">
        <v>1115</v>
      </c>
    </row>
    <row r="234" spans="1:6" x14ac:dyDescent="0.15">
      <c r="A234" s="1">
        <v>41642</v>
      </c>
      <c r="B234" t="s">
        <v>41</v>
      </c>
      <c r="C234" t="s">
        <v>445</v>
      </c>
      <c r="D234" t="s">
        <v>473</v>
      </c>
      <c r="E234" s="4" t="str">
        <f>HYPERLINK("http://snap.windin.com/ns/bulletin.php?id=21761432&amp;type=1", "天赐材料:首次公开发行股票招股意向书(更新后)")</f>
        <v>天赐材料:首次公开发行股票招股意向书(更新后)</v>
      </c>
      <c r="F234" t="s">
        <v>1116</v>
      </c>
    </row>
    <row r="235" spans="1:6" x14ac:dyDescent="0.15">
      <c r="A235" s="1">
        <v>41642</v>
      </c>
      <c r="B235" t="s">
        <v>41</v>
      </c>
      <c r="C235" t="s">
        <v>445</v>
      </c>
      <c r="D235" t="s">
        <v>466</v>
      </c>
      <c r="E235" s="4" t="str">
        <f>HYPERLINK("http://snap.windin.com/ns/bulletin.php?id=21759590&amp;type=1", "天赐材料:首次公开发行股票招股意向书摘要")</f>
        <v>天赐材料:首次公开发行股票招股意向书摘要</v>
      </c>
      <c r="F235" t="s">
        <v>1117</v>
      </c>
    </row>
    <row r="236" spans="1:6" x14ac:dyDescent="0.15">
      <c r="A236" s="1">
        <v>41642</v>
      </c>
      <c r="B236" t="s">
        <v>41</v>
      </c>
      <c r="C236" t="s">
        <v>445</v>
      </c>
      <c r="D236" t="s">
        <v>472</v>
      </c>
      <c r="E236" s="4" t="str">
        <f>HYPERLINK("http://snap.windin.com/ns/bulletin.php?id=21761428&amp;type=1", "天赐材料:首次公开发行股票招股意向书摘要(更新后)")</f>
        <v>天赐材料:首次公开发行股票招股意向书摘要(更新后)</v>
      </c>
      <c r="F236" t="s">
        <v>1118</v>
      </c>
    </row>
    <row r="237" spans="1:6" x14ac:dyDescent="0.15">
      <c r="A237" s="1">
        <v>41642</v>
      </c>
      <c r="B237" t="s">
        <v>51</v>
      </c>
      <c r="C237" t="s">
        <v>457</v>
      </c>
      <c r="D237" t="s">
        <v>465</v>
      </c>
      <c r="E237" s="4" t="str">
        <f>HYPERLINK("http://snap.windin.com/ns/bulletin.php?id=21759696&amp;type=1", "光洋股份:首次公开发行股票招股意向书")</f>
        <v>光洋股份:首次公开发行股票招股意向书</v>
      </c>
      <c r="F237" t="s">
        <v>1119</v>
      </c>
    </row>
    <row r="238" spans="1:6" x14ac:dyDescent="0.15">
      <c r="A238" s="1">
        <v>41642</v>
      </c>
      <c r="B238" t="s">
        <v>51</v>
      </c>
      <c r="C238" t="s">
        <v>457</v>
      </c>
      <c r="D238" t="s">
        <v>466</v>
      </c>
      <c r="E238" s="4" t="str">
        <f>HYPERLINK("http://snap.windin.com/ns/bulletin.php?id=21759704&amp;type=1", "光洋股份:首次公开发行股票招股意向书摘要")</f>
        <v>光洋股份:首次公开发行股票招股意向书摘要</v>
      </c>
      <c r="F238" t="s">
        <v>1120</v>
      </c>
    </row>
    <row r="239" spans="1:6" x14ac:dyDescent="0.15">
      <c r="A239" s="1">
        <v>41641</v>
      </c>
      <c r="B239" t="s">
        <v>49</v>
      </c>
      <c r="C239" t="s">
        <v>454</v>
      </c>
      <c r="D239" t="s">
        <v>471</v>
      </c>
      <c r="E239" s="4" t="str">
        <f>HYPERLINK("http://snap.windin.com/ns/bulletin.php?id=21742160&amp;type=1", "天保重装:首次公开发行股票并在创业板上市招股意向书")</f>
        <v>天保重装:首次公开发行股票并在创业板上市招股意向书</v>
      </c>
      <c r="F239" t="s">
        <v>1121</v>
      </c>
    </row>
    <row r="240" spans="1:6" x14ac:dyDescent="0.15">
      <c r="A240" s="1">
        <v>41641</v>
      </c>
      <c r="B240" t="s">
        <v>47</v>
      </c>
      <c r="C240" t="s">
        <v>452</v>
      </c>
      <c r="D240" t="s">
        <v>471</v>
      </c>
      <c r="E240" s="4" t="str">
        <f>HYPERLINK("http://snap.windin.com/ns/bulletin.php?id=21742228&amp;type=1", "炬华科技:首次公开发行股票并在创业板上市招股意向书")</f>
        <v>炬华科技:首次公开发行股票并在创业板上市招股意向书</v>
      </c>
      <c r="F240" t="s">
        <v>1122</v>
      </c>
    </row>
    <row r="241" spans="1:6" x14ac:dyDescent="0.15">
      <c r="A241" s="1">
        <v>41641</v>
      </c>
      <c r="B241" t="s">
        <v>42</v>
      </c>
      <c r="C241" t="s">
        <v>446</v>
      </c>
      <c r="D241" t="s">
        <v>465</v>
      </c>
      <c r="E241" s="4" t="str">
        <f>HYPERLINK("http://snap.windin.com/ns/bulletin.php?id=21742380&amp;type=1", "众信旅游:首次公开发行股票招股意向书")</f>
        <v>众信旅游:首次公开发行股票招股意向书</v>
      </c>
      <c r="F241" t="s">
        <v>1123</v>
      </c>
    </row>
    <row r="242" spans="1:6" x14ac:dyDescent="0.15">
      <c r="A242" s="1">
        <v>41641</v>
      </c>
      <c r="B242" t="s">
        <v>42</v>
      </c>
      <c r="C242" t="s">
        <v>446</v>
      </c>
      <c r="D242" t="s">
        <v>466</v>
      </c>
      <c r="E242" s="4" t="str">
        <f>HYPERLINK("http://snap.windin.com/ns/bulletin.php?id=21742320&amp;type=1", "众信旅游:首次公开发行股票招股意向书摘要")</f>
        <v>众信旅游:首次公开发行股票招股意向书摘要</v>
      </c>
      <c r="F242" t="s">
        <v>1124</v>
      </c>
    </row>
    <row r="243" spans="1:6" x14ac:dyDescent="0.15">
      <c r="A243" s="1">
        <v>41641</v>
      </c>
      <c r="B243" t="s">
        <v>52</v>
      </c>
      <c r="C243" t="s">
        <v>458</v>
      </c>
      <c r="D243" t="s">
        <v>465</v>
      </c>
      <c r="E243" s="4" t="str">
        <f>HYPERLINK("http://snap.windin.com/ns/bulletin.php?id=21742366&amp;type=1", "良信电器:首次公开发行股票招股意向书")</f>
        <v>良信电器:首次公开发行股票招股意向书</v>
      </c>
      <c r="F243" t="s">
        <v>1125</v>
      </c>
    </row>
    <row r="244" spans="1:6" x14ac:dyDescent="0.15">
      <c r="A244" s="1">
        <v>41641</v>
      </c>
      <c r="B244" t="s">
        <v>52</v>
      </c>
      <c r="C244" t="s">
        <v>458</v>
      </c>
      <c r="D244" t="s">
        <v>466</v>
      </c>
      <c r="E244" s="4" t="str">
        <f>HYPERLINK("http://snap.windin.com/ns/bulletin.php?id=21742358&amp;type=1", "良信电器:首次公开发行股票招股意向书摘要")</f>
        <v>良信电器:首次公开发行股票招股意向书摘要</v>
      </c>
      <c r="F244" t="s">
        <v>1126</v>
      </c>
    </row>
    <row r="245" spans="1:6" x14ac:dyDescent="0.15">
      <c r="A245" s="1">
        <v>41639</v>
      </c>
      <c r="B245" t="s">
        <v>53</v>
      </c>
      <c r="C245" t="s">
        <v>463</v>
      </c>
      <c r="D245" t="s">
        <v>465</v>
      </c>
      <c r="E245" s="4" t="str">
        <f>HYPERLINK("http://snap.windin.com/ns/bulletin.php?id=21728128&amp;type=1", "纽威股份:首次公开发行股票招股意向书")</f>
        <v>纽威股份:首次公开发行股票招股意向书</v>
      </c>
      <c r="F245" t="s">
        <v>1127</v>
      </c>
    </row>
    <row r="246" spans="1:6" x14ac:dyDescent="0.15">
      <c r="A246" s="1">
        <v>41639</v>
      </c>
      <c r="B246" t="s">
        <v>53</v>
      </c>
      <c r="C246" t="s">
        <v>463</v>
      </c>
      <c r="D246" t="s">
        <v>467</v>
      </c>
      <c r="E246" s="4" t="str">
        <f>HYPERLINK("http://snap.windin.com/ns/bulletin.php?id=21728132&amp;type=1", "纽威股份:首次公开发行股票招股意向书附录")</f>
        <v>纽威股份:首次公开发行股票招股意向书附录</v>
      </c>
      <c r="F246" t="s">
        <v>1128</v>
      </c>
    </row>
    <row r="247" spans="1:6" x14ac:dyDescent="0.15">
      <c r="A247" s="1">
        <v>41639</v>
      </c>
      <c r="B247" t="s">
        <v>53</v>
      </c>
      <c r="C247" t="s">
        <v>463</v>
      </c>
      <c r="D247" t="s">
        <v>466</v>
      </c>
      <c r="E247" s="4" t="str">
        <f>HYPERLINK("http://snap.windin.com/ns/bulletin.php?id=21728126&amp;type=1", "纽威股份:首次公开发行股票招股意向书摘要")</f>
        <v>纽威股份:首次公开发行股票招股意向书摘要</v>
      </c>
      <c r="F247" t="s">
        <v>1129</v>
      </c>
    </row>
    <row r="248" spans="1:6" x14ac:dyDescent="0.15">
      <c r="A248" s="1">
        <v>41639</v>
      </c>
      <c r="B248" t="s">
        <v>48</v>
      </c>
      <c r="C248" t="s">
        <v>453</v>
      </c>
      <c r="D248" t="s">
        <v>471</v>
      </c>
      <c r="E248" s="4" t="str">
        <f>HYPERLINK("http://snap.windin.com/ns/bulletin.php?id=21726900&amp;type=1", "全通教育:首次公开发行股票并在创业板上市招股意向书")</f>
        <v>全通教育:首次公开发行股票并在创业板上市招股意向书</v>
      </c>
      <c r="F248" t="s">
        <v>1130</v>
      </c>
    </row>
    <row r="249" spans="1:6" x14ac:dyDescent="0.15">
      <c r="A249" s="1">
        <v>41639</v>
      </c>
      <c r="B249" t="s">
        <v>50</v>
      </c>
      <c r="C249" t="s">
        <v>456</v>
      </c>
      <c r="D249" t="s">
        <v>471</v>
      </c>
      <c r="E249" s="4" t="str">
        <f>HYPERLINK("http://snap.windin.com/ns/bulletin.php?id=21726802&amp;type=1", "楚天科技:首次公开发行股票并在创业板上市招股意向书")</f>
        <v>楚天科技:首次公开发行股票并在创业板上市招股意向书</v>
      </c>
      <c r="F249" t="s">
        <v>1131</v>
      </c>
    </row>
    <row r="250" spans="1:6" x14ac:dyDescent="0.15">
      <c r="A250" s="1">
        <v>41639</v>
      </c>
      <c r="B250" t="s">
        <v>46</v>
      </c>
      <c r="C250" t="s">
        <v>451</v>
      </c>
      <c r="D250" t="s">
        <v>471</v>
      </c>
      <c r="E250" s="4" t="str">
        <f>HYPERLINK("http://snap.windin.com/ns/bulletin.php?id=21726862&amp;type=1", "我武生物:首次公开发行股票并在创业板上市招股意向书")</f>
        <v>我武生物:首次公开发行股票并在创业板上市招股意向书</v>
      </c>
      <c r="F250" t="s">
        <v>1132</v>
      </c>
    </row>
    <row r="251" spans="1:6" x14ac:dyDescent="0.15">
      <c r="A251" s="1">
        <v>41639</v>
      </c>
      <c r="B251" t="s">
        <v>10</v>
      </c>
      <c r="C251" t="s">
        <v>393</v>
      </c>
      <c r="D251" t="s">
        <v>465</v>
      </c>
      <c r="E251" s="4" t="str">
        <f>HYPERLINK("http://snap.windin.com/ns/bulletin.php?id=21726704&amp;type=1", "新宝股份:首次公开发行股票招股意向书")</f>
        <v>新宝股份:首次公开发行股票招股意向书</v>
      </c>
      <c r="F251" t="s">
        <v>1133</v>
      </c>
    </row>
    <row r="252" spans="1:6" x14ac:dyDescent="0.15">
      <c r="A252" s="1">
        <v>41639</v>
      </c>
      <c r="B252" t="s">
        <v>10</v>
      </c>
      <c r="C252" t="s">
        <v>393</v>
      </c>
      <c r="D252" t="s">
        <v>466</v>
      </c>
      <c r="E252" s="4" t="str">
        <f>HYPERLINK("http://snap.windin.com/ns/bulletin.php?id=21726692&amp;type=1", "新宝股份:首次公开发行股票招股意向书摘要")</f>
        <v>新宝股份:首次公开发行股票招股意向书摘要</v>
      </c>
      <c r="F252" t="s">
        <v>1134</v>
      </c>
    </row>
    <row r="253" spans="1:6" x14ac:dyDescent="0.15">
      <c r="A253" s="1">
        <v>41458</v>
      </c>
      <c r="B253" t="s">
        <v>54</v>
      </c>
      <c r="C253" t="s">
        <v>481</v>
      </c>
      <c r="D253" t="s">
        <v>395</v>
      </c>
      <c r="E253" s="4" t="str">
        <f>HYPERLINK("http://snap.windin.com/ns/bulletin.php?id=20524058&amp;type=1", "露笑科技:首次公开发行股票上市公告书(更新后)")</f>
        <v>露笑科技:首次公开发行股票上市公告书(更新后)</v>
      </c>
      <c r="F253" t="s">
        <v>1135</v>
      </c>
    </row>
    <row r="254" spans="1:6" x14ac:dyDescent="0.15">
      <c r="A254" s="1">
        <v>41458</v>
      </c>
      <c r="B254" t="s">
        <v>54</v>
      </c>
      <c r="C254" t="s">
        <v>481</v>
      </c>
      <c r="D254" t="s">
        <v>482</v>
      </c>
      <c r="E254" s="4" t="str">
        <f>HYPERLINK("http://snap.windin.com/ns/bulletin.php?id=20524066&amp;type=1", "露笑科技:首次公开发行股票上市公告书的更正公告")</f>
        <v>露笑科技:首次公开发行股票上市公告书的更正公告</v>
      </c>
      <c r="F254" t="s">
        <v>1136</v>
      </c>
    </row>
    <row r="255" spans="1:6" x14ac:dyDescent="0.15">
      <c r="A255" s="1">
        <v>41235</v>
      </c>
      <c r="B255" t="s">
        <v>55</v>
      </c>
      <c r="C255" t="s">
        <v>483</v>
      </c>
      <c r="D255" t="s">
        <v>385</v>
      </c>
      <c r="E255" s="4" t="str">
        <f>HYPERLINK("http://snap.windin.com/ns/bulletin.php?id=11667430&amp;type=1", "郑煤机:关于刊发H股招股说明书,H股发行价格区间及H股香港公开发售等相关事宜的公告")</f>
        <v>郑煤机:关于刊发H股招股说明书,H股发行价格区间及H股香港公开发售等相关事宜的公告</v>
      </c>
      <c r="F255" t="s">
        <v>1137</v>
      </c>
    </row>
    <row r="256" spans="1:6" x14ac:dyDescent="0.15">
      <c r="A256" s="1">
        <v>41214</v>
      </c>
      <c r="B256" t="s">
        <v>56</v>
      </c>
      <c r="C256" t="s">
        <v>484</v>
      </c>
      <c r="D256" t="s">
        <v>402</v>
      </c>
      <c r="E256" s="4" t="str">
        <f>HYPERLINK("http://snap.windin.com/ns/bulletin.php?id=11336110&amp;type=1", "浙江世宝:首次公开发行A股股票上市公告书")</f>
        <v>浙江世宝:首次公开发行A股股票上市公告书</v>
      </c>
      <c r="F256" t="s">
        <v>1138</v>
      </c>
    </row>
    <row r="257" spans="1:6" x14ac:dyDescent="0.15">
      <c r="A257" s="1">
        <v>41207</v>
      </c>
      <c r="B257" t="s">
        <v>56</v>
      </c>
      <c r="C257" t="s">
        <v>484</v>
      </c>
      <c r="D257" t="s">
        <v>399</v>
      </c>
      <c r="E257" s="4" t="str">
        <f>HYPERLINK("http://snap.windin.com/ns/bulletin.php?id=11179230&amp;type=1", "浙江世宝:首次公开发行股票招股说明书")</f>
        <v>浙江世宝:首次公开发行股票招股说明书</v>
      </c>
      <c r="F257" t="s">
        <v>1139</v>
      </c>
    </row>
    <row r="258" spans="1:6" x14ac:dyDescent="0.15">
      <c r="A258" s="1">
        <v>41207</v>
      </c>
      <c r="B258" t="s">
        <v>56</v>
      </c>
      <c r="C258" t="s">
        <v>484</v>
      </c>
      <c r="D258" t="s">
        <v>400</v>
      </c>
      <c r="E258" s="4" t="str">
        <f>HYPERLINK("http://snap.windin.com/ns/bulletin.php?id=11179240&amp;type=1", "浙江世宝:首次公开发行股票招股说明书摘要")</f>
        <v>浙江世宝:首次公开发行股票招股说明书摘要</v>
      </c>
      <c r="F258" t="s">
        <v>1140</v>
      </c>
    </row>
    <row r="259" spans="1:6" x14ac:dyDescent="0.15">
      <c r="A259" s="1">
        <v>41192</v>
      </c>
      <c r="B259" t="s">
        <v>58</v>
      </c>
      <c r="C259" t="s">
        <v>486</v>
      </c>
      <c r="D259" t="s">
        <v>389</v>
      </c>
      <c r="E259" s="4" t="str">
        <f>HYPERLINK("http://snap.windin.com/ns/bulletin.php?id=10978950&amp;type=1", "腾新食品:首次公开发行股票上市公告书")</f>
        <v>腾新食品:首次公开发行股票上市公告书</v>
      </c>
      <c r="F259" t="s">
        <v>1141</v>
      </c>
    </row>
    <row r="260" spans="1:6" x14ac:dyDescent="0.15">
      <c r="A260" s="1">
        <v>41192</v>
      </c>
      <c r="B260" t="s">
        <v>57</v>
      </c>
      <c r="C260" t="s">
        <v>485</v>
      </c>
      <c r="D260" t="s">
        <v>389</v>
      </c>
      <c r="E260" s="4" t="str">
        <f>HYPERLINK("http://snap.windin.com/ns/bulletin.php?id=10979210&amp;type=1", "奥瑞金:首次公开发行股票上市公告书")</f>
        <v>奥瑞金:首次公开发行股票上市公告书</v>
      </c>
      <c r="F260" t="s">
        <v>1142</v>
      </c>
    </row>
    <row r="261" spans="1:6" x14ac:dyDescent="0.15">
      <c r="A261" s="1">
        <v>41190</v>
      </c>
      <c r="B261" t="s">
        <v>60</v>
      </c>
      <c r="C261" t="s">
        <v>488</v>
      </c>
      <c r="D261" t="s">
        <v>462</v>
      </c>
      <c r="E261" s="4" t="str">
        <f>HYPERLINK("http://snap.windin.com/ns/bulletin.php?id=10951500&amp;type=1", "洛阳钼业:首次公开发行A股股票招股说明书")</f>
        <v>洛阳钼业:首次公开发行A股股票招股说明书</v>
      </c>
      <c r="F261" t="s">
        <v>1143</v>
      </c>
    </row>
    <row r="262" spans="1:6" x14ac:dyDescent="0.15">
      <c r="A262" s="1">
        <v>41190</v>
      </c>
      <c r="B262" t="s">
        <v>60</v>
      </c>
      <c r="C262" t="s">
        <v>488</v>
      </c>
      <c r="D262" t="s">
        <v>389</v>
      </c>
      <c r="E262" s="4" t="str">
        <f>HYPERLINK("http://snap.windin.com/ns/bulletin.php?id=10951470&amp;type=1", "洛阳钼业:首次公开发行股票上市公告书")</f>
        <v>洛阳钼业:首次公开发行股票上市公告书</v>
      </c>
      <c r="F262" t="s">
        <v>1144</v>
      </c>
    </row>
    <row r="263" spans="1:6" x14ac:dyDescent="0.15">
      <c r="A263" s="1">
        <v>41190</v>
      </c>
      <c r="B263" t="s">
        <v>59</v>
      </c>
      <c r="C263" t="s">
        <v>487</v>
      </c>
      <c r="D263" t="s">
        <v>407</v>
      </c>
      <c r="E263" s="4" t="str">
        <f>HYPERLINK("http://snap.windin.com/ns/bulletin.php?id=10952980&amp;type=1", "光一科技:首次公开发行股票并在创业板上市公告书提示性公告")</f>
        <v>光一科技:首次公开发行股票并在创业板上市公告书提示性公告</v>
      </c>
      <c r="F263" t="s">
        <v>1145</v>
      </c>
    </row>
    <row r="264" spans="1:6" x14ac:dyDescent="0.15">
      <c r="A264" s="1">
        <v>41190</v>
      </c>
      <c r="B264" t="s">
        <v>59</v>
      </c>
      <c r="C264" t="s">
        <v>487</v>
      </c>
      <c r="D264" t="s">
        <v>412</v>
      </c>
      <c r="E264" s="4" t="str">
        <f>HYPERLINK("http://snap.windin.com/ns/bulletin.php?id=10952880&amp;type=1", "光一科技:首次公开发行股票并在创业板上市上市公告书")</f>
        <v>光一科技:首次公开发行股票并在创业板上市上市公告书</v>
      </c>
      <c r="F264" t="s">
        <v>1146</v>
      </c>
    </row>
    <row r="265" spans="1:6" x14ac:dyDescent="0.15">
      <c r="A265" s="1">
        <v>41180</v>
      </c>
      <c r="B265" t="s">
        <v>56</v>
      </c>
      <c r="C265" t="s">
        <v>484</v>
      </c>
      <c r="D265" t="s">
        <v>465</v>
      </c>
      <c r="E265" s="4" t="str">
        <f>HYPERLINK("http://snap.windin.com/ns/bulletin.php?id=10892820&amp;type=1", "浙江世宝:首次公开发行股票招股意向书")</f>
        <v>浙江世宝:首次公开发行股票招股意向书</v>
      </c>
      <c r="F265" t="s">
        <v>1147</v>
      </c>
    </row>
    <row r="266" spans="1:6" x14ac:dyDescent="0.15">
      <c r="A266" s="1">
        <v>41180</v>
      </c>
      <c r="B266" t="s">
        <v>56</v>
      </c>
      <c r="C266" t="s">
        <v>484</v>
      </c>
      <c r="D266" t="s">
        <v>466</v>
      </c>
      <c r="E266" s="4" t="str">
        <f>HYPERLINK("http://snap.windin.com/ns/bulletin.php?id=10892860&amp;type=1", "浙江世宝:首次公开发行股票招股意向书摘要")</f>
        <v>浙江世宝:首次公开发行股票招股意向书摘要</v>
      </c>
      <c r="F266" t="s">
        <v>1148</v>
      </c>
    </row>
    <row r="267" spans="1:6" x14ac:dyDescent="0.15">
      <c r="A267" s="1">
        <v>41178</v>
      </c>
      <c r="B267" t="s">
        <v>61</v>
      </c>
      <c r="C267" t="s">
        <v>489</v>
      </c>
      <c r="D267" t="s">
        <v>407</v>
      </c>
      <c r="E267" s="4" t="str">
        <f>HYPERLINK("http://snap.windin.com/ns/bulletin.php?id=10818400&amp;type=1", "蒙草抗旱:首次公开发行股票并在创业板上市公告书提示性公告")</f>
        <v>蒙草抗旱:首次公开发行股票并在创业板上市公告书提示性公告</v>
      </c>
      <c r="F267" t="s">
        <v>1149</v>
      </c>
    </row>
    <row r="268" spans="1:6" x14ac:dyDescent="0.15">
      <c r="A268" s="1">
        <v>41178</v>
      </c>
      <c r="B268" t="s">
        <v>61</v>
      </c>
      <c r="C268" t="s">
        <v>489</v>
      </c>
      <c r="D268" t="s">
        <v>408</v>
      </c>
      <c r="E268" s="4" t="str">
        <f>HYPERLINK("http://snap.windin.com/ns/bulletin.php?id=10818510&amp;type=1", "蒙草抗旱:首次公开发行股票并在创业板上市之上市公告书")</f>
        <v>蒙草抗旱:首次公开发行股票并在创业板上市之上市公告书</v>
      </c>
      <c r="F268" t="s">
        <v>1150</v>
      </c>
    </row>
    <row r="269" spans="1:6" x14ac:dyDescent="0.15">
      <c r="A269" s="1">
        <v>41178</v>
      </c>
      <c r="B269" t="s">
        <v>62</v>
      </c>
      <c r="C269" t="s">
        <v>490</v>
      </c>
      <c r="D269" t="s">
        <v>417</v>
      </c>
      <c r="E269" s="4" t="str">
        <f>HYPERLINK("http://snap.windin.com/ns/bulletin.php?id=10806770&amp;type=1", "东土科技:首次公开发行股票并在创业板上市公告书")</f>
        <v>东土科技:首次公开发行股票并在创业板上市公告书</v>
      </c>
      <c r="F269" t="s">
        <v>1151</v>
      </c>
    </row>
    <row r="270" spans="1:6" x14ac:dyDescent="0.15">
      <c r="A270" s="1">
        <v>41178</v>
      </c>
      <c r="B270" t="s">
        <v>62</v>
      </c>
      <c r="C270" t="s">
        <v>490</v>
      </c>
      <c r="D270" t="s">
        <v>383</v>
      </c>
      <c r="E270" s="4" t="str">
        <f>HYPERLINK("http://snap.windin.com/ns/bulletin.php?id=10806710&amp;type=1", "东土科技:首次公开发行股票并在创业板上市上市公告书提示性公告")</f>
        <v>东土科技:首次公开发行股票并在创业板上市上市公告书提示性公告</v>
      </c>
      <c r="F270" t="s">
        <v>1152</v>
      </c>
    </row>
    <row r="271" spans="1:6" x14ac:dyDescent="0.15">
      <c r="A271" s="1">
        <v>41176</v>
      </c>
      <c r="B271" t="s">
        <v>58</v>
      </c>
      <c r="C271" t="s">
        <v>486</v>
      </c>
      <c r="D271" t="s">
        <v>399</v>
      </c>
      <c r="E271" s="4" t="str">
        <f>HYPERLINK("http://snap.windin.com/ns/bulletin.php?id=10520870&amp;type=1", "腾新食品:首次公开发行股票招股说明书")</f>
        <v>腾新食品:首次公开发行股票招股说明书</v>
      </c>
      <c r="F271" t="s">
        <v>1153</v>
      </c>
    </row>
    <row r="272" spans="1:6" x14ac:dyDescent="0.15">
      <c r="A272" s="1">
        <v>41176</v>
      </c>
      <c r="B272" t="s">
        <v>58</v>
      </c>
      <c r="C272" t="s">
        <v>486</v>
      </c>
      <c r="D272" t="s">
        <v>400</v>
      </c>
      <c r="E272" s="4" t="str">
        <f>HYPERLINK("http://snap.windin.com/ns/bulletin.php?id=10520800&amp;type=1", "腾新食品:首次公开发行股票招股说明书摘要")</f>
        <v>腾新食品:首次公开发行股票招股说明书摘要</v>
      </c>
      <c r="F272" t="s">
        <v>1154</v>
      </c>
    </row>
    <row r="273" spans="1:6" x14ac:dyDescent="0.15">
      <c r="A273" s="1">
        <v>41176</v>
      </c>
      <c r="B273" t="s">
        <v>57</v>
      </c>
      <c r="C273" t="s">
        <v>485</v>
      </c>
      <c r="D273" t="s">
        <v>399</v>
      </c>
      <c r="E273" s="4" t="str">
        <f>HYPERLINK("http://snap.windin.com/ns/bulletin.php?id=10569650&amp;type=1", "奥瑞金:首次公开发行股票招股说明书")</f>
        <v>奥瑞金:首次公开发行股票招股说明书</v>
      </c>
      <c r="F273" t="s">
        <v>1155</v>
      </c>
    </row>
    <row r="274" spans="1:6" x14ac:dyDescent="0.15">
      <c r="A274" s="1">
        <v>41176</v>
      </c>
      <c r="B274" t="s">
        <v>57</v>
      </c>
      <c r="C274" t="s">
        <v>485</v>
      </c>
      <c r="D274" t="s">
        <v>400</v>
      </c>
      <c r="E274" s="4" t="str">
        <f>HYPERLINK("http://snap.windin.com/ns/bulletin.php?id=10569660&amp;type=1", "奥瑞金:首次公开发行股票招股说明书摘要")</f>
        <v>奥瑞金:首次公开发行股票招股说明书摘要</v>
      </c>
      <c r="F274" t="s">
        <v>1156</v>
      </c>
    </row>
    <row r="275" spans="1:6" x14ac:dyDescent="0.15">
      <c r="A275" s="1">
        <v>41173</v>
      </c>
      <c r="B275" t="s">
        <v>59</v>
      </c>
      <c r="C275" t="s">
        <v>487</v>
      </c>
      <c r="D275" t="s">
        <v>455</v>
      </c>
      <c r="E275" s="4" t="str">
        <f>HYPERLINK("http://snap.windin.com/ns/bulletin.php?id=10106860&amp;type=1", "光一科技:首次公开发行股票并在创业板上市招股说明书")</f>
        <v>光一科技:首次公开发行股票并在创业板上市招股说明书</v>
      </c>
      <c r="F275" t="s">
        <v>1157</v>
      </c>
    </row>
    <row r="276" spans="1:6" x14ac:dyDescent="0.15">
      <c r="A276" s="1">
        <v>41172</v>
      </c>
      <c r="B276" t="s">
        <v>63</v>
      </c>
      <c r="C276" t="s">
        <v>491</v>
      </c>
      <c r="D276" t="s">
        <v>389</v>
      </c>
      <c r="E276" s="4" t="str">
        <f>HYPERLINK("http://snap.windin.com/ns/bulletin.php?id=10063730&amp;type=1", "新疆浩源:首次公开发行股票上市公告书")</f>
        <v>新疆浩源:首次公开发行股票上市公告书</v>
      </c>
      <c r="F276" t="s">
        <v>1158</v>
      </c>
    </row>
    <row r="277" spans="1:6" x14ac:dyDescent="0.15">
      <c r="A277" s="1">
        <v>41171</v>
      </c>
      <c r="B277" t="s">
        <v>64</v>
      </c>
      <c r="C277" t="s">
        <v>492</v>
      </c>
      <c r="D277" t="s">
        <v>412</v>
      </c>
      <c r="E277" s="4" t="str">
        <f>HYPERLINK("http://snap.windin.com/ns/bulletin.php?id=10055650&amp;type=1", "东华测试:首次公开发行股票并在创业板上市上市公告书")</f>
        <v>东华测试:首次公开发行股票并在创业板上市上市公告书</v>
      </c>
      <c r="F277" t="s">
        <v>1159</v>
      </c>
    </row>
    <row r="278" spans="1:6" x14ac:dyDescent="0.15">
      <c r="A278" s="1">
        <v>41171</v>
      </c>
      <c r="B278" t="s">
        <v>64</v>
      </c>
      <c r="C278" t="s">
        <v>492</v>
      </c>
      <c r="D278" t="s">
        <v>383</v>
      </c>
      <c r="E278" s="4" t="str">
        <f>HYPERLINK("http://snap.windin.com/ns/bulletin.php?id=10055630&amp;type=1", "东华测试:首次公开发行股票并在创业板上市上市公告书提示性公告")</f>
        <v>东华测试:首次公开发行股票并在创业板上市上市公告书提示性公告</v>
      </c>
      <c r="F278" t="s">
        <v>1160</v>
      </c>
    </row>
    <row r="279" spans="1:6" x14ac:dyDescent="0.15">
      <c r="A279" s="1">
        <v>41171</v>
      </c>
      <c r="B279" t="s">
        <v>65</v>
      </c>
      <c r="C279" t="s">
        <v>493</v>
      </c>
      <c r="D279" t="s">
        <v>417</v>
      </c>
      <c r="E279" s="4" t="str">
        <f>HYPERLINK("http://snap.windin.com/ns/bulletin.php?id=10055600&amp;type=1", "永贵电器:首次公开发行股票并在创业板上市公告书")</f>
        <v>永贵电器:首次公开发行股票并在创业板上市公告书</v>
      </c>
      <c r="F279" t="s">
        <v>1161</v>
      </c>
    </row>
    <row r="280" spans="1:6" x14ac:dyDescent="0.15">
      <c r="A280" s="1">
        <v>41171</v>
      </c>
      <c r="B280" t="s">
        <v>65</v>
      </c>
      <c r="C280" t="s">
        <v>493</v>
      </c>
      <c r="D280" t="s">
        <v>383</v>
      </c>
      <c r="E280" s="4" t="str">
        <f>HYPERLINK("http://snap.windin.com/ns/bulletin.php?id=10055610&amp;type=1", "永贵电器:首次公开发行股票并在创业板上市上市公告书提示性公告")</f>
        <v>永贵电器:首次公开发行股票并在创业板上市上市公告书提示性公告</v>
      </c>
      <c r="F280" t="s">
        <v>1162</v>
      </c>
    </row>
    <row r="281" spans="1:6" x14ac:dyDescent="0.15">
      <c r="A281" s="1">
        <v>41170</v>
      </c>
      <c r="B281" t="s">
        <v>58</v>
      </c>
      <c r="C281" t="s">
        <v>486</v>
      </c>
      <c r="D281" t="s">
        <v>473</v>
      </c>
      <c r="E281" s="4" t="str">
        <f>HYPERLINK("http://snap.windin.com/ns/bulletin.php?id=10047470&amp;type=1", "腾新食品:首次公开发行股票招股意向书(更新后)")</f>
        <v>腾新食品:首次公开发行股票招股意向书(更新后)</v>
      </c>
      <c r="F281" t="s">
        <v>1163</v>
      </c>
    </row>
    <row r="282" spans="1:6" x14ac:dyDescent="0.15">
      <c r="A282" s="1">
        <v>41170</v>
      </c>
      <c r="B282" t="s">
        <v>58</v>
      </c>
      <c r="C282" t="s">
        <v>486</v>
      </c>
      <c r="D282" t="s">
        <v>472</v>
      </c>
      <c r="E282" s="4" t="str">
        <f>HYPERLINK("http://snap.windin.com/ns/bulletin.php?id=10047500&amp;type=1", "腾新食品:首次公开发行股票招股意向书摘要(更新后)")</f>
        <v>腾新食品:首次公开发行股票招股意向书摘要(更新后)</v>
      </c>
      <c r="F282" t="s">
        <v>1164</v>
      </c>
    </row>
    <row r="283" spans="1:6" x14ac:dyDescent="0.15">
      <c r="A283" s="1">
        <v>41169</v>
      </c>
      <c r="B283" t="s">
        <v>58</v>
      </c>
      <c r="C283" t="s">
        <v>486</v>
      </c>
      <c r="D283" t="s">
        <v>465</v>
      </c>
      <c r="E283" s="4" t="str">
        <f>HYPERLINK("http://snap.windin.com/ns/bulletin.php?id=10036850&amp;type=1", "腾新食品:首次公开发行股票招股意向书")</f>
        <v>腾新食品:首次公开发行股票招股意向书</v>
      </c>
      <c r="F283" t="s">
        <v>1165</v>
      </c>
    </row>
    <row r="284" spans="1:6" x14ac:dyDescent="0.15">
      <c r="A284" s="1">
        <v>41169</v>
      </c>
      <c r="B284" t="s">
        <v>58</v>
      </c>
      <c r="C284" t="s">
        <v>486</v>
      </c>
      <c r="D284" t="s">
        <v>466</v>
      </c>
      <c r="E284" s="4" t="str">
        <f>HYPERLINK("http://snap.windin.com/ns/bulletin.php?id=10036860&amp;type=1", "腾新食品:首次公开发行股票招股意向书摘要")</f>
        <v>腾新食品:首次公开发行股票招股意向书摘要</v>
      </c>
      <c r="F284" t="s">
        <v>1166</v>
      </c>
    </row>
    <row r="285" spans="1:6" x14ac:dyDescent="0.15">
      <c r="A285" s="1">
        <v>41166</v>
      </c>
      <c r="B285" t="s">
        <v>61</v>
      </c>
      <c r="C285" t="s">
        <v>489</v>
      </c>
      <c r="D285" t="s">
        <v>455</v>
      </c>
      <c r="E285" s="4" t="str">
        <f>HYPERLINK("http://snap.windin.com/ns/bulletin.php?id=10023240&amp;type=1", "蒙草抗旱:首次公开发行股票并在创业板上市招股说明书")</f>
        <v>蒙草抗旱:首次公开发行股票并在创业板上市招股说明书</v>
      </c>
      <c r="F285" t="s">
        <v>1167</v>
      </c>
    </row>
    <row r="286" spans="1:6" x14ac:dyDescent="0.15">
      <c r="A286" s="1">
        <v>41164</v>
      </c>
      <c r="B286" t="s">
        <v>57</v>
      </c>
      <c r="C286" t="s">
        <v>485</v>
      </c>
      <c r="D286" t="s">
        <v>465</v>
      </c>
      <c r="E286" s="4" t="str">
        <f>HYPERLINK("http://snap.windin.com/ns/bulletin.php?id=10001570&amp;type=1", "奥瑞金:首次公开发行股票招股意向书")</f>
        <v>奥瑞金:首次公开发行股票招股意向书</v>
      </c>
      <c r="F286" t="s">
        <v>1168</v>
      </c>
    </row>
    <row r="287" spans="1:6" x14ac:dyDescent="0.15">
      <c r="A287" s="1">
        <v>41164</v>
      </c>
      <c r="B287" t="s">
        <v>57</v>
      </c>
      <c r="C287" t="s">
        <v>485</v>
      </c>
      <c r="D287" t="s">
        <v>466</v>
      </c>
      <c r="E287" s="4" t="str">
        <f>HYPERLINK("http://snap.windin.com/ns/bulletin.php?id=10001560&amp;type=1", "奥瑞金:首次公开发行股票招股意向书摘要")</f>
        <v>奥瑞金:首次公开发行股票招股意向书摘要</v>
      </c>
      <c r="F287" t="s">
        <v>1169</v>
      </c>
    </row>
    <row r="288" spans="1:6" x14ac:dyDescent="0.15">
      <c r="A288" s="1">
        <v>41163</v>
      </c>
      <c r="B288" t="s">
        <v>59</v>
      </c>
      <c r="C288" t="s">
        <v>487</v>
      </c>
      <c r="D288" t="s">
        <v>471</v>
      </c>
      <c r="E288" s="4" t="str">
        <f>HYPERLINK("http://snap.windin.com/ns/bulletin.php?id=2572399&amp;type=1", "光一科技:首次公开发行股票并在创业板上市招股意向书")</f>
        <v>光一科技:首次公开发行股票并在创业板上市招股意向书</v>
      </c>
      <c r="F288" t="s">
        <v>1170</v>
      </c>
    </row>
    <row r="289" spans="1:6" x14ac:dyDescent="0.15">
      <c r="A289" s="1">
        <v>41163</v>
      </c>
      <c r="B289" t="s">
        <v>66</v>
      </c>
      <c r="C289" t="s">
        <v>494</v>
      </c>
      <c r="D289" t="s">
        <v>417</v>
      </c>
      <c r="E289" s="4" t="str">
        <f>HYPERLINK("http://snap.windin.com/ns/bulletin.php?id=2572247&amp;type=1", "北信源:首次公开发行股票并在创业板上市公告书")</f>
        <v>北信源:首次公开发行股票并在创业板上市公告书</v>
      </c>
      <c r="F289" t="s">
        <v>1171</v>
      </c>
    </row>
    <row r="290" spans="1:6" x14ac:dyDescent="0.15">
      <c r="A290" s="1">
        <v>41163</v>
      </c>
      <c r="B290" t="s">
        <v>66</v>
      </c>
      <c r="C290" t="s">
        <v>494</v>
      </c>
      <c r="D290" t="s">
        <v>383</v>
      </c>
      <c r="E290" s="4" t="str">
        <f>HYPERLINK("http://snap.windin.com/ns/bulletin.php?id=2572243&amp;type=1", "北信源:首次公开发行股票并在创业板上市上市公告书提示性公告")</f>
        <v>北信源:首次公开发行股票并在创业板上市上市公告书提示性公告</v>
      </c>
      <c r="F290" t="s">
        <v>1172</v>
      </c>
    </row>
    <row r="291" spans="1:6" x14ac:dyDescent="0.15">
      <c r="A291" s="1">
        <v>41163</v>
      </c>
      <c r="B291" t="s">
        <v>65</v>
      </c>
      <c r="C291" t="s">
        <v>493</v>
      </c>
      <c r="D291" t="s">
        <v>455</v>
      </c>
      <c r="E291" s="4" t="str">
        <f>HYPERLINK("http://snap.windin.com/ns/bulletin.php?id=2572261&amp;type=1", "永贵电器:首次公开发行股票并在创业板上市招股说明书")</f>
        <v>永贵电器:首次公开发行股票并在创业板上市招股说明书</v>
      </c>
      <c r="F291" t="s">
        <v>1173</v>
      </c>
    </row>
    <row r="292" spans="1:6" x14ac:dyDescent="0.15">
      <c r="A292" s="1">
        <v>41162</v>
      </c>
      <c r="B292" t="s">
        <v>60</v>
      </c>
      <c r="C292" t="s">
        <v>488</v>
      </c>
      <c r="D292" t="s">
        <v>475</v>
      </c>
      <c r="E292" s="4" t="str">
        <f>HYPERLINK("http://snap.windin.com/ns/bulletin.php?id=2571079&amp;type=1", "洛阳钼业:首次公开发行A股股票招股意向书")</f>
        <v>洛阳钼业:首次公开发行A股股票招股意向书</v>
      </c>
      <c r="F292" t="s">
        <v>1174</v>
      </c>
    </row>
    <row r="293" spans="1:6" x14ac:dyDescent="0.15">
      <c r="A293" s="1">
        <v>41162</v>
      </c>
      <c r="B293" t="s">
        <v>60</v>
      </c>
      <c r="C293" t="s">
        <v>488</v>
      </c>
      <c r="D293" t="s">
        <v>495</v>
      </c>
      <c r="E293" s="4" t="str">
        <f>HYPERLINK("http://snap.windin.com/ns/bulletin.php?id=2571086&amp;type=1", "洛阳钼业:首次公开发行A股股票招股意向书附录二")</f>
        <v>洛阳钼业:首次公开发行A股股票招股意向书附录二</v>
      </c>
      <c r="F293" t="s">
        <v>1175</v>
      </c>
    </row>
    <row r="294" spans="1:6" x14ac:dyDescent="0.15">
      <c r="A294" s="1">
        <v>41162</v>
      </c>
      <c r="B294" t="s">
        <v>60</v>
      </c>
      <c r="C294" t="s">
        <v>488</v>
      </c>
      <c r="D294" t="s">
        <v>496</v>
      </c>
      <c r="E294" s="4" t="str">
        <f>HYPERLINK("http://snap.windin.com/ns/bulletin.php?id=2571081&amp;type=1", "洛阳钼业:首次公开发行A股股票招股意向书附录一")</f>
        <v>洛阳钼业:首次公开发行A股股票招股意向书附录一</v>
      </c>
      <c r="F294" t="s">
        <v>1176</v>
      </c>
    </row>
    <row r="295" spans="1:6" x14ac:dyDescent="0.15">
      <c r="A295" s="1">
        <v>41162</v>
      </c>
      <c r="B295" t="s">
        <v>60</v>
      </c>
      <c r="C295" t="s">
        <v>488</v>
      </c>
      <c r="D295" t="s">
        <v>476</v>
      </c>
      <c r="E295" s="4" t="str">
        <f>HYPERLINK("http://snap.windin.com/ns/bulletin.php?id=2571080&amp;type=1", "洛阳钼业:首次公开发行A股股票招股意向书摘要")</f>
        <v>洛阳钼业:首次公开发行A股股票招股意向书摘要</v>
      </c>
      <c r="F295" t="s">
        <v>1177</v>
      </c>
    </row>
    <row r="296" spans="1:6" x14ac:dyDescent="0.15">
      <c r="A296" s="1">
        <v>41162</v>
      </c>
      <c r="B296" t="s">
        <v>62</v>
      </c>
      <c r="C296" t="s">
        <v>490</v>
      </c>
      <c r="D296" t="s">
        <v>455</v>
      </c>
      <c r="E296" s="4" t="str">
        <f>HYPERLINK("http://snap.windin.com/ns/bulletin.php?id=2571040&amp;type=1", "东土科技:首次公开发行股票并在创业板上市招股说明书")</f>
        <v>东土科技:首次公开发行股票并在创业板上市招股说明书</v>
      </c>
      <c r="F296" t="s">
        <v>1178</v>
      </c>
    </row>
    <row r="297" spans="1:6" x14ac:dyDescent="0.15">
      <c r="A297" s="1">
        <v>41162</v>
      </c>
      <c r="B297" t="s">
        <v>63</v>
      </c>
      <c r="C297" t="s">
        <v>491</v>
      </c>
      <c r="D297" t="s">
        <v>469</v>
      </c>
      <c r="E297" s="4" t="str">
        <f>HYPERLINK("http://snap.windin.com/ns/bulletin.php?id=2571048&amp;type=1", "新疆浩源:首次公开发行股票并上市招股说明书")</f>
        <v>新疆浩源:首次公开发行股票并上市招股说明书</v>
      </c>
      <c r="F297" t="s">
        <v>1179</v>
      </c>
    </row>
    <row r="298" spans="1:6" x14ac:dyDescent="0.15">
      <c r="A298" s="1">
        <v>41162</v>
      </c>
      <c r="B298" t="s">
        <v>63</v>
      </c>
      <c r="C298" t="s">
        <v>491</v>
      </c>
      <c r="D298" t="s">
        <v>400</v>
      </c>
      <c r="E298" s="4" t="str">
        <f>HYPERLINK("http://snap.windin.com/ns/bulletin.php?id=2571047&amp;type=1", "新疆浩源:首次公开发行股票招股说明书摘要")</f>
        <v>新疆浩源:首次公开发行股票招股说明书摘要</v>
      </c>
      <c r="F298" t="s">
        <v>1180</v>
      </c>
    </row>
    <row r="299" spans="1:6" x14ac:dyDescent="0.15">
      <c r="A299" s="1">
        <v>41162</v>
      </c>
      <c r="B299" t="s">
        <v>67</v>
      </c>
      <c r="C299" t="s">
        <v>497</v>
      </c>
      <c r="D299" t="s">
        <v>389</v>
      </c>
      <c r="E299" s="4" t="str">
        <f>HYPERLINK("http://snap.windin.com/ns/bulletin.php?id=2571046&amp;type=1", "美盛文化:首次公开发行股票上市公告书")</f>
        <v>美盛文化:首次公开发行股票上市公告书</v>
      </c>
      <c r="F299" t="s">
        <v>1181</v>
      </c>
    </row>
    <row r="300" spans="1:6" x14ac:dyDescent="0.15">
      <c r="A300" s="1">
        <v>41162</v>
      </c>
      <c r="B300" t="s">
        <v>68</v>
      </c>
      <c r="C300" t="s">
        <v>498</v>
      </c>
      <c r="D300" t="s">
        <v>389</v>
      </c>
      <c r="E300" s="4" t="str">
        <f>HYPERLINK("http://snap.windin.com/ns/bulletin.php?id=2571042&amp;type=1", "博实股份:首次公开发行股票上市公告书")</f>
        <v>博实股份:首次公开发行股票上市公告书</v>
      </c>
      <c r="F300" t="s">
        <v>1182</v>
      </c>
    </row>
    <row r="301" spans="1:6" x14ac:dyDescent="0.15">
      <c r="A301" s="1">
        <v>41159</v>
      </c>
      <c r="B301" t="s">
        <v>64</v>
      </c>
      <c r="C301" t="s">
        <v>492</v>
      </c>
      <c r="D301" t="s">
        <v>455</v>
      </c>
      <c r="E301" s="4" t="str">
        <f>HYPERLINK("http://snap.windin.com/ns/bulletin.php?id=2569166&amp;type=1", "东华测试:首次公开发行股票并在创业板上市招股说明书")</f>
        <v>东华测试:首次公开发行股票并在创业板上市招股说明书</v>
      </c>
      <c r="F301" t="s">
        <v>1183</v>
      </c>
    </row>
    <row r="302" spans="1:6" x14ac:dyDescent="0.15">
      <c r="A302" s="1">
        <v>41157</v>
      </c>
      <c r="B302" t="s">
        <v>69</v>
      </c>
      <c r="C302" t="s">
        <v>499</v>
      </c>
      <c r="D302" t="s">
        <v>402</v>
      </c>
      <c r="E302" s="4" t="str">
        <f>HYPERLINK("http://snap.windin.com/ns/bulletin.php?id=2565224&amp;type=1", "渤海轮渡:首次公开发行A股股票上市公告书")</f>
        <v>渤海轮渡:首次公开发行A股股票上市公告书</v>
      </c>
      <c r="F302" t="s">
        <v>1184</v>
      </c>
    </row>
    <row r="303" spans="1:6" x14ac:dyDescent="0.15">
      <c r="A303" s="1">
        <v>41157</v>
      </c>
      <c r="B303" t="s">
        <v>69</v>
      </c>
      <c r="C303" t="s">
        <v>499</v>
      </c>
      <c r="D303" t="s">
        <v>462</v>
      </c>
      <c r="E303" s="4" t="str">
        <f>HYPERLINK("http://snap.windin.com/ns/bulletin.php?id=2565222&amp;type=1", "渤海轮渡:首次公开发行A股股票招股说明书")</f>
        <v>渤海轮渡:首次公开发行A股股票招股说明书</v>
      </c>
      <c r="F303" t="s">
        <v>1185</v>
      </c>
    </row>
    <row r="304" spans="1:6" x14ac:dyDescent="0.15">
      <c r="A304" s="1">
        <v>41156</v>
      </c>
      <c r="B304" t="s">
        <v>72</v>
      </c>
      <c r="C304" t="s">
        <v>502</v>
      </c>
      <c r="D304" t="s">
        <v>389</v>
      </c>
      <c r="E304" s="4" t="str">
        <f>HYPERLINK("http://snap.windin.com/ns/bulletin.php?id=2520402&amp;type=1", "红旗连锁:首次公开发行股票上市公告书")</f>
        <v>红旗连锁:首次公开发行股票上市公告书</v>
      </c>
      <c r="F304" t="s">
        <v>1186</v>
      </c>
    </row>
    <row r="305" spans="1:6" x14ac:dyDescent="0.15">
      <c r="A305" s="1">
        <v>41156</v>
      </c>
      <c r="B305" t="s">
        <v>71</v>
      </c>
      <c r="C305" t="s">
        <v>501</v>
      </c>
      <c r="D305" t="s">
        <v>389</v>
      </c>
      <c r="E305" s="4" t="str">
        <f>HYPERLINK("http://snap.windin.com/ns/bulletin.php?id=2520415&amp;type=1", "百洋股份:首次公开发行股票上市公告书")</f>
        <v>百洋股份:首次公开发行股票上市公告书</v>
      </c>
      <c r="F305" t="s">
        <v>1187</v>
      </c>
    </row>
    <row r="306" spans="1:6" x14ac:dyDescent="0.15">
      <c r="A306" s="1">
        <v>41156</v>
      </c>
      <c r="B306" t="s">
        <v>70</v>
      </c>
      <c r="C306" t="s">
        <v>500</v>
      </c>
      <c r="D306" t="s">
        <v>389</v>
      </c>
      <c r="E306" s="4" t="str">
        <f>HYPERLINK("http://snap.windin.com/ns/bulletin.php?id=2520418&amp;type=1", "煌上煌:首次公开发行股票上市公告书")</f>
        <v>煌上煌:首次公开发行股票上市公告书</v>
      </c>
      <c r="F306" t="s">
        <v>1188</v>
      </c>
    </row>
    <row r="307" spans="1:6" x14ac:dyDescent="0.15">
      <c r="A307" s="1">
        <v>41155</v>
      </c>
      <c r="B307" t="s">
        <v>66</v>
      </c>
      <c r="C307" t="s">
        <v>494</v>
      </c>
      <c r="D307" t="s">
        <v>455</v>
      </c>
      <c r="E307" s="4" t="str">
        <f>HYPERLINK("http://snap.windin.com/ns/bulletin.php?id=2518551&amp;type=1", "北信源:首次公开发行股票并在创业板上市招股说明书")</f>
        <v>北信源:首次公开发行股票并在创业板上市招股说明书</v>
      </c>
      <c r="F307" t="s">
        <v>1189</v>
      </c>
    </row>
    <row r="308" spans="1:6" x14ac:dyDescent="0.15">
      <c r="A308" s="1">
        <v>41152</v>
      </c>
      <c r="B308" t="s">
        <v>61</v>
      </c>
      <c r="C308" t="s">
        <v>489</v>
      </c>
      <c r="D308" t="s">
        <v>471</v>
      </c>
      <c r="E308" s="4" t="str">
        <f>HYPERLINK("http://snap.windin.com/ns/bulletin.php?id=2498670&amp;type=1", "蒙草抗旱:首次公开发行股票并在创业板上市招股意向书")</f>
        <v>蒙草抗旱:首次公开发行股票并在创业板上市招股意向书</v>
      </c>
      <c r="F308" t="s">
        <v>1190</v>
      </c>
    </row>
    <row r="309" spans="1:6" x14ac:dyDescent="0.15">
      <c r="A309" s="1">
        <v>41152</v>
      </c>
      <c r="B309" t="s">
        <v>62</v>
      </c>
      <c r="C309" t="s">
        <v>490</v>
      </c>
      <c r="D309" t="s">
        <v>471</v>
      </c>
      <c r="E309" s="4" t="str">
        <f>HYPERLINK("http://snap.windin.com/ns/bulletin.php?id=2496851&amp;type=1", "东土科技:首次公开发行股票并在创业板上市招股意向书")</f>
        <v>东土科技:首次公开发行股票并在创业板上市招股意向书</v>
      </c>
      <c r="F309" t="s">
        <v>1191</v>
      </c>
    </row>
    <row r="310" spans="1:6" x14ac:dyDescent="0.15">
      <c r="A310" s="1">
        <v>41152</v>
      </c>
      <c r="B310" t="s">
        <v>63</v>
      </c>
      <c r="C310" t="s">
        <v>491</v>
      </c>
      <c r="D310" t="s">
        <v>478</v>
      </c>
      <c r="E310" s="4" t="str">
        <f>HYPERLINK("http://snap.windin.com/ns/bulletin.php?id=2500245&amp;type=1", "新疆浩源:首次公开发行股票并上市招股意向书")</f>
        <v>新疆浩源:首次公开发行股票并上市招股意向书</v>
      </c>
      <c r="F310" t="s">
        <v>1192</v>
      </c>
    </row>
    <row r="311" spans="1:6" x14ac:dyDescent="0.15">
      <c r="A311" s="1">
        <v>41152</v>
      </c>
      <c r="B311" t="s">
        <v>63</v>
      </c>
      <c r="C311" t="s">
        <v>491</v>
      </c>
      <c r="D311" t="s">
        <v>466</v>
      </c>
      <c r="E311" s="4" t="str">
        <f>HYPERLINK("http://snap.windin.com/ns/bulletin.php?id=2499511&amp;type=1", "新疆浩源:首次公开发行股票招股意向书摘要")</f>
        <v>新疆浩源:首次公开发行股票招股意向书摘要</v>
      </c>
      <c r="F311" t="s">
        <v>1193</v>
      </c>
    </row>
    <row r="312" spans="1:6" x14ac:dyDescent="0.15">
      <c r="A312" s="1">
        <v>41152</v>
      </c>
      <c r="B312" t="s">
        <v>67</v>
      </c>
      <c r="C312" t="s">
        <v>497</v>
      </c>
      <c r="D312" t="s">
        <v>399</v>
      </c>
      <c r="E312" s="4" t="str">
        <f>HYPERLINK("http://snap.windin.com/ns/bulletin.php?id=2496870&amp;type=1", "美盛文化:首次公开发行股票招股说明书")</f>
        <v>美盛文化:首次公开发行股票招股说明书</v>
      </c>
      <c r="F312" t="s">
        <v>1194</v>
      </c>
    </row>
    <row r="313" spans="1:6" x14ac:dyDescent="0.15">
      <c r="A313" s="1">
        <v>41152</v>
      </c>
      <c r="B313" t="s">
        <v>67</v>
      </c>
      <c r="C313" t="s">
        <v>497</v>
      </c>
      <c r="D313" t="s">
        <v>400</v>
      </c>
      <c r="E313" s="4" t="str">
        <f>HYPERLINK("http://snap.windin.com/ns/bulletin.php?id=2497982&amp;type=1", "美盛文化:首次公开发行股票招股说明书摘要")</f>
        <v>美盛文化:首次公开发行股票招股说明书摘要</v>
      </c>
      <c r="F313" t="s">
        <v>1195</v>
      </c>
    </row>
    <row r="314" spans="1:6" x14ac:dyDescent="0.15">
      <c r="A314" s="1">
        <v>41152</v>
      </c>
      <c r="B314" t="s">
        <v>68</v>
      </c>
      <c r="C314" t="s">
        <v>498</v>
      </c>
      <c r="D314" t="s">
        <v>399</v>
      </c>
      <c r="E314" s="4" t="str">
        <f>HYPERLINK("http://snap.windin.com/ns/bulletin.php?id=2499382&amp;type=1", "博实股份:首次公开发行股票招股说明书")</f>
        <v>博实股份:首次公开发行股票招股说明书</v>
      </c>
      <c r="F314" t="s">
        <v>1196</v>
      </c>
    </row>
    <row r="315" spans="1:6" x14ac:dyDescent="0.15">
      <c r="A315" s="1">
        <v>41152</v>
      </c>
      <c r="B315" t="s">
        <v>68</v>
      </c>
      <c r="C315" t="s">
        <v>498</v>
      </c>
      <c r="D315" t="s">
        <v>400</v>
      </c>
      <c r="E315" s="4" t="str">
        <f>HYPERLINK("http://snap.windin.com/ns/bulletin.php?id=2499248&amp;type=1", "博实股份:首次公开发行股票招股说明书摘要")</f>
        <v>博实股份:首次公开发行股票招股说明书摘要</v>
      </c>
      <c r="F315" t="s">
        <v>1197</v>
      </c>
    </row>
    <row r="316" spans="1:6" x14ac:dyDescent="0.15">
      <c r="A316" s="1">
        <v>41151</v>
      </c>
      <c r="B316" t="s">
        <v>64</v>
      </c>
      <c r="C316" t="s">
        <v>492</v>
      </c>
      <c r="D316" t="s">
        <v>471</v>
      </c>
      <c r="E316" s="4" t="str">
        <f>HYPERLINK("http://snap.windin.com/ns/bulletin.php?id=2467247&amp;type=1", "东华测试:首次公开发行股票并在创业板上市招股意向书")</f>
        <v>东华测试:首次公开发行股票并在创业板上市招股意向书</v>
      </c>
      <c r="F316" t="s">
        <v>1198</v>
      </c>
    </row>
    <row r="317" spans="1:6" x14ac:dyDescent="0.15">
      <c r="A317" s="1">
        <v>41149</v>
      </c>
      <c r="B317" t="s">
        <v>65</v>
      </c>
      <c r="C317" t="s">
        <v>493</v>
      </c>
      <c r="D317" t="s">
        <v>471</v>
      </c>
      <c r="E317" s="4" t="str">
        <f>HYPERLINK("http://snap.windin.com/ns/bulletin.php?id=2419255&amp;type=1", "永贵电器:首次公开发行股票并在创业板上市招股意向书")</f>
        <v>永贵电器:首次公开发行股票并在创业板上市招股意向书</v>
      </c>
      <c r="F317" t="s">
        <v>1199</v>
      </c>
    </row>
    <row r="318" spans="1:6" x14ac:dyDescent="0.15">
      <c r="A318" s="1">
        <v>41148</v>
      </c>
      <c r="B318" t="s">
        <v>66</v>
      </c>
      <c r="C318" t="s">
        <v>494</v>
      </c>
      <c r="D318" t="s">
        <v>471</v>
      </c>
      <c r="E318" s="4" t="str">
        <f>HYPERLINK("http://snap.windin.com/ns/bulletin.php?id=2403632&amp;type=1", "北信源:首次公开发行股票并在创业板上市招股意向书")</f>
        <v>北信源:首次公开发行股票并在创业板上市招股意向书</v>
      </c>
      <c r="F318" t="s">
        <v>1200</v>
      </c>
    </row>
    <row r="319" spans="1:6" x14ac:dyDescent="0.15">
      <c r="A319" s="1">
        <v>41148</v>
      </c>
      <c r="B319" t="s">
        <v>72</v>
      </c>
      <c r="C319" t="s">
        <v>502</v>
      </c>
      <c r="D319" t="s">
        <v>399</v>
      </c>
      <c r="E319" s="4" t="str">
        <f>HYPERLINK("http://snap.windin.com/ns/bulletin.php?id=2403100&amp;type=1", "红旗连锁:首次公开发行股票招股说明书")</f>
        <v>红旗连锁:首次公开发行股票招股说明书</v>
      </c>
      <c r="F319" t="s">
        <v>1201</v>
      </c>
    </row>
    <row r="320" spans="1:6" x14ac:dyDescent="0.15">
      <c r="A320" s="1">
        <v>41148</v>
      </c>
      <c r="B320" t="s">
        <v>72</v>
      </c>
      <c r="C320" t="s">
        <v>502</v>
      </c>
      <c r="D320" t="s">
        <v>400</v>
      </c>
      <c r="E320" s="4" t="str">
        <f>HYPERLINK("http://snap.windin.com/ns/bulletin.php?id=2403108&amp;type=1", "红旗连锁:首次公开发行股票招股说明书摘要")</f>
        <v>红旗连锁:首次公开发行股票招股说明书摘要</v>
      </c>
      <c r="F320" t="s">
        <v>1202</v>
      </c>
    </row>
    <row r="321" spans="1:6" x14ac:dyDescent="0.15">
      <c r="A321" s="1">
        <v>41148</v>
      </c>
      <c r="B321" t="s">
        <v>70</v>
      </c>
      <c r="C321" t="s">
        <v>500</v>
      </c>
      <c r="D321" t="s">
        <v>399</v>
      </c>
      <c r="E321" s="4" t="str">
        <f>HYPERLINK("http://snap.windin.com/ns/bulletin.php?id=2403082&amp;type=1", "煌上煌:首次公开发行股票招股说明书")</f>
        <v>煌上煌:首次公开发行股票招股说明书</v>
      </c>
      <c r="F321" t="s">
        <v>1203</v>
      </c>
    </row>
    <row r="322" spans="1:6" x14ac:dyDescent="0.15">
      <c r="A322" s="1">
        <v>41148</v>
      </c>
      <c r="B322" t="s">
        <v>70</v>
      </c>
      <c r="C322" t="s">
        <v>500</v>
      </c>
      <c r="D322" t="s">
        <v>400</v>
      </c>
      <c r="E322" s="4" t="str">
        <f>HYPERLINK("http://snap.windin.com/ns/bulletin.php?id=2403081&amp;type=1", "煌上煌:首次公开发行股票招股说明书摘要")</f>
        <v>煌上煌:首次公开发行股票招股说明书摘要</v>
      </c>
      <c r="F322" t="s">
        <v>1204</v>
      </c>
    </row>
    <row r="323" spans="1:6" x14ac:dyDescent="0.15">
      <c r="A323" s="1">
        <v>41145</v>
      </c>
      <c r="B323" t="s">
        <v>67</v>
      </c>
      <c r="C323" t="s">
        <v>497</v>
      </c>
      <c r="D323" t="s">
        <v>465</v>
      </c>
      <c r="E323" s="4" t="str">
        <f>HYPERLINK("http://snap.windin.com/ns/bulletin.php?id=2352886&amp;type=1", "美盛文化:首次公开发行股票招股意向书")</f>
        <v>美盛文化:首次公开发行股票招股意向书</v>
      </c>
      <c r="F323" t="s">
        <v>1205</v>
      </c>
    </row>
    <row r="324" spans="1:6" x14ac:dyDescent="0.15">
      <c r="A324" s="1">
        <v>41145</v>
      </c>
      <c r="B324" t="s">
        <v>67</v>
      </c>
      <c r="C324" t="s">
        <v>497</v>
      </c>
      <c r="D324" t="s">
        <v>466</v>
      </c>
      <c r="E324" s="4" t="str">
        <f>HYPERLINK("http://snap.windin.com/ns/bulletin.php?id=2353074&amp;type=1", "美盛文化:首次公开发行股票招股意向书摘要")</f>
        <v>美盛文化:首次公开发行股票招股意向书摘要</v>
      </c>
      <c r="F324" t="s">
        <v>1206</v>
      </c>
    </row>
    <row r="325" spans="1:6" x14ac:dyDescent="0.15">
      <c r="A325" s="1">
        <v>41145</v>
      </c>
      <c r="B325" t="s">
        <v>68</v>
      </c>
      <c r="C325" t="s">
        <v>498</v>
      </c>
      <c r="D325" t="s">
        <v>465</v>
      </c>
      <c r="E325" s="4" t="str">
        <f>HYPERLINK("http://snap.windin.com/ns/bulletin.php?id=2357149&amp;type=1", "博实股份:首次公开发行股票招股意向书")</f>
        <v>博实股份:首次公开发行股票招股意向书</v>
      </c>
      <c r="F325" t="s">
        <v>1207</v>
      </c>
    </row>
    <row r="326" spans="1:6" x14ac:dyDescent="0.15">
      <c r="A326" s="1">
        <v>41145</v>
      </c>
      <c r="B326" t="s">
        <v>68</v>
      </c>
      <c r="C326" t="s">
        <v>498</v>
      </c>
      <c r="D326" t="s">
        <v>466</v>
      </c>
      <c r="E326" s="4" t="str">
        <f>HYPERLINK("http://snap.windin.com/ns/bulletin.php?id=2357155&amp;type=1", "博实股份:首次公开发行股票招股意向书摘要")</f>
        <v>博实股份:首次公开发行股票招股意向书摘要</v>
      </c>
      <c r="F326" t="s">
        <v>1208</v>
      </c>
    </row>
    <row r="327" spans="1:6" x14ac:dyDescent="0.15">
      <c r="A327" s="1">
        <v>41145</v>
      </c>
      <c r="B327" t="s">
        <v>71</v>
      </c>
      <c r="C327" t="s">
        <v>501</v>
      </c>
      <c r="D327" t="s">
        <v>399</v>
      </c>
      <c r="E327" s="4" t="str">
        <f>HYPERLINK("http://snap.windin.com/ns/bulletin.php?id=2348164&amp;type=1", "百洋股份:首次公开发行股票招股说明书")</f>
        <v>百洋股份:首次公开发行股票招股说明书</v>
      </c>
      <c r="F327" t="s">
        <v>1209</v>
      </c>
    </row>
    <row r="328" spans="1:6" x14ac:dyDescent="0.15">
      <c r="A328" s="1">
        <v>41145</v>
      </c>
      <c r="B328" t="s">
        <v>71</v>
      </c>
      <c r="C328" t="s">
        <v>501</v>
      </c>
      <c r="D328" t="s">
        <v>400</v>
      </c>
      <c r="E328" s="4" t="str">
        <f>HYPERLINK("http://snap.windin.com/ns/bulletin.php?id=2348204&amp;type=1", "百洋股份:首次公开发行股票招股说明书摘要")</f>
        <v>百洋股份:首次公开发行股票招股说明书摘要</v>
      </c>
      <c r="F328" t="s">
        <v>1210</v>
      </c>
    </row>
    <row r="329" spans="1:6" x14ac:dyDescent="0.15">
      <c r="A329" s="1">
        <v>41144</v>
      </c>
      <c r="B329" t="s">
        <v>73</v>
      </c>
      <c r="C329" t="s">
        <v>503</v>
      </c>
      <c r="D329" t="s">
        <v>389</v>
      </c>
      <c r="E329" s="4" t="str">
        <f>HYPERLINK("http://snap.windin.com/ns/bulletin.php?id=2308277&amp;type=1", "新华龙:首次公开发行股票上市公告书")</f>
        <v>新华龙:首次公开发行股票上市公告书</v>
      </c>
      <c r="F329" t="s">
        <v>1211</v>
      </c>
    </row>
    <row r="330" spans="1:6" x14ac:dyDescent="0.15">
      <c r="A330" s="1">
        <v>41144</v>
      </c>
      <c r="B330" t="s">
        <v>73</v>
      </c>
      <c r="C330" t="s">
        <v>503</v>
      </c>
      <c r="D330" t="s">
        <v>399</v>
      </c>
      <c r="E330" s="4" t="str">
        <f>HYPERLINK("http://snap.windin.com/ns/bulletin.php?id=2308498&amp;type=1", "新华龙:首次公开发行股票招股说明书")</f>
        <v>新华龙:首次公开发行股票招股说明书</v>
      </c>
      <c r="F330" t="s">
        <v>1212</v>
      </c>
    </row>
    <row r="331" spans="1:6" x14ac:dyDescent="0.15">
      <c r="A331" s="1">
        <v>41141</v>
      </c>
      <c r="B331" t="s">
        <v>74</v>
      </c>
      <c r="C331" t="s">
        <v>504</v>
      </c>
      <c r="D331" t="s">
        <v>417</v>
      </c>
      <c r="E331" s="4" t="str">
        <f>HYPERLINK("http://snap.windin.com/ns/bulletin.php?id=2243276&amp;type=1", "华鹏飞:首次公开发行股票并在创业板上市公告书")</f>
        <v>华鹏飞:首次公开发行股票并在创业板上市公告书</v>
      </c>
      <c r="F331" t="s">
        <v>1213</v>
      </c>
    </row>
    <row r="332" spans="1:6" x14ac:dyDescent="0.15">
      <c r="A332" s="1">
        <v>41141</v>
      </c>
      <c r="B332" t="s">
        <v>74</v>
      </c>
      <c r="C332" t="s">
        <v>504</v>
      </c>
      <c r="D332" t="s">
        <v>383</v>
      </c>
      <c r="E332" s="4" t="str">
        <f>HYPERLINK("http://snap.windin.com/ns/bulletin.php?id=2243269&amp;type=1", "华鹏飞:首次公开发行股票并在创业板上市上市公告书提示性公告")</f>
        <v>华鹏飞:首次公开发行股票并在创业板上市上市公告书提示性公告</v>
      </c>
      <c r="F332" t="s">
        <v>1214</v>
      </c>
    </row>
    <row r="333" spans="1:6" x14ac:dyDescent="0.15">
      <c r="A333" s="1">
        <v>41138</v>
      </c>
      <c r="B333" t="s">
        <v>72</v>
      </c>
      <c r="C333" t="s">
        <v>502</v>
      </c>
      <c r="D333" t="s">
        <v>465</v>
      </c>
      <c r="E333" s="4" t="str">
        <f>HYPERLINK("http://snap.windin.com/ns/bulletin.php?id=2231660&amp;type=1", "红旗连锁:首次公开发行股票招股意向书")</f>
        <v>红旗连锁:首次公开发行股票招股意向书</v>
      </c>
      <c r="F333" t="s">
        <v>1215</v>
      </c>
    </row>
    <row r="334" spans="1:6" x14ac:dyDescent="0.15">
      <c r="A334" s="1">
        <v>41138</v>
      </c>
      <c r="B334" t="s">
        <v>72</v>
      </c>
      <c r="C334" t="s">
        <v>502</v>
      </c>
      <c r="D334" t="s">
        <v>466</v>
      </c>
      <c r="E334" s="4" t="str">
        <f>HYPERLINK("http://snap.windin.com/ns/bulletin.php?id=2231655&amp;type=1", "红旗连锁:首次公开发行股票招股意向书摘要")</f>
        <v>红旗连锁:首次公开发行股票招股意向书摘要</v>
      </c>
      <c r="F334" t="s">
        <v>1216</v>
      </c>
    </row>
    <row r="335" spans="1:6" x14ac:dyDescent="0.15">
      <c r="A335" s="1">
        <v>41138</v>
      </c>
      <c r="B335" t="s">
        <v>71</v>
      </c>
      <c r="C335" t="s">
        <v>501</v>
      </c>
      <c r="D335" t="s">
        <v>465</v>
      </c>
      <c r="E335" s="4" t="str">
        <f>HYPERLINK("http://snap.windin.com/ns/bulletin.php?id=2231572&amp;type=1", "百洋股份:首次公开发行股票招股意向书")</f>
        <v>百洋股份:首次公开发行股票招股意向书</v>
      </c>
      <c r="F335" t="s">
        <v>1217</v>
      </c>
    </row>
    <row r="336" spans="1:6" x14ac:dyDescent="0.15">
      <c r="A336" s="1">
        <v>41138</v>
      </c>
      <c r="B336" t="s">
        <v>71</v>
      </c>
      <c r="C336" t="s">
        <v>501</v>
      </c>
      <c r="D336" t="s">
        <v>506</v>
      </c>
      <c r="E336" s="4" t="str">
        <f>HYPERLINK("http://snap.windin.com/ns/bulletin.php?id=2231667&amp;type=1", "百洋股份:首次公开发行股票招股意向书（更新后）")</f>
        <v>百洋股份:首次公开发行股票招股意向书（更新后）</v>
      </c>
      <c r="F336" t="s">
        <v>1218</v>
      </c>
    </row>
    <row r="337" spans="1:6" x14ac:dyDescent="0.15">
      <c r="A337" s="1">
        <v>41138</v>
      </c>
      <c r="B337" t="s">
        <v>71</v>
      </c>
      <c r="C337" t="s">
        <v>501</v>
      </c>
      <c r="D337" t="s">
        <v>466</v>
      </c>
      <c r="E337" s="4" t="str">
        <f>HYPERLINK("http://snap.windin.com/ns/bulletin.php?id=2231571&amp;type=1", "百洋股份:首次公开发行股票招股意向书摘要")</f>
        <v>百洋股份:首次公开发行股票招股意向书摘要</v>
      </c>
      <c r="F337" t="s">
        <v>1219</v>
      </c>
    </row>
    <row r="338" spans="1:6" x14ac:dyDescent="0.15">
      <c r="A338" s="1">
        <v>41138</v>
      </c>
      <c r="B338" t="s">
        <v>71</v>
      </c>
      <c r="C338" t="s">
        <v>501</v>
      </c>
      <c r="D338" t="s">
        <v>505</v>
      </c>
      <c r="E338" s="4" t="str">
        <f>HYPERLINK("http://snap.windin.com/ns/bulletin.php?id=2231668&amp;type=1", "百洋股份:首次公开发行股票招股意向书摘要（更新后）")</f>
        <v>百洋股份:首次公开发行股票招股意向书摘要（更新后）</v>
      </c>
      <c r="F338" t="s">
        <v>1220</v>
      </c>
    </row>
    <row r="339" spans="1:6" x14ac:dyDescent="0.15">
      <c r="A339" s="1">
        <v>41137</v>
      </c>
      <c r="B339" t="s">
        <v>77</v>
      </c>
      <c r="C339" t="s">
        <v>509</v>
      </c>
      <c r="D339" t="s">
        <v>402</v>
      </c>
      <c r="E339" s="4" t="str">
        <f>HYPERLINK("http://snap.windin.com/ns/bulletin.php?id=2229399&amp;type=1", "龙宇燃油:首次公开发行A股股票上市公告书")</f>
        <v>龙宇燃油:首次公开发行A股股票上市公告书</v>
      </c>
      <c r="F339" t="s">
        <v>1221</v>
      </c>
    </row>
    <row r="340" spans="1:6" x14ac:dyDescent="0.15">
      <c r="A340" s="1">
        <v>41137</v>
      </c>
      <c r="B340" t="s">
        <v>77</v>
      </c>
      <c r="C340" t="s">
        <v>509</v>
      </c>
      <c r="D340" t="s">
        <v>399</v>
      </c>
      <c r="E340" s="4" t="str">
        <f>HYPERLINK("http://snap.windin.com/ns/bulletin.php?id=2229437&amp;type=1", "龙宇燃油:首次公开发行股票招股说明书")</f>
        <v>龙宇燃油:首次公开发行股票招股说明书</v>
      </c>
      <c r="F340" t="s">
        <v>1222</v>
      </c>
    </row>
    <row r="341" spans="1:6" x14ac:dyDescent="0.15">
      <c r="A341" s="1">
        <v>41137</v>
      </c>
      <c r="B341" t="s">
        <v>75</v>
      </c>
      <c r="C341" t="s">
        <v>507</v>
      </c>
      <c r="D341" t="s">
        <v>412</v>
      </c>
      <c r="E341" s="4" t="str">
        <f>HYPERLINK("http://snap.windin.com/ns/bulletin.php?id=2229634&amp;type=1", "金卡股份:首次公开发行股票并在创业板上市上市公告书")</f>
        <v>金卡股份:首次公开发行股票并在创业板上市上市公告书</v>
      </c>
      <c r="F341" t="s">
        <v>1223</v>
      </c>
    </row>
    <row r="342" spans="1:6" x14ac:dyDescent="0.15">
      <c r="A342" s="1">
        <v>41137</v>
      </c>
      <c r="B342" t="s">
        <v>75</v>
      </c>
      <c r="C342" t="s">
        <v>507</v>
      </c>
      <c r="D342" t="s">
        <v>383</v>
      </c>
      <c r="E342" s="4" t="str">
        <f>HYPERLINK("http://snap.windin.com/ns/bulletin.php?id=2229636&amp;type=1", "金卡股份:首次公开发行股票并在创业板上市上市公告书提示性公告")</f>
        <v>金卡股份:首次公开发行股票并在创业板上市上市公告书提示性公告</v>
      </c>
      <c r="F342" t="s">
        <v>1224</v>
      </c>
    </row>
    <row r="343" spans="1:6" x14ac:dyDescent="0.15">
      <c r="A343" s="1">
        <v>41137</v>
      </c>
      <c r="B343" t="s">
        <v>76</v>
      </c>
      <c r="C343" t="s">
        <v>508</v>
      </c>
      <c r="D343" t="s">
        <v>407</v>
      </c>
      <c r="E343" s="4" t="str">
        <f>HYPERLINK("http://snap.windin.com/ns/bulletin.php?id=2229516&amp;type=1", "长亮科技:首次公开发行股票并在创业板上市公告书提示性公告")</f>
        <v>长亮科技:首次公开发行股票并在创业板上市公告书提示性公告</v>
      </c>
      <c r="F343" t="s">
        <v>1225</v>
      </c>
    </row>
    <row r="344" spans="1:6" x14ac:dyDescent="0.15">
      <c r="A344" s="1">
        <v>41137</v>
      </c>
      <c r="B344" t="s">
        <v>76</v>
      </c>
      <c r="C344" t="s">
        <v>508</v>
      </c>
      <c r="D344" t="s">
        <v>408</v>
      </c>
      <c r="E344" s="4" t="str">
        <f>HYPERLINK("http://snap.windin.com/ns/bulletin.php?id=2229515&amp;type=1", "长亮科技:首次公开发行股票并在创业板上市之上市公告书")</f>
        <v>长亮科技:首次公开发行股票并在创业板上市之上市公告书</v>
      </c>
      <c r="F344" t="s">
        <v>1226</v>
      </c>
    </row>
    <row r="345" spans="1:6" x14ac:dyDescent="0.15">
      <c r="A345" s="1">
        <v>41137</v>
      </c>
      <c r="B345" t="s">
        <v>78</v>
      </c>
      <c r="C345" t="s">
        <v>510</v>
      </c>
      <c r="D345" t="s">
        <v>417</v>
      </c>
      <c r="E345" s="4" t="str">
        <f>HYPERLINK("http://snap.windin.com/ns/bulletin.php?id=2228914&amp;type=1", "泰格医药:首次公开发行股票并在创业板上市公告书")</f>
        <v>泰格医药:首次公开发行股票并在创业板上市公告书</v>
      </c>
      <c r="F345" t="s">
        <v>1227</v>
      </c>
    </row>
    <row r="346" spans="1:6" x14ac:dyDescent="0.15">
      <c r="A346" s="1">
        <v>41137</v>
      </c>
      <c r="B346" t="s">
        <v>78</v>
      </c>
      <c r="C346" t="s">
        <v>510</v>
      </c>
      <c r="D346" t="s">
        <v>383</v>
      </c>
      <c r="E346" s="4" t="str">
        <f>HYPERLINK("http://snap.windin.com/ns/bulletin.php?id=2228915&amp;type=1", "泰格医药:首次公开发行股票并在创业板上市上市公告书提示性公告")</f>
        <v>泰格医药:首次公开发行股票并在创业板上市上市公告书提示性公告</v>
      </c>
      <c r="F346" t="s">
        <v>1228</v>
      </c>
    </row>
    <row r="347" spans="1:6" x14ac:dyDescent="0.15">
      <c r="A347" s="1">
        <v>41136</v>
      </c>
      <c r="B347" t="s">
        <v>79</v>
      </c>
      <c r="C347" t="s">
        <v>511</v>
      </c>
      <c r="D347" t="s">
        <v>389</v>
      </c>
      <c r="E347" s="4" t="str">
        <f>HYPERLINK("http://snap.windin.com/ns/bulletin.php?id=2227212&amp;type=1", "顾地科技:首次公开发行股票上市公告书")</f>
        <v>顾地科技:首次公开发行股票上市公告书</v>
      </c>
      <c r="F347" t="s">
        <v>1229</v>
      </c>
    </row>
    <row r="348" spans="1:6" x14ac:dyDescent="0.15">
      <c r="A348" s="1">
        <v>41131</v>
      </c>
      <c r="B348" t="s">
        <v>69</v>
      </c>
      <c r="C348" t="s">
        <v>499</v>
      </c>
      <c r="D348" t="s">
        <v>475</v>
      </c>
      <c r="E348" s="4" t="str">
        <f>HYPERLINK("http://snap.windin.com/ns/bulletin.php?id=2211829&amp;type=1", "渤海轮渡:首次公开发行A股股票招股意向书")</f>
        <v>渤海轮渡:首次公开发行A股股票招股意向书</v>
      </c>
      <c r="F348" t="s">
        <v>1230</v>
      </c>
    </row>
    <row r="349" spans="1:6" x14ac:dyDescent="0.15">
      <c r="A349" s="1">
        <v>41131</v>
      </c>
      <c r="B349" t="s">
        <v>69</v>
      </c>
      <c r="C349" t="s">
        <v>499</v>
      </c>
      <c r="D349" t="s">
        <v>474</v>
      </c>
      <c r="E349" s="4" t="str">
        <f>HYPERLINK("http://snap.windin.com/ns/bulletin.php?id=2211831&amp;type=1", "渤海轮渡:首次公开发行A股股票招股意向书附录")</f>
        <v>渤海轮渡:首次公开发行A股股票招股意向书附录</v>
      </c>
      <c r="F349" t="s">
        <v>1231</v>
      </c>
    </row>
    <row r="350" spans="1:6" x14ac:dyDescent="0.15">
      <c r="A350" s="1">
        <v>41131</v>
      </c>
      <c r="B350" t="s">
        <v>69</v>
      </c>
      <c r="C350" t="s">
        <v>499</v>
      </c>
      <c r="D350" t="s">
        <v>476</v>
      </c>
      <c r="E350" s="4" t="str">
        <f>HYPERLINK("http://snap.windin.com/ns/bulletin.php?id=2211830&amp;type=1", "渤海轮渡:首次公开发行A股股票招股意向书摘要")</f>
        <v>渤海轮渡:首次公开发行A股股票招股意向书摘要</v>
      </c>
      <c r="F350" t="s">
        <v>1232</v>
      </c>
    </row>
    <row r="351" spans="1:6" x14ac:dyDescent="0.15">
      <c r="A351" s="1">
        <v>41131</v>
      </c>
      <c r="B351" t="s">
        <v>74</v>
      </c>
      <c r="C351" t="s">
        <v>504</v>
      </c>
      <c r="D351" t="s">
        <v>455</v>
      </c>
      <c r="E351" s="4" t="str">
        <f>HYPERLINK("http://snap.windin.com/ns/bulletin.php?id=2211541&amp;type=1", "华鹏飞:首次公开发行股票并在创业板上市招股说明书")</f>
        <v>华鹏飞:首次公开发行股票并在创业板上市招股说明书</v>
      </c>
      <c r="F351" t="s">
        <v>1233</v>
      </c>
    </row>
    <row r="352" spans="1:6" x14ac:dyDescent="0.15">
      <c r="A352" s="1">
        <v>41131</v>
      </c>
      <c r="B352" t="s">
        <v>70</v>
      </c>
      <c r="C352" t="s">
        <v>500</v>
      </c>
      <c r="D352" t="s">
        <v>465</v>
      </c>
      <c r="E352" s="4" t="str">
        <f>HYPERLINK("http://snap.windin.com/ns/bulletin.php?id=2211888&amp;type=1", "煌上煌:首次公开发行股票招股意向书")</f>
        <v>煌上煌:首次公开发行股票招股意向书</v>
      </c>
      <c r="F352" t="s">
        <v>1234</v>
      </c>
    </row>
    <row r="353" spans="1:6" x14ac:dyDescent="0.15">
      <c r="A353" s="1">
        <v>41131</v>
      </c>
      <c r="B353" t="s">
        <v>70</v>
      </c>
      <c r="C353" t="s">
        <v>500</v>
      </c>
      <c r="D353" t="s">
        <v>466</v>
      </c>
      <c r="E353" s="4" t="str">
        <f>HYPERLINK("http://snap.windin.com/ns/bulletin.php?id=2211897&amp;type=1", "煌上煌:首次公开发行股票招股意向书摘要")</f>
        <v>煌上煌:首次公开发行股票招股意向书摘要</v>
      </c>
      <c r="F353" t="s">
        <v>1235</v>
      </c>
    </row>
    <row r="354" spans="1:6" x14ac:dyDescent="0.15">
      <c r="A354" s="1">
        <v>41130</v>
      </c>
      <c r="B354" t="s">
        <v>80</v>
      </c>
      <c r="C354" t="s">
        <v>512</v>
      </c>
      <c r="D354" t="s">
        <v>402</v>
      </c>
      <c r="E354" s="4" t="str">
        <f>HYPERLINK("http://snap.windin.com/ns/bulletin.php?id=2200272&amp;type=1", "隆鑫通用:首次公开发行A股股票上市公告书")</f>
        <v>隆鑫通用:首次公开发行A股股票上市公告书</v>
      </c>
      <c r="F354" t="s">
        <v>1236</v>
      </c>
    </row>
    <row r="355" spans="1:6" x14ac:dyDescent="0.15">
      <c r="A355" s="1">
        <v>41130</v>
      </c>
      <c r="B355" t="s">
        <v>80</v>
      </c>
      <c r="C355" t="s">
        <v>512</v>
      </c>
      <c r="D355" t="s">
        <v>462</v>
      </c>
      <c r="E355" s="4" t="str">
        <f>HYPERLINK("http://snap.windin.com/ns/bulletin.php?id=2200273&amp;type=1", "隆鑫通用:首次公开发行A股股票招股说明书")</f>
        <v>隆鑫通用:首次公开发行A股股票招股说明书</v>
      </c>
      <c r="F355" t="s">
        <v>1237</v>
      </c>
    </row>
    <row r="356" spans="1:6" x14ac:dyDescent="0.15">
      <c r="A356" s="1">
        <v>41129</v>
      </c>
      <c r="B356" t="s">
        <v>75</v>
      </c>
      <c r="C356" t="s">
        <v>507</v>
      </c>
      <c r="D356" t="s">
        <v>455</v>
      </c>
      <c r="E356" s="4" t="str">
        <f>HYPERLINK("http://snap.windin.com/ns/bulletin.php?id=2199291&amp;type=1", "金卡股份:首次公开发行股票并在创业板上市招股说明书")</f>
        <v>金卡股份:首次公开发行股票并在创业板上市招股说明书</v>
      </c>
      <c r="F356" t="s">
        <v>1238</v>
      </c>
    </row>
    <row r="357" spans="1:6" x14ac:dyDescent="0.15">
      <c r="A357" s="1">
        <v>41128</v>
      </c>
      <c r="B357" t="s">
        <v>81</v>
      </c>
      <c r="C357" t="s">
        <v>513</v>
      </c>
      <c r="D357" t="s">
        <v>402</v>
      </c>
      <c r="E357" s="4" t="str">
        <f>HYPERLINK("http://snap.windin.com/ns/bulletin.php?id=2197745&amp;type=1", "一拖股份:首次公开发行A股股票上市公告书")</f>
        <v>一拖股份:首次公开发行A股股票上市公告书</v>
      </c>
      <c r="F357" t="s">
        <v>1239</v>
      </c>
    </row>
    <row r="358" spans="1:6" x14ac:dyDescent="0.15">
      <c r="A358" s="1">
        <v>41128</v>
      </c>
      <c r="B358" t="s">
        <v>81</v>
      </c>
      <c r="C358" t="s">
        <v>513</v>
      </c>
      <c r="D358" t="s">
        <v>462</v>
      </c>
      <c r="E358" s="4" t="str">
        <f>HYPERLINK("http://snap.windin.com/ns/bulletin.php?id=2197746&amp;type=1", "一拖股份:首次公开发行A股股票招股说明书")</f>
        <v>一拖股份:首次公开发行A股股票招股说明书</v>
      </c>
      <c r="F358" t="s">
        <v>1240</v>
      </c>
    </row>
    <row r="359" spans="1:6" x14ac:dyDescent="0.15">
      <c r="A359" s="1">
        <v>41128</v>
      </c>
      <c r="B359" t="s">
        <v>76</v>
      </c>
      <c r="C359" t="s">
        <v>508</v>
      </c>
      <c r="D359" t="s">
        <v>455</v>
      </c>
      <c r="E359" s="4" t="str">
        <f>HYPERLINK("http://snap.windin.com/ns/bulletin.php?id=2197855&amp;type=1", "长亮科技:首次公开发行股票并在创业板上市招股说明书")</f>
        <v>长亮科技:首次公开发行股票并在创业板上市招股说明书</v>
      </c>
      <c r="F359" t="s">
        <v>1241</v>
      </c>
    </row>
    <row r="360" spans="1:6" x14ac:dyDescent="0.15">
      <c r="A360" s="1">
        <v>41128</v>
      </c>
      <c r="B360" t="s">
        <v>79</v>
      </c>
      <c r="C360" t="s">
        <v>511</v>
      </c>
      <c r="D360" t="s">
        <v>399</v>
      </c>
      <c r="E360" s="4" t="str">
        <f>HYPERLINK("http://snap.windin.com/ns/bulletin.php?id=2197639&amp;type=1", "顾地科技:首次公开发行股票招股说明书")</f>
        <v>顾地科技:首次公开发行股票招股说明书</v>
      </c>
      <c r="F360" t="s">
        <v>1242</v>
      </c>
    </row>
    <row r="361" spans="1:6" x14ac:dyDescent="0.15">
      <c r="A361" s="1">
        <v>41128</v>
      </c>
      <c r="B361" t="s">
        <v>79</v>
      </c>
      <c r="C361" t="s">
        <v>511</v>
      </c>
      <c r="D361" t="s">
        <v>400</v>
      </c>
      <c r="E361" s="4" t="str">
        <f>HYPERLINK("http://snap.windin.com/ns/bulletin.php?id=2197646&amp;type=1", "顾地科技:首次公开发行股票招股说明书摘要")</f>
        <v>顾地科技:首次公开发行股票招股说明书摘要</v>
      </c>
      <c r="F361" t="s">
        <v>1243</v>
      </c>
    </row>
    <row r="362" spans="1:6" x14ac:dyDescent="0.15">
      <c r="A362" s="1">
        <v>41128</v>
      </c>
      <c r="B362" t="s">
        <v>82</v>
      </c>
      <c r="C362" t="s">
        <v>514</v>
      </c>
      <c r="D362" t="s">
        <v>389</v>
      </c>
      <c r="E362" s="4" t="str">
        <f>HYPERLINK("http://snap.windin.com/ns/bulletin.php?id=2197648&amp;type=1", "双成药业:首次公开发行股票上市公告书")</f>
        <v>双成药业:首次公开发行股票上市公告书</v>
      </c>
      <c r="F362" t="s">
        <v>1244</v>
      </c>
    </row>
    <row r="363" spans="1:6" x14ac:dyDescent="0.15">
      <c r="A363" s="1">
        <v>41128</v>
      </c>
      <c r="B363" t="s">
        <v>83</v>
      </c>
      <c r="C363" t="s">
        <v>515</v>
      </c>
      <c r="D363" t="s">
        <v>389</v>
      </c>
      <c r="E363" s="4" t="str">
        <f>HYPERLINK("http://snap.windin.com/ns/bulletin.php?id=2197629&amp;type=1", "远程电缆:首次公开发行股票上市公告书")</f>
        <v>远程电缆:首次公开发行股票上市公告书</v>
      </c>
      <c r="F363" t="s">
        <v>1245</v>
      </c>
    </row>
    <row r="364" spans="1:6" x14ac:dyDescent="0.15">
      <c r="A364" s="1">
        <v>41127</v>
      </c>
      <c r="B364" t="s">
        <v>78</v>
      </c>
      <c r="C364" t="s">
        <v>510</v>
      </c>
      <c r="D364" t="s">
        <v>455</v>
      </c>
      <c r="E364" s="4" t="str">
        <f>HYPERLINK("http://snap.windin.com/ns/bulletin.php?id=2195751&amp;type=1", "泰格医药:首次公开发行股票并在创业板上市招股说明书")</f>
        <v>泰格医药:首次公开发行股票并在创业板上市招股说明书</v>
      </c>
      <c r="F364" t="s">
        <v>1246</v>
      </c>
    </row>
    <row r="365" spans="1:6" x14ac:dyDescent="0.15">
      <c r="A365" s="1">
        <v>41127</v>
      </c>
      <c r="B365" t="s">
        <v>84</v>
      </c>
      <c r="C365" t="s">
        <v>516</v>
      </c>
      <c r="D365" t="s">
        <v>383</v>
      </c>
      <c r="E365" s="4" t="str">
        <f>HYPERLINK("http://snap.windin.com/ns/bulletin.php?id=2195833&amp;type=1", "南大光电:首次公开发行股票并在创业板上市上市公告书提示性公告")</f>
        <v>南大光电:首次公开发行股票并在创业板上市上市公告书提示性公告</v>
      </c>
      <c r="F365" t="s">
        <v>1247</v>
      </c>
    </row>
    <row r="366" spans="1:6" x14ac:dyDescent="0.15">
      <c r="A366" s="1">
        <v>41127</v>
      </c>
      <c r="B366" t="s">
        <v>84</v>
      </c>
      <c r="C366" t="s">
        <v>516</v>
      </c>
      <c r="D366" t="s">
        <v>408</v>
      </c>
      <c r="E366" s="4" t="str">
        <f>HYPERLINK("http://snap.windin.com/ns/bulletin.php?id=2195834&amp;type=1", "南大光电:首次公开发行股票并在创业板上市之上市公告书")</f>
        <v>南大光电:首次公开发行股票并在创业板上市之上市公告书</v>
      </c>
      <c r="F366" t="s">
        <v>1248</v>
      </c>
    </row>
    <row r="367" spans="1:6" x14ac:dyDescent="0.15">
      <c r="A367" s="1">
        <v>41121</v>
      </c>
      <c r="B367" t="s">
        <v>73</v>
      </c>
      <c r="C367" t="s">
        <v>503</v>
      </c>
      <c r="D367" t="s">
        <v>465</v>
      </c>
      <c r="E367" s="4" t="str">
        <f>HYPERLINK("http://snap.windin.com/ns/bulletin.php?id=2037029&amp;type=1", "新华龙:首次公开发行股票招股意向书")</f>
        <v>新华龙:首次公开发行股票招股意向书</v>
      </c>
      <c r="F367" t="s">
        <v>1249</v>
      </c>
    </row>
    <row r="368" spans="1:6" x14ac:dyDescent="0.15">
      <c r="A368" s="1">
        <v>41121</v>
      </c>
      <c r="B368" t="s">
        <v>73</v>
      </c>
      <c r="C368" t="s">
        <v>503</v>
      </c>
      <c r="D368" t="s">
        <v>522</v>
      </c>
      <c r="E368" s="4" t="str">
        <f>HYPERLINK("http://snap.windin.com/ns/bulletin.php?id=466283&amp;type=1", "新华龙:首次公开发行股票招股意向书附录二")</f>
        <v>新华龙:首次公开发行股票招股意向书附录二</v>
      </c>
      <c r="F368" t="s">
        <v>1250</v>
      </c>
    </row>
    <row r="369" spans="1:6" x14ac:dyDescent="0.15">
      <c r="A369" s="1">
        <v>41121</v>
      </c>
      <c r="B369" t="s">
        <v>73</v>
      </c>
      <c r="C369" t="s">
        <v>503</v>
      </c>
      <c r="D369" t="s">
        <v>521</v>
      </c>
      <c r="E369" s="4" t="str">
        <f>HYPERLINK("http://snap.windin.com/ns/bulletin.php?id=530296&amp;type=1", "新华龙:首次公开发行股票招股意向书附录三")</f>
        <v>新华龙:首次公开发行股票招股意向书附录三</v>
      </c>
      <c r="F369" t="s">
        <v>1251</v>
      </c>
    </row>
    <row r="370" spans="1:6" x14ac:dyDescent="0.15">
      <c r="A370" s="1">
        <v>41121</v>
      </c>
      <c r="B370" t="s">
        <v>73</v>
      </c>
      <c r="C370" t="s">
        <v>503</v>
      </c>
      <c r="D370" t="s">
        <v>523</v>
      </c>
      <c r="E370" s="4" t="str">
        <f>HYPERLINK("http://snap.windin.com/ns/bulletin.php?id=202093&amp;type=1", "新华龙:首次公开发行股票招股意向书附录四")</f>
        <v>新华龙:首次公开发行股票招股意向书附录四</v>
      </c>
      <c r="F370" t="s">
        <v>1252</v>
      </c>
    </row>
    <row r="371" spans="1:6" x14ac:dyDescent="0.15">
      <c r="A371" s="1">
        <v>41121</v>
      </c>
      <c r="B371" t="s">
        <v>73</v>
      </c>
      <c r="C371" t="s">
        <v>503</v>
      </c>
      <c r="D371" t="s">
        <v>520</v>
      </c>
      <c r="E371" s="4" t="str">
        <f>HYPERLINK("http://snap.windin.com/ns/bulletin.php?id=1034053&amp;type=1", "新华龙:首次公开发行股票招股意向书附录一")</f>
        <v>新华龙:首次公开发行股票招股意向书附录一</v>
      </c>
      <c r="F371" t="s">
        <v>1253</v>
      </c>
    </row>
    <row r="372" spans="1:6" x14ac:dyDescent="0.15">
      <c r="A372" s="1">
        <v>41121</v>
      </c>
      <c r="B372" t="s">
        <v>73</v>
      </c>
      <c r="C372" t="s">
        <v>503</v>
      </c>
      <c r="D372" t="s">
        <v>466</v>
      </c>
      <c r="E372" s="4" t="str">
        <f>HYPERLINK("http://snap.windin.com/ns/bulletin.php?id=1747575&amp;type=1", "新华龙:首次公开发行股票招股意向书摘要")</f>
        <v>新华龙:首次公开发行股票招股意向书摘要</v>
      </c>
      <c r="F372" t="s">
        <v>1254</v>
      </c>
    </row>
    <row r="373" spans="1:6" x14ac:dyDescent="0.15">
      <c r="A373" s="1">
        <v>41121</v>
      </c>
      <c r="B373" t="s">
        <v>74</v>
      </c>
      <c r="C373" t="s">
        <v>504</v>
      </c>
      <c r="D373" t="s">
        <v>471</v>
      </c>
      <c r="E373" s="4" t="str">
        <f>HYPERLINK("http://snap.windin.com/ns/bulletin.php?id=1810078&amp;type=1", "华鹏飞:首次公开发行股票并在创业板上市招股意向书")</f>
        <v>华鹏飞:首次公开发行股票并在创业板上市招股意向书</v>
      </c>
      <c r="F373" t="s">
        <v>1255</v>
      </c>
    </row>
    <row r="374" spans="1:6" x14ac:dyDescent="0.15">
      <c r="A374" s="1">
        <v>41121</v>
      </c>
      <c r="B374" t="s">
        <v>75</v>
      </c>
      <c r="C374" t="s">
        <v>507</v>
      </c>
      <c r="D374" t="s">
        <v>471</v>
      </c>
      <c r="E374" s="4" t="str">
        <f>HYPERLINK("http://snap.windin.com/ns/bulletin.php?id=1950941&amp;type=1", "金卡股份:首次公开发行股票并在创业板上市招股意向书")</f>
        <v>金卡股份:首次公开发行股票并在创业板上市招股意向书</v>
      </c>
      <c r="F374" t="s">
        <v>1256</v>
      </c>
    </row>
    <row r="375" spans="1:6" x14ac:dyDescent="0.15">
      <c r="A375" s="1">
        <v>41121</v>
      </c>
      <c r="B375" t="s">
        <v>76</v>
      </c>
      <c r="C375" t="s">
        <v>508</v>
      </c>
      <c r="D375" t="s">
        <v>471</v>
      </c>
      <c r="E375" s="4" t="str">
        <f>HYPERLINK("http://snap.windin.com/ns/bulletin.php?id=1468288&amp;type=1", "长亮科技:首次公开发行股票并在创业板上市招股意向书")</f>
        <v>长亮科技:首次公开发行股票并在创业板上市招股意向书</v>
      </c>
      <c r="F375" t="s">
        <v>1257</v>
      </c>
    </row>
    <row r="376" spans="1:6" x14ac:dyDescent="0.15">
      <c r="A376" s="1">
        <v>41121</v>
      </c>
      <c r="B376" t="s">
        <v>85</v>
      </c>
      <c r="C376" t="s">
        <v>517</v>
      </c>
      <c r="D376" t="s">
        <v>407</v>
      </c>
      <c r="E376" s="4" t="str">
        <f>HYPERLINK("http://snap.windin.com/ns/bulletin.php?id=1718035&amp;type=1", "红宇新材:首次公开发行股票并在创业板上市公告书提示性公告")</f>
        <v>红宇新材:首次公开发行股票并在创业板上市公告书提示性公告</v>
      </c>
      <c r="F376" t="s">
        <v>1258</v>
      </c>
    </row>
    <row r="377" spans="1:6" x14ac:dyDescent="0.15">
      <c r="A377" s="1">
        <v>41121</v>
      </c>
      <c r="B377" t="s">
        <v>85</v>
      </c>
      <c r="C377" t="s">
        <v>517</v>
      </c>
      <c r="D377" t="s">
        <v>412</v>
      </c>
      <c r="E377" s="4" t="str">
        <f>HYPERLINK("http://snap.windin.com/ns/bulletin.php?id=2117686&amp;type=1", "红宇新材:首次公开发行股票并在创业板上市上市公告书")</f>
        <v>红宇新材:首次公开发行股票并在创业板上市上市公告书</v>
      </c>
      <c r="F377" t="s">
        <v>1259</v>
      </c>
    </row>
    <row r="378" spans="1:6" x14ac:dyDescent="0.15">
      <c r="A378" s="1">
        <v>41121</v>
      </c>
      <c r="B378" t="s">
        <v>87</v>
      </c>
      <c r="C378" t="s">
        <v>519</v>
      </c>
      <c r="D378" t="s">
        <v>417</v>
      </c>
      <c r="E378" s="4" t="str">
        <f>HYPERLINK("http://snap.windin.com/ns/bulletin.php?id=2035864&amp;type=1", "太空板业:首次公开发行股票并在创业板上市公告书")</f>
        <v>太空板业:首次公开发行股票并在创业板上市公告书</v>
      </c>
      <c r="F378" t="s">
        <v>1260</v>
      </c>
    </row>
    <row r="379" spans="1:6" x14ac:dyDescent="0.15">
      <c r="A379" s="1">
        <v>41121</v>
      </c>
      <c r="B379" t="s">
        <v>87</v>
      </c>
      <c r="C379" t="s">
        <v>519</v>
      </c>
      <c r="D379" t="s">
        <v>383</v>
      </c>
      <c r="E379" s="4" t="str">
        <f>HYPERLINK("http://snap.windin.com/ns/bulletin.php?id=1054410&amp;type=1", "太空板业:首次公开发行股票并在创业板上市上市公告书提示性公告")</f>
        <v>太空板业:首次公开发行股票并在创业板上市上市公告书提示性公告</v>
      </c>
      <c r="F379" t="s">
        <v>1261</v>
      </c>
    </row>
    <row r="380" spans="1:6" x14ac:dyDescent="0.15">
      <c r="A380" s="1">
        <v>41121</v>
      </c>
      <c r="B380" t="s">
        <v>86</v>
      </c>
      <c r="C380" t="s">
        <v>518</v>
      </c>
      <c r="D380" t="s">
        <v>417</v>
      </c>
      <c r="E380" s="4" t="str">
        <f>HYPERLINK("http://snap.windin.com/ns/bulletin.php?id=1782998&amp;type=1", "联创节能:首次公开发行股票并在创业板上市公告书")</f>
        <v>联创节能:首次公开发行股票并在创业板上市公告书</v>
      </c>
      <c r="F380" t="s">
        <v>1262</v>
      </c>
    </row>
    <row r="381" spans="1:6" x14ac:dyDescent="0.15">
      <c r="A381" s="1">
        <v>41121</v>
      </c>
      <c r="B381" t="s">
        <v>86</v>
      </c>
      <c r="C381" t="s">
        <v>518</v>
      </c>
      <c r="D381" t="s">
        <v>407</v>
      </c>
      <c r="E381" s="4" t="str">
        <f>HYPERLINK("http://snap.windin.com/ns/bulletin.php?id=2077515&amp;type=1", "联创节能:首次公开发行股票并在创业板上市公告书提示性公告")</f>
        <v>联创节能:首次公开发行股票并在创业板上市公告书提示性公告</v>
      </c>
      <c r="F381" t="s">
        <v>1263</v>
      </c>
    </row>
    <row r="382" spans="1:6" x14ac:dyDescent="0.15">
      <c r="A382" s="1">
        <v>41120</v>
      </c>
      <c r="B382" t="s">
        <v>88</v>
      </c>
      <c r="C382" t="s">
        <v>524</v>
      </c>
      <c r="D382" t="s">
        <v>402</v>
      </c>
      <c r="E382" s="4" t="str">
        <f>HYPERLINK("http://snap.windin.com/ns/bulletin.php?id=2112001&amp;type=1", "和邦股份:首次公开发行A股股票上市公告书")</f>
        <v>和邦股份:首次公开发行A股股票上市公告书</v>
      </c>
      <c r="F382" t="s">
        <v>1264</v>
      </c>
    </row>
    <row r="383" spans="1:6" x14ac:dyDescent="0.15">
      <c r="A383" s="1">
        <v>41120</v>
      </c>
      <c r="B383" t="s">
        <v>88</v>
      </c>
      <c r="C383" t="s">
        <v>524</v>
      </c>
      <c r="D383" t="s">
        <v>399</v>
      </c>
      <c r="E383" s="4" t="str">
        <f>HYPERLINK("http://snap.windin.com/ns/bulletin.php?id=129948&amp;type=1", "和邦股份:首次公开发行股票招股说明书")</f>
        <v>和邦股份:首次公开发行股票招股说明书</v>
      </c>
      <c r="F383" t="s">
        <v>1265</v>
      </c>
    </row>
    <row r="384" spans="1:6" x14ac:dyDescent="0.15">
      <c r="A384" s="1">
        <v>41120</v>
      </c>
      <c r="B384" t="s">
        <v>78</v>
      </c>
      <c r="C384" t="s">
        <v>510</v>
      </c>
      <c r="D384" t="s">
        <v>471</v>
      </c>
      <c r="E384" s="4" t="str">
        <f>HYPERLINK("http://snap.windin.com/ns/bulletin.php?id=1403865&amp;type=1", "泰格医药:首次公开发行股票并在创业板上市招股意向书")</f>
        <v>泰格医药:首次公开发行股票并在创业板上市招股意向书</v>
      </c>
      <c r="F384" t="s">
        <v>1266</v>
      </c>
    </row>
    <row r="385" spans="1:6" x14ac:dyDescent="0.15">
      <c r="A385" s="1">
        <v>41120</v>
      </c>
      <c r="B385" t="s">
        <v>82</v>
      </c>
      <c r="C385" t="s">
        <v>514</v>
      </c>
      <c r="D385" t="s">
        <v>399</v>
      </c>
      <c r="E385" s="4" t="str">
        <f>HYPERLINK("http://snap.windin.com/ns/bulletin.php?id=1014144&amp;type=1", "双成药业:首次公开发行股票招股说明书")</f>
        <v>双成药业:首次公开发行股票招股说明书</v>
      </c>
      <c r="F385" t="s">
        <v>1267</v>
      </c>
    </row>
    <row r="386" spans="1:6" x14ac:dyDescent="0.15">
      <c r="A386" s="1">
        <v>41120</v>
      </c>
      <c r="B386" t="s">
        <v>82</v>
      </c>
      <c r="C386" t="s">
        <v>514</v>
      </c>
      <c r="D386" t="s">
        <v>400</v>
      </c>
      <c r="E386" s="4" t="str">
        <f>HYPERLINK("http://snap.windin.com/ns/bulletin.php?id=1761301&amp;type=1", "双成药业:首次公开发行股票招股说明书摘要")</f>
        <v>双成药业:首次公开发行股票招股说明书摘要</v>
      </c>
      <c r="F386" t="s">
        <v>1268</v>
      </c>
    </row>
    <row r="387" spans="1:6" x14ac:dyDescent="0.15">
      <c r="A387" s="1">
        <v>41120</v>
      </c>
      <c r="B387" t="s">
        <v>89</v>
      </c>
      <c r="C387" t="s">
        <v>525</v>
      </c>
      <c r="D387" t="s">
        <v>389</v>
      </c>
      <c r="E387" s="4" t="str">
        <f>HYPERLINK("http://snap.windin.com/ns/bulletin.php?id=1174024&amp;type=1", "石煤装备:首次公开发行股票上市公告书")</f>
        <v>石煤装备:首次公开发行股票上市公告书</v>
      </c>
      <c r="F387" t="s">
        <v>1269</v>
      </c>
    </row>
    <row r="388" spans="1:6" x14ac:dyDescent="0.15">
      <c r="A388" s="1">
        <v>41120</v>
      </c>
      <c r="B388" t="s">
        <v>90</v>
      </c>
      <c r="C388" t="s">
        <v>526</v>
      </c>
      <c r="D388" t="s">
        <v>389</v>
      </c>
      <c r="E388" s="4" t="str">
        <f>HYPERLINK("http://snap.windin.com/ns/bulletin.php?id=766135&amp;type=1", "美亚光电:首次公开发行股票上市公告书")</f>
        <v>美亚光电:首次公开发行股票上市公告书</v>
      </c>
      <c r="F388" t="s">
        <v>1270</v>
      </c>
    </row>
    <row r="389" spans="1:6" x14ac:dyDescent="0.15">
      <c r="A389" s="1">
        <v>41117</v>
      </c>
      <c r="B389" t="s">
        <v>77</v>
      </c>
      <c r="C389" t="s">
        <v>509</v>
      </c>
      <c r="D389" t="s">
        <v>465</v>
      </c>
      <c r="E389" s="4" t="str">
        <f>HYPERLINK("http://snap.windin.com/ns/bulletin.php?id=447770&amp;type=1", "龙宇燃油:首次公开发行股票招股意向书")</f>
        <v>龙宇燃油:首次公开发行股票招股意向书</v>
      </c>
      <c r="F389" t="s">
        <v>1271</v>
      </c>
    </row>
    <row r="390" spans="1:6" x14ac:dyDescent="0.15">
      <c r="A390" s="1">
        <v>41117</v>
      </c>
      <c r="B390" t="s">
        <v>77</v>
      </c>
      <c r="C390" t="s">
        <v>509</v>
      </c>
      <c r="D390" t="s">
        <v>467</v>
      </c>
      <c r="E390" s="4" t="str">
        <f>HYPERLINK("http://snap.windin.com/ns/bulletin.php?id=1088974&amp;type=1", "龙宇燃油:首次公开发行股票招股意向书附录")</f>
        <v>龙宇燃油:首次公开发行股票招股意向书附录</v>
      </c>
      <c r="F390" t="s">
        <v>1272</v>
      </c>
    </row>
    <row r="391" spans="1:6" x14ac:dyDescent="0.15">
      <c r="A391" s="1">
        <v>41117</v>
      </c>
      <c r="B391" t="s">
        <v>77</v>
      </c>
      <c r="C391" t="s">
        <v>509</v>
      </c>
      <c r="D391" t="s">
        <v>466</v>
      </c>
      <c r="E391" s="4" t="str">
        <f>HYPERLINK("http://snap.windin.com/ns/bulletin.php?id=484982&amp;type=1", "龙宇燃油:首次公开发行股票招股意向书摘要")</f>
        <v>龙宇燃油:首次公开发行股票招股意向书摘要</v>
      </c>
      <c r="F391" t="s">
        <v>1273</v>
      </c>
    </row>
    <row r="392" spans="1:6" x14ac:dyDescent="0.15">
      <c r="A392" s="1">
        <v>41117</v>
      </c>
      <c r="B392" t="s">
        <v>84</v>
      </c>
      <c r="C392" t="s">
        <v>516</v>
      </c>
      <c r="D392" t="s">
        <v>455</v>
      </c>
      <c r="E392" s="4" t="str">
        <f>HYPERLINK("http://snap.windin.com/ns/bulletin.php?id=1109385&amp;type=1", "南大光电:首次公开发行股票并在创业板上市招股说明书")</f>
        <v>南大光电:首次公开发行股票并在创业板上市招股说明书</v>
      </c>
      <c r="F392" t="s">
        <v>1274</v>
      </c>
    </row>
    <row r="393" spans="1:6" x14ac:dyDescent="0.15">
      <c r="A393" s="1">
        <v>41117</v>
      </c>
      <c r="B393" t="s">
        <v>79</v>
      </c>
      <c r="C393" t="s">
        <v>511</v>
      </c>
      <c r="D393" t="s">
        <v>465</v>
      </c>
      <c r="E393" s="4" t="str">
        <f>HYPERLINK("http://snap.windin.com/ns/bulletin.php?id=1878981&amp;type=1", "顾地科技:首次公开发行股票招股意向书")</f>
        <v>顾地科技:首次公开发行股票招股意向书</v>
      </c>
      <c r="F393" t="s">
        <v>1275</v>
      </c>
    </row>
    <row r="394" spans="1:6" x14ac:dyDescent="0.15">
      <c r="A394" s="1">
        <v>41117</v>
      </c>
      <c r="B394" t="s">
        <v>79</v>
      </c>
      <c r="C394" t="s">
        <v>511</v>
      </c>
      <c r="D394" t="s">
        <v>466</v>
      </c>
      <c r="E394" s="4" t="str">
        <f>HYPERLINK("http://snap.windin.com/ns/bulletin.php?id=791853&amp;type=1", "顾地科技:首次公开发行股票招股意向书摘要")</f>
        <v>顾地科技:首次公开发行股票招股意向书摘要</v>
      </c>
      <c r="F394" t="s">
        <v>1276</v>
      </c>
    </row>
    <row r="395" spans="1:6" x14ac:dyDescent="0.15">
      <c r="A395" s="1">
        <v>41117</v>
      </c>
      <c r="B395" t="s">
        <v>83</v>
      </c>
      <c r="C395" t="s">
        <v>515</v>
      </c>
      <c r="D395" t="s">
        <v>399</v>
      </c>
      <c r="E395" s="4" t="str">
        <f>HYPERLINK("http://snap.windin.com/ns/bulletin.php?id=1436578&amp;type=1", "远程电缆:首次公开发行股票招股说明书")</f>
        <v>远程电缆:首次公开发行股票招股说明书</v>
      </c>
      <c r="F395" t="s">
        <v>1277</v>
      </c>
    </row>
    <row r="396" spans="1:6" x14ac:dyDescent="0.15">
      <c r="A396" s="1">
        <v>41117</v>
      </c>
      <c r="B396" t="s">
        <v>83</v>
      </c>
      <c r="C396" t="s">
        <v>515</v>
      </c>
      <c r="D396" t="s">
        <v>400</v>
      </c>
      <c r="E396" s="4" t="str">
        <f>HYPERLINK("http://snap.windin.com/ns/bulletin.php?id=1534396&amp;type=1", "远程电缆:首次公开发行股票招股说明书摘要")</f>
        <v>远程电缆:首次公开发行股票招股说明书摘要</v>
      </c>
      <c r="F396" t="s">
        <v>1278</v>
      </c>
    </row>
    <row r="397" spans="1:6" x14ac:dyDescent="0.15">
      <c r="A397" s="1">
        <v>41115</v>
      </c>
      <c r="B397" t="s">
        <v>94</v>
      </c>
      <c r="C397" t="s">
        <v>530</v>
      </c>
      <c r="D397" t="s">
        <v>417</v>
      </c>
      <c r="E397" s="4" t="str">
        <f>HYPERLINK("http://snap.windin.com/ns/bulletin.php?id=596867&amp;type=1", "天银机电:首次公开发行股票并在创业板上市公告书")</f>
        <v>天银机电:首次公开发行股票并在创业板上市公告书</v>
      </c>
      <c r="F397" t="s">
        <v>1279</v>
      </c>
    </row>
    <row r="398" spans="1:6" x14ac:dyDescent="0.15">
      <c r="A398" s="1">
        <v>41115</v>
      </c>
      <c r="B398" t="s">
        <v>94</v>
      </c>
      <c r="C398" t="s">
        <v>530</v>
      </c>
      <c r="D398" t="s">
        <v>407</v>
      </c>
      <c r="E398" s="4" t="str">
        <f>HYPERLINK("http://snap.windin.com/ns/bulletin.php?id=639651&amp;type=1", "天银机电:首次公开发行股票并在创业板上市公告书提示性公告")</f>
        <v>天银机电:首次公开发行股票并在创业板上市公告书提示性公告</v>
      </c>
      <c r="F398" t="s">
        <v>1280</v>
      </c>
    </row>
    <row r="399" spans="1:6" x14ac:dyDescent="0.15">
      <c r="A399" s="1">
        <v>41115</v>
      </c>
      <c r="B399" t="s">
        <v>93</v>
      </c>
      <c r="C399" t="s">
        <v>529</v>
      </c>
      <c r="D399" t="s">
        <v>412</v>
      </c>
      <c r="E399" s="4" t="str">
        <f>HYPERLINK("http://snap.windin.com/ns/bulletin.php?id=193575&amp;type=1", "麦迪电气:首次公开发行股票并在创业板上市上市公告书")</f>
        <v>麦迪电气:首次公开发行股票并在创业板上市上市公告书</v>
      </c>
      <c r="F399" t="s">
        <v>1281</v>
      </c>
    </row>
    <row r="400" spans="1:6" x14ac:dyDescent="0.15">
      <c r="A400" s="1">
        <v>41115</v>
      </c>
      <c r="B400" t="s">
        <v>93</v>
      </c>
      <c r="C400" t="s">
        <v>529</v>
      </c>
      <c r="D400" t="s">
        <v>383</v>
      </c>
      <c r="E400" s="4" t="str">
        <f>HYPERLINK("http://snap.windin.com/ns/bulletin.php?id=1509586&amp;type=1", "麦迪电气:首次公开发行股票并在创业板上市上市公告书提示性公告")</f>
        <v>麦迪电气:首次公开发行股票并在创业板上市上市公告书提示性公告</v>
      </c>
      <c r="F400" t="s">
        <v>1282</v>
      </c>
    </row>
    <row r="401" spans="1:6" x14ac:dyDescent="0.15">
      <c r="A401" s="1">
        <v>41115</v>
      </c>
      <c r="B401" t="s">
        <v>91</v>
      </c>
      <c r="C401" t="s">
        <v>527</v>
      </c>
      <c r="D401" t="s">
        <v>412</v>
      </c>
      <c r="E401" s="4" t="str">
        <f>HYPERLINK("http://snap.windin.com/ns/bulletin.php?id=102777&amp;type=1", "科恒股份:首次公开发行股票并在创业板上市上市公告书")</f>
        <v>科恒股份:首次公开发行股票并在创业板上市上市公告书</v>
      </c>
      <c r="F401" t="s">
        <v>1283</v>
      </c>
    </row>
    <row r="402" spans="1:6" x14ac:dyDescent="0.15">
      <c r="A402" s="1">
        <v>41115</v>
      </c>
      <c r="B402" t="s">
        <v>91</v>
      </c>
      <c r="C402" t="s">
        <v>527</v>
      </c>
      <c r="D402" t="s">
        <v>383</v>
      </c>
      <c r="E402" s="4" t="str">
        <f>HYPERLINK("http://snap.windin.com/ns/bulletin.php?id=1710036&amp;type=1", "科恒股份:首次公开发行股票并在创业板上市上市公告书提示性公告")</f>
        <v>科恒股份:首次公开发行股票并在创业板上市上市公告书提示性公告</v>
      </c>
      <c r="F402" t="s">
        <v>1284</v>
      </c>
    </row>
    <row r="403" spans="1:6" x14ac:dyDescent="0.15">
      <c r="A403" s="1">
        <v>41115</v>
      </c>
      <c r="B403" t="s">
        <v>92</v>
      </c>
      <c r="C403" t="s">
        <v>528</v>
      </c>
      <c r="D403" t="s">
        <v>417</v>
      </c>
      <c r="E403" s="4" t="str">
        <f>HYPERLINK("http://snap.windin.com/ns/bulletin.php?id=115466&amp;type=1", "开元仪器:首次公开发行股票并在创业板上市公告书")</f>
        <v>开元仪器:首次公开发行股票并在创业板上市公告书</v>
      </c>
      <c r="F403" t="s">
        <v>1285</v>
      </c>
    </row>
    <row r="404" spans="1:6" x14ac:dyDescent="0.15">
      <c r="A404" s="1">
        <v>41115</v>
      </c>
      <c r="B404" t="s">
        <v>92</v>
      </c>
      <c r="C404" t="s">
        <v>528</v>
      </c>
      <c r="D404" t="s">
        <v>407</v>
      </c>
      <c r="E404" s="4" t="str">
        <f>HYPERLINK("http://snap.windin.com/ns/bulletin.php?id=1694841&amp;type=1", "开元仪器:首次公开发行股票并在创业板上市公告书提示性公告")</f>
        <v>开元仪器:首次公开发行股票并在创业板上市公告书提示性公告</v>
      </c>
      <c r="F404" t="s">
        <v>1286</v>
      </c>
    </row>
    <row r="405" spans="1:6" x14ac:dyDescent="0.15">
      <c r="A405" s="1">
        <v>41114</v>
      </c>
      <c r="B405" t="s">
        <v>93</v>
      </c>
      <c r="C405" t="s">
        <v>529</v>
      </c>
      <c r="D405" t="s">
        <v>531</v>
      </c>
      <c r="E405" s="4" t="str">
        <f>HYPERLINK("http://snap.windin.com/ns/bulletin.php?id=1699680&amp;type=1", "麦迪电气:关于麦克奥迪（厦门）电气股份有限公司股票在创业板上市交易的公告")</f>
        <v>麦迪电气:关于麦克奥迪（厦门）电气股份有限公司股票在创业板上市交易的公告</v>
      </c>
      <c r="F405" t="s">
        <v>1287</v>
      </c>
    </row>
    <row r="406" spans="1:6" x14ac:dyDescent="0.15">
      <c r="A406" s="1">
        <v>41114</v>
      </c>
      <c r="B406" t="s">
        <v>82</v>
      </c>
      <c r="C406" t="s">
        <v>514</v>
      </c>
      <c r="D406" t="s">
        <v>465</v>
      </c>
      <c r="E406" s="4" t="str">
        <f>HYPERLINK("http://snap.windin.com/ns/bulletin.php?id=126109&amp;type=1", "双成药业:首次公开发行股票招股意向书")</f>
        <v>双成药业:首次公开发行股票招股意向书</v>
      </c>
      <c r="F406" t="s">
        <v>1288</v>
      </c>
    </row>
    <row r="407" spans="1:6" x14ac:dyDescent="0.15">
      <c r="A407" s="1">
        <v>41114</v>
      </c>
      <c r="B407" t="s">
        <v>82</v>
      </c>
      <c r="C407" t="s">
        <v>514</v>
      </c>
      <c r="D407" t="s">
        <v>466</v>
      </c>
      <c r="E407" s="4" t="str">
        <f>HYPERLINK("http://snap.windin.com/ns/bulletin.php?id=2035015&amp;type=1", "双成药业:首次公开发行股票招股意向书摘要")</f>
        <v>双成药业:首次公开发行股票招股意向书摘要</v>
      </c>
      <c r="F407" t="s">
        <v>1289</v>
      </c>
    </row>
    <row r="408" spans="1:6" x14ac:dyDescent="0.15">
      <c r="A408" s="1">
        <v>41113</v>
      </c>
      <c r="B408" t="s">
        <v>80</v>
      </c>
      <c r="C408" t="s">
        <v>512</v>
      </c>
      <c r="D408" t="s">
        <v>475</v>
      </c>
      <c r="E408" s="4" t="str">
        <f>HYPERLINK("http://snap.windin.com/ns/bulletin.php?id=1512596&amp;type=1", "隆鑫通用:首次公开发行A股股票招股意向书")</f>
        <v>隆鑫通用:首次公开发行A股股票招股意向书</v>
      </c>
      <c r="F408" t="s">
        <v>1290</v>
      </c>
    </row>
    <row r="409" spans="1:6" x14ac:dyDescent="0.15">
      <c r="A409" s="1">
        <v>41113</v>
      </c>
      <c r="B409" t="s">
        <v>80</v>
      </c>
      <c r="C409" t="s">
        <v>512</v>
      </c>
      <c r="D409" t="s">
        <v>476</v>
      </c>
      <c r="E409" s="4" t="str">
        <f>HYPERLINK("http://snap.windin.com/ns/bulletin.php?id=2068829&amp;type=1", "隆鑫通用:首次公开发行A股股票招股意向书摘要")</f>
        <v>隆鑫通用:首次公开发行A股股票招股意向书摘要</v>
      </c>
      <c r="F409" t="s">
        <v>1291</v>
      </c>
    </row>
    <row r="410" spans="1:6" x14ac:dyDescent="0.15">
      <c r="A410" s="1">
        <v>41113</v>
      </c>
      <c r="B410" t="s">
        <v>80</v>
      </c>
      <c r="C410" t="s">
        <v>512</v>
      </c>
      <c r="D410" t="s">
        <v>467</v>
      </c>
      <c r="E410" s="4" t="str">
        <f>HYPERLINK("http://snap.windin.com/ns/bulletin.php?id=1774526&amp;type=1", "隆鑫通用:首次公开发行股票招股意向书附录")</f>
        <v>隆鑫通用:首次公开发行股票招股意向书附录</v>
      </c>
      <c r="F410" t="s">
        <v>1292</v>
      </c>
    </row>
    <row r="411" spans="1:6" x14ac:dyDescent="0.15">
      <c r="A411" s="1">
        <v>41113</v>
      </c>
      <c r="B411" t="s">
        <v>85</v>
      </c>
      <c r="C411" t="s">
        <v>517</v>
      </c>
      <c r="D411" t="s">
        <v>455</v>
      </c>
      <c r="E411" s="4" t="str">
        <f>HYPERLINK("http://snap.windin.com/ns/bulletin.php?id=210296&amp;type=1", "红宇新材:首次公开发行股票并在创业板上市招股说明书")</f>
        <v>红宇新材:首次公开发行股票并在创业板上市招股说明书</v>
      </c>
      <c r="F411" t="s">
        <v>1293</v>
      </c>
    </row>
    <row r="412" spans="1:6" x14ac:dyDescent="0.15">
      <c r="A412" s="1">
        <v>41110</v>
      </c>
      <c r="B412" t="s">
        <v>84</v>
      </c>
      <c r="C412" t="s">
        <v>516</v>
      </c>
      <c r="D412" t="s">
        <v>471</v>
      </c>
      <c r="E412" s="4" t="str">
        <f>HYPERLINK("http://snap.windin.com/ns/bulletin.php?id=932264&amp;type=1", "南大光电:首次公开发行股票并在创业板上市招股意向书")</f>
        <v>南大光电:首次公开发行股票并在创业板上市招股意向书</v>
      </c>
      <c r="F412" t="s">
        <v>1294</v>
      </c>
    </row>
    <row r="413" spans="1:6" x14ac:dyDescent="0.15">
      <c r="A413" s="1">
        <v>41110</v>
      </c>
      <c r="B413" t="s">
        <v>83</v>
      </c>
      <c r="C413" t="s">
        <v>515</v>
      </c>
      <c r="D413" t="s">
        <v>465</v>
      </c>
      <c r="E413" s="4" t="str">
        <f>HYPERLINK("http://snap.windin.com/ns/bulletin.php?id=1071202&amp;type=1", "远程电缆:首次公开发行股票招股意向书")</f>
        <v>远程电缆:首次公开发行股票招股意向书</v>
      </c>
      <c r="F413" t="s">
        <v>1295</v>
      </c>
    </row>
    <row r="414" spans="1:6" x14ac:dyDescent="0.15">
      <c r="A414" s="1">
        <v>41110</v>
      </c>
      <c r="B414" t="s">
        <v>83</v>
      </c>
      <c r="C414" t="s">
        <v>515</v>
      </c>
      <c r="D414" t="s">
        <v>466</v>
      </c>
      <c r="E414" s="4" t="str">
        <f>HYPERLINK("http://snap.windin.com/ns/bulletin.php?id=98007&amp;type=1", "远程电缆:首次公开发行股票招股意向书摘要")</f>
        <v>远程电缆:首次公开发行股票招股意向书摘要</v>
      </c>
      <c r="F414" t="s">
        <v>1296</v>
      </c>
    </row>
    <row r="415" spans="1:6" x14ac:dyDescent="0.15">
      <c r="A415" s="1">
        <v>41110</v>
      </c>
      <c r="B415" t="s">
        <v>89</v>
      </c>
      <c r="C415" t="s">
        <v>525</v>
      </c>
      <c r="D415" t="s">
        <v>399</v>
      </c>
      <c r="E415" s="4" t="str">
        <f>HYPERLINK("http://snap.windin.com/ns/bulletin.php?id=2029251&amp;type=1", "石煤装备:首次公开发行股票招股说明书")</f>
        <v>石煤装备:首次公开发行股票招股说明书</v>
      </c>
      <c r="F415" t="s">
        <v>1297</v>
      </c>
    </row>
    <row r="416" spans="1:6" x14ac:dyDescent="0.15">
      <c r="A416" s="1">
        <v>41110</v>
      </c>
      <c r="B416" t="s">
        <v>89</v>
      </c>
      <c r="C416" t="s">
        <v>525</v>
      </c>
      <c r="D416" t="s">
        <v>400</v>
      </c>
      <c r="E416" s="4" t="str">
        <f>HYPERLINK("http://snap.windin.com/ns/bulletin.php?id=125055&amp;type=1", "石煤装备:首次公开发行股票招股说明书摘要")</f>
        <v>石煤装备:首次公开发行股票招股说明书摘要</v>
      </c>
      <c r="F416" t="s">
        <v>1298</v>
      </c>
    </row>
    <row r="417" spans="1:6" x14ac:dyDescent="0.15">
      <c r="A417" s="1">
        <v>41109</v>
      </c>
      <c r="B417" t="s">
        <v>87</v>
      </c>
      <c r="C417" t="s">
        <v>519</v>
      </c>
      <c r="D417" t="s">
        <v>455</v>
      </c>
      <c r="E417" s="4" t="str">
        <f>HYPERLINK("http://snap.windin.com/ns/bulletin.php?id=1918090&amp;type=1", "太空板业:首次公开发行股票并在创业板上市招股说明书")</f>
        <v>太空板业:首次公开发行股票并在创业板上市招股说明书</v>
      </c>
      <c r="F417" t="s">
        <v>1299</v>
      </c>
    </row>
    <row r="418" spans="1:6" x14ac:dyDescent="0.15">
      <c r="A418" s="1">
        <v>41109</v>
      </c>
      <c r="B418" t="s">
        <v>86</v>
      </c>
      <c r="C418" t="s">
        <v>518</v>
      </c>
      <c r="D418" t="s">
        <v>455</v>
      </c>
      <c r="E418" s="4" t="str">
        <f>HYPERLINK("http://snap.windin.com/ns/bulletin.php?id=806729&amp;type=1", "联创节能:首次公开发行股票并在创业板上市招股说明书")</f>
        <v>联创节能:首次公开发行股票并在创业板上市招股说明书</v>
      </c>
      <c r="F418" t="s">
        <v>1300</v>
      </c>
    </row>
    <row r="419" spans="1:6" x14ac:dyDescent="0.15">
      <c r="A419" s="1">
        <v>41109</v>
      </c>
      <c r="B419" t="s">
        <v>90</v>
      </c>
      <c r="C419" t="s">
        <v>526</v>
      </c>
      <c r="D419" t="s">
        <v>399</v>
      </c>
      <c r="E419" s="4" t="str">
        <f>HYPERLINK("http://snap.windin.com/ns/bulletin.php?id=2007197&amp;type=1", "美亚光电:首次公开发行股票招股说明书")</f>
        <v>美亚光电:首次公开发行股票招股说明书</v>
      </c>
      <c r="F419" t="s">
        <v>1301</v>
      </c>
    </row>
    <row r="420" spans="1:6" x14ac:dyDescent="0.15">
      <c r="A420" s="1">
        <v>41109</v>
      </c>
      <c r="B420" t="s">
        <v>90</v>
      </c>
      <c r="C420" t="s">
        <v>526</v>
      </c>
      <c r="D420" t="s">
        <v>400</v>
      </c>
      <c r="E420" s="4" t="str">
        <f>HYPERLINK("http://snap.windin.com/ns/bulletin.php?id=629370&amp;type=1", "美亚光电:首次公开发行股票招股说明书摘要")</f>
        <v>美亚光电:首次公开发行股票招股说明书摘要</v>
      </c>
      <c r="F420" t="s">
        <v>1302</v>
      </c>
    </row>
    <row r="421" spans="1:6" x14ac:dyDescent="0.15">
      <c r="A421" s="1">
        <v>41107</v>
      </c>
      <c r="B421" t="s">
        <v>96</v>
      </c>
      <c r="C421" t="s">
        <v>533</v>
      </c>
      <c r="D421" t="s">
        <v>417</v>
      </c>
      <c r="E421" s="4" t="str">
        <f>HYPERLINK("http://snap.windin.com/ns/bulletin.php?id=1392701&amp;type=1", "润和软件:首次公开发行股票并在创业板上市公告书")</f>
        <v>润和软件:首次公开发行股票并在创业板上市公告书</v>
      </c>
      <c r="F421" t="s">
        <v>1303</v>
      </c>
    </row>
    <row r="422" spans="1:6" x14ac:dyDescent="0.15">
      <c r="A422" s="1">
        <v>41107</v>
      </c>
      <c r="B422" t="s">
        <v>96</v>
      </c>
      <c r="C422" t="s">
        <v>533</v>
      </c>
      <c r="D422" t="s">
        <v>407</v>
      </c>
      <c r="E422" s="4" t="str">
        <f>HYPERLINK("http://snap.windin.com/ns/bulletin.php?id=719269&amp;type=1", "润和软件:首次公开发行股票并在创业板上市公告书提示性公告")</f>
        <v>润和软件:首次公开发行股票并在创业板上市公告书提示性公告</v>
      </c>
      <c r="F422" t="s">
        <v>1304</v>
      </c>
    </row>
    <row r="423" spans="1:6" x14ac:dyDescent="0.15">
      <c r="A423" s="1">
        <v>41107</v>
      </c>
      <c r="B423" t="s">
        <v>92</v>
      </c>
      <c r="C423" t="s">
        <v>528</v>
      </c>
      <c r="D423" t="s">
        <v>455</v>
      </c>
      <c r="E423" s="4" t="str">
        <f>HYPERLINK("http://snap.windin.com/ns/bulletin.php?id=683482&amp;type=1", "开元仪器:首次公开发行股票并在创业板上市招股说明书")</f>
        <v>开元仪器:首次公开发行股票并在创业板上市招股说明书</v>
      </c>
      <c r="F423" t="s">
        <v>1305</v>
      </c>
    </row>
    <row r="424" spans="1:6" x14ac:dyDescent="0.15">
      <c r="A424" s="1">
        <v>41107</v>
      </c>
      <c r="B424" t="s">
        <v>95</v>
      </c>
      <c r="C424" t="s">
        <v>532</v>
      </c>
      <c r="D424" t="s">
        <v>412</v>
      </c>
      <c r="E424" s="4" t="str">
        <f>HYPERLINK("http://snap.windin.com/ns/bulletin.php?id=2048790&amp;type=1", "银邦股份:首次公开发行股票并在创业板上市上市公告书")</f>
        <v>银邦股份:首次公开发行股票并在创业板上市上市公告书</v>
      </c>
      <c r="F424" t="s">
        <v>1306</v>
      </c>
    </row>
    <row r="425" spans="1:6" x14ac:dyDescent="0.15">
      <c r="A425" s="1">
        <v>41107</v>
      </c>
      <c r="B425" t="s">
        <v>95</v>
      </c>
      <c r="C425" t="s">
        <v>532</v>
      </c>
      <c r="D425" t="s">
        <v>383</v>
      </c>
      <c r="E425" s="4" t="str">
        <f>HYPERLINK("http://snap.windin.com/ns/bulletin.php?id=815024&amp;type=1", "银邦股份:首次公开发行股票并在创业板上市上市公告书提示性公告")</f>
        <v>银邦股份:首次公开发行股票并在创业板上市上市公告书提示性公告</v>
      </c>
      <c r="F425" t="s">
        <v>1307</v>
      </c>
    </row>
    <row r="426" spans="1:6" x14ac:dyDescent="0.15">
      <c r="A426" s="1">
        <v>41106</v>
      </c>
      <c r="B426" t="s">
        <v>97</v>
      </c>
      <c r="C426" t="s">
        <v>534</v>
      </c>
      <c r="D426" t="s">
        <v>402</v>
      </c>
      <c r="E426" s="4" t="str">
        <f>HYPERLINK("http://snap.windin.com/ns/bulletin.php?id=1092149&amp;type=1", "喜临门:首次公开发行A股股票上市公告书")</f>
        <v>喜临门:首次公开发行A股股票上市公告书</v>
      </c>
      <c r="F426" t="s">
        <v>1308</v>
      </c>
    </row>
    <row r="427" spans="1:6" x14ac:dyDescent="0.15">
      <c r="A427" s="1">
        <v>41106</v>
      </c>
      <c r="B427" t="s">
        <v>97</v>
      </c>
      <c r="C427" t="s">
        <v>534</v>
      </c>
      <c r="D427" t="s">
        <v>462</v>
      </c>
      <c r="E427" s="4" t="str">
        <f>HYPERLINK("http://snap.windin.com/ns/bulletin.php?id=1362305&amp;type=1", "喜临门:首次公开发行A股股票招股说明书")</f>
        <v>喜临门:首次公开发行A股股票招股说明书</v>
      </c>
      <c r="F427" t="s">
        <v>1309</v>
      </c>
    </row>
    <row r="428" spans="1:6" x14ac:dyDescent="0.15">
      <c r="A428" s="1">
        <v>41106</v>
      </c>
      <c r="B428" t="s">
        <v>81</v>
      </c>
      <c r="C428" t="s">
        <v>513</v>
      </c>
      <c r="D428" t="s">
        <v>475</v>
      </c>
      <c r="E428" s="4" t="str">
        <f>HYPERLINK("http://snap.windin.com/ns/bulletin.php?id=1700804&amp;type=1", "一拖股份:首次公开发行A股股票招股意向书")</f>
        <v>一拖股份:首次公开发行A股股票招股意向书</v>
      </c>
      <c r="F428" t="s">
        <v>1310</v>
      </c>
    </row>
    <row r="429" spans="1:6" x14ac:dyDescent="0.15">
      <c r="A429" s="1">
        <v>41106</v>
      </c>
      <c r="B429" t="s">
        <v>81</v>
      </c>
      <c r="C429" t="s">
        <v>513</v>
      </c>
      <c r="D429" t="s">
        <v>476</v>
      </c>
      <c r="E429" s="4" t="str">
        <f>HYPERLINK("http://snap.windin.com/ns/bulletin.php?id=1597210&amp;type=1", "一拖股份:首次公开发行A股股票招股意向书摘要")</f>
        <v>一拖股份:首次公开发行A股股票招股意向书摘要</v>
      </c>
      <c r="F429" t="s">
        <v>1311</v>
      </c>
    </row>
    <row r="430" spans="1:6" x14ac:dyDescent="0.15">
      <c r="A430" s="1">
        <v>41106</v>
      </c>
      <c r="B430" t="s">
        <v>81</v>
      </c>
      <c r="C430" t="s">
        <v>513</v>
      </c>
      <c r="D430" t="s">
        <v>467</v>
      </c>
      <c r="E430" s="4" t="str">
        <f>HYPERLINK("http://snap.windin.com/ns/bulletin.php?id=2068285&amp;type=1", "一拖股份:首次公开发行股票招股意向书附录")</f>
        <v>一拖股份:首次公开发行股票招股意向书附录</v>
      </c>
      <c r="F430" t="s">
        <v>1312</v>
      </c>
    </row>
    <row r="431" spans="1:6" x14ac:dyDescent="0.15">
      <c r="A431" s="1">
        <v>41106</v>
      </c>
      <c r="B431" t="s">
        <v>94</v>
      </c>
      <c r="C431" t="s">
        <v>530</v>
      </c>
      <c r="D431" t="s">
        <v>455</v>
      </c>
      <c r="E431" s="4" t="str">
        <f>HYPERLINK("http://snap.windin.com/ns/bulletin.php?id=1479096&amp;type=1", "天银机电:首次公开发行股票并在创业板上市招股说明书")</f>
        <v>天银机电:首次公开发行股票并在创业板上市招股说明书</v>
      </c>
      <c r="F431" t="s">
        <v>1313</v>
      </c>
    </row>
    <row r="432" spans="1:6" x14ac:dyDescent="0.15">
      <c r="A432" s="1">
        <v>41106</v>
      </c>
      <c r="B432" t="s">
        <v>93</v>
      </c>
      <c r="C432" t="s">
        <v>529</v>
      </c>
      <c r="D432" t="s">
        <v>455</v>
      </c>
      <c r="E432" s="4" t="str">
        <f>HYPERLINK("http://snap.windin.com/ns/bulletin.php?id=1775029&amp;type=1", "麦迪电气:首次公开发行股票并在创业板上市招股说明书")</f>
        <v>麦迪电气:首次公开发行股票并在创业板上市招股说明书</v>
      </c>
      <c r="F432" t="s">
        <v>1314</v>
      </c>
    </row>
    <row r="433" spans="1:6" x14ac:dyDescent="0.15">
      <c r="A433" s="1">
        <v>41106</v>
      </c>
      <c r="B433" t="s">
        <v>98</v>
      </c>
      <c r="C433" t="s">
        <v>535</v>
      </c>
      <c r="D433" t="s">
        <v>389</v>
      </c>
      <c r="E433" s="4" t="str">
        <f>HYPERLINK("http://snap.windin.com/ns/bulletin.php?id=160212&amp;type=1", "博林特:首次公开发行股票上市公告书")</f>
        <v>博林特:首次公开发行股票上市公告书</v>
      </c>
      <c r="F433" t="s">
        <v>1315</v>
      </c>
    </row>
    <row r="434" spans="1:6" x14ac:dyDescent="0.15">
      <c r="A434" s="1">
        <v>41103</v>
      </c>
      <c r="B434" t="s">
        <v>85</v>
      </c>
      <c r="C434" t="s">
        <v>517</v>
      </c>
      <c r="D434" t="s">
        <v>471</v>
      </c>
      <c r="E434" s="4" t="str">
        <f>HYPERLINK("http://snap.windin.com/ns/bulletin.php?id=1385788&amp;type=1", "红宇新材:首次公开发行股票并在创业板上市招股意向书")</f>
        <v>红宇新材:首次公开发行股票并在创业板上市招股意向书</v>
      </c>
      <c r="F434" t="s">
        <v>1316</v>
      </c>
    </row>
    <row r="435" spans="1:6" x14ac:dyDescent="0.15">
      <c r="A435" s="1">
        <v>41103</v>
      </c>
      <c r="B435" t="s">
        <v>91</v>
      </c>
      <c r="C435" t="s">
        <v>527</v>
      </c>
      <c r="D435" t="s">
        <v>455</v>
      </c>
      <c r="E435" s="4" t="str">
        <f>HYPERLINK("http://snap.windin.com/ns/bulletin.php?id=545718&amp;type=1", "科恒股份:首次公开发行股票并在创业板上市招股说明书")</f>
        <v>科恒股份:首次公开发行股票并在创业板上市招股说明书</v>
      </c>
      <c r="F435" t="s">
        <v>1317</v>
      </c>
    </row>
    <row r="436" spans="1:6" x14ac:dyDescent="0.15">
      <c r="A436" s="1">
        <v>41103</v>
      </c>
      <c r="B436" t="s">
        <v>89</v>
      </c>
      <c r="C436" t="s">
        <v>525</v>
      </c>
      <c r="D436" t="s">
        <v>465</v>
      </c>
      <c r="E436" s="4" t="str">
        <f>HYPERLINK("http://snap.windin.com/ns/bulletin.php?id=969542&amp;type=1", "石煤装备:首次公开发行股票招股意向书")</f>
        <v>石煤装备:首次公开发行股票招股意向书</v>
      </c>
      <c r="F436" t="s">
        <v>1318</v>
      </c>
    </row>
    <row r="437" spans="1:6" x14ac:dyDescent="0.15">
      <c r="A437" s="1">
        <v>41103</v>
      </c>
      <c r="B437" t="s">
        <v>89</v>
      </c>
      <c r="C437" t="s">
        <v>525</v>
      </c>
      <c r="D437" t="s">
        <v>466</v>
      </c>
      <c r="E437" s="4" t="str">
        <f>HYPERLINK("http://snap.windin.com/ns/bulletin.php?id=545741&amp;type=1", "石煤装备:首次公开发行股票招股意向书摘要")</f>
        <v>石煤装备:首次公开发行股票招股意向书摘要</v>
      </c>
      <c r="F437" t="s">
        <v>1319</v>
      </c>
    </row>
    <row r="438" spans="1:6" x14ac:dyDescent="0.15">
      <c r="A438" s="1">
        <v>41102</v>
      </c>
      <c r="B438" t="s">
        <v>99</v>
      </c>
      <c r="C438" t="s">
        <v>536</v>
      </c>
      <c r="D438" t="s">
        <v>389</v>
      </c>
      <c r="E438" s="4" t="str">
        <f>HYPERLINK("http://snap.windin.com/ns/bulletin.php?id=1898732&amp;type=1", "N金河:首次公开发行股票上市公告书")</f>
        <v>N金河:首次公开发行股票上市公告书</v>
      </c>
      <c r="F438" t="s">
        <v>1320</v>
      </c>
    </row>
    <row r="439" spans="1:6" x14ac:dyDescent="0.15">
      <c r="A439" s="1">
        <v>41102</v>
      </c>
      <c r="B439" t="s">
        <v>100</v>
      </c>
      <c r="C439" t="s">
        <v>537</v>
      </c>
      <c r="D439" t="s">
        <v>389</v>
      </c>
      <c r="E439" s="4" t="str">
        <f>HYPERLINK("http://snap.windin.com/ns/bulletin.php?id=1090880&amp;type=1", "N乔治白:首次公开发行股票上市公告书")</f>
        <v>N乔治白:首次公开发行股票上市公告书</v>
      </c>
      <c r="F439" t="s">
        <v>1321</v>
      </c>
    </row>
    <row r="440" spans="1:6" x14ac:dyDescent="0.15">
      <c r="A440" s="1">
        <v>41101</v>
      </c>
      <c r="B440" t="s">
        <v>87</v>
      </c>
      <c r="C440" t="s">
        <v>519</v>
      </c>
      <c r="D440" t="s">
        <v>471</v>
      </c>
      <c r="E440" s="4" t="str">
        <f>HYPERLINK("http://snap.windin.com/ns/bulletin.php?id=233838&amp;type=1", "太空板业:首次公开发行股票并在创业板上市招股意向书")</f>
        <v>太空板业:首次公开发行股票并在创业板上市招股意向书</v>
      </c>
      <c r="F440" t="s">
        <v>1322</v>
      </c>
    </row>
    <row r="441" spans="1:6" x14ac:dyDescent="0.15">
      <c r="A441" s="1">
        <v>41101</v>
      </c>
      <c r="B441" t="s">
        <v>86</v>
      </c>
      <c r="C441" t="s">
        <v>518</v>
      </c>
      <c r="D441" t="s">
        <v>471</v>
      </c>
      <c r="E441" s="4" t="str">
        <f>HYPERLINK("http://snap.windin.com/ns/bulletin.php?id=1721647&amp;type=1", "联创节能:首次公开发行股票并在创业板上市招股意向书")</f>
        <v>联创节能:首次公开发行股票并在创业板上市招股意向书</v>
      </c>
      <c r="F441" t="s">
        <v>1323</v>
      </c>
    </row>
    <row r="442" spans="1:6" x14ac:dyDescent="0.15">
      <c r="A442" s="1">
        <v>41099</v>
      </c>
      <c r="B442" t="s">
        <v>88</v>
      </c>
      <c r="C442" t="s">
        <v>524</v>
      </c>
      <c r="D442" t="s">
        <v>465</v>
      </c>
      <c r="E442" s="4" t="str">
        <f>HYPERLINK("http://snap.windin.com/ns/bulletin.php?id=1884283&amp;type=1", "和邦股份:首次公开发行股票招股意向书")</f>
        <v>和邦股份:首次公开发行股票招股意向书</v>
      </c>
      <c r="F442" t="s">
        <v>1324</v>
      </c>
    </row>
    <row r="443" spans="1:6" x14ac:dyDescent="0.15">
      <c r="A443" s="1">
        <v>41099</v>
      </c>
      <c r="B443" t="s">
        <v>88</v>
      </c>
      <c r="C443" t="s">
        <v>524</v>
      </c>
      <c r="D443" t="s">
        <v>467</v>
      </c>
      <c r="E443" s="4" t="str">
        <f>HYPERLINK("http://snap.windin.com/ns/bulletin.php?id=778640&amp;type=1", "和邦股份:首次公开发行股票招股意向书附录")</f>
        <v>和邦股份:首次公开发行股票招股意向书附录</v>
      </c>
      <c r="F443" t="s">
        <v>1325</v>
      </c>
    </row>
    <row r="444" spans="1:6" x14ac:dyDescent="0.15">
      <c r="A444" s="1">
        <v>41099</v>
      </c>
      <c r="B444" t="s">
        <v>88</v>
      </c>
      <c r="C444" t="s">
        <v>524</v>
      </c>
      <c r="D444" t="s">
        <v>466</v>
      </c>
      <c r="E444" s="4" t="str">
        <f>HYPERLINK("http://snap.windin.com/ns/bulletin.php?id=1086417&amp;type=1", "和邦股份:首次公开发行股票招股意向书摘要")</f>
        <v>和邦股份:首次公开发行股票招股意向书摘要</v>
      </c>
      <c r="F444" t="s">
        <v>1326</v>
      </c>
    </row>
    <row r="445" spans="1:6" x14ac:dyDescent="0.15">
      <c r="A445" s="1">
        <v>41099</v>
      </c>
      <c r="B445" t="s">
        <v>96</v>
      </c>
      <c r="C445" t="s">
        <v>533</v>
      </c>
      <c r="D445" t="s">
        <v>455</v>
      </c>
      <c r="E445" s="4" t="str">
        <f>HYPERLINK("http://snap.windin.com/ns/bulletin.php?id=911509&amp;type=1", "润和软件:首次公开发行股票并在创业板上市招股说明书")</f>
        <v>润和软件:首次公开发行股票并在创业板上市招股说明书</v>
      </c>
      <c r="F445" t="s">
        <v>1327</v>
      </c>
    </row>
    <row r="446" spans="1:6" x14ac:dyDescent="0.15">
      <c r="A446" s="1">
        <v>41099</v>
      </c>
      <c r="B446" t="s">
        <v>95</v>
      </c>
      <c r="C446" t="s">
        <v>532</v>
      </c>
      <c r="D446" t="s">
        <v>455</v>
      </c>
      <c r="E446" s="4" t="str">
        <f>HYPERLINK("http://snap.windin.com/ns/bulletin.php?id=2054567&amp;type=1", "银邦股份:首次公开发行股票并在创业板上市招股说明书")</f>
        <v>银邦股份:首次公开发行股票并在创业板上市招股说明书</v>
      </c>
      <c r="F446" t="s">
        <v>1328</v>
      </c>
    </row>
    <row r="447" spans="1:6" x14ac:dyDescent="0.15">
      <c r="A447" s="1">
        <v>41099</v>
      </c>
      <c r="B447" t="s">
        <v>101</v>
      </c>
      <c r="C447" t="s">
        <v>538</v>
      </c>
      <c r="D447" t="s">
        <v>407</v>
      </c>
      <c r="E447" s="4" t="str">
        <f>HYPERLINK("http://snap.windin.com/ns/bulletin.php?id=404483&amp;type=1", "新文化:首次公开发行股票并在创业板上市公告书提示性公告")</f>
        <v>新文化:首次公开发行股票并在创业板上市公告书提示性公告</v>
      </c>
      <c r="F447" t="s">
        <v>1329</v>
      </c>
    </row>
    <row r="448" spans="1:6" x14ac:dyDescent="0.15">
      <c r="A448" s="1">
        <v>41099</v>
      </c>
      <c r="B448" t="s">
        <v>101</v>
      </c>
      <c r="C448" t="s">
        <v>538</v>
      </c>
      <c r="D448" t="s">
        <v>408</v>
      </c>
      <c r="E448" s="4" t="str">
        <f>HYPERLINK("http://snap.windin.com/ns/bulletin.php?id=1962245&amp;type=1", "新文化:首次公开发行股票并在创业板上市之上市公告书")</f>
        <v>新文化:首次公开发行股票并在创业板上市之上市公告书</v>
      </c>
      <c r="F448" t="s">
        <v>1330</v>
      </c>
    </row>
    <row r="449" spans="1:6" x14ac:dyDescent="0.15">
      <c r="A449" s="1">
        <v>41099</v>
      </c>
      <c r="B449" t="s">
        <v>102</v>
      </c>
      <c r="C449" t="s">
        <v>539</v>
      </c>
      <c r="D449" t="s">
        <v>417</v>
      </c>
      <c r="E449" s="4" t="str">
        <f>HYPERLINK("http://snap.windin.com/ns/bulletin.php?id=1089630&amp;type=1", "迪森股份:首次公开发行股票并在创业板上市公告书")</f>
        <v>迪森股份:首次公开发行股票并在创业板上市公告书</v>
      </c>
      <c r="F449" t="s">
        <v>1331</v>
      </c>
    </row>
    <row r="450" spans="1:6" x14ac:dyDescent="0.15">
      <c r="A450" s="1">
        <v>41099</v>
      </c>
      <c r="B450" t="s">
        <v>102</v>
      </c>
      <c r="C450" t="s">
        <v>539</v>
      </c>
      <c r="D450" t="s">
        <v>407</v>
      </c>
      <c r="E450" s="4" t="str">
        <f>HYPERLINK("http://snap.windin.com/ns/bulletin.php?id=847920&amp;type=1", "迪森股份:首次公开发行股票并在创业板上市公告书提示性公告")</f>
        <v>迪森股份:首次公开发行股票并在创业板上市公告书提示性公告</v>
      </c>
      <c r="F450" t="s">
        <v>1332</v>
      </c>
    </row>
    <row r="451" spans="1:6" x14ac:dyDescent="0.15">
      <c r="A451" s="1">
        <v>41099</v>
      </c>
      <c r="B451" t="s">
        <v>90</v>
      </c>
      <c r="C451" t="s">
        <v>526</v>
      </c>
      <c r="D451" t="s">
        <v>465</v>
      </c>
      <c r="E451" s="4" t="str">
        <f>HYPERLINK("http://snap.windin.com/ns/bulletin.php?id=1601556&amp;type=1", "美亚光电:首次公开发行股票招股意向书")</f>
        <v>美亚光电:首次公开发行股票招股意向书</v>
      </c>
      <c r="F451" t="s">
        <v>1333</v>
      </c>
    </row>
    <row r="452" spans="1:6" x14ac:dyDescent="0.15">
      <c r="A452" s="1">
        <v>41099</v>
      </c>
      <c r="B452" t="s">
        <v>90</v>
      </c>
      <c r="C452" t="s">
        <v>526</v>
      </c>
      <c r="D452" t="s">
        <v>466</v>
      </c>
      <c r="E452" s="4" t="str">
        <f>HYPERLINK("http://snap.windin.com/ns/bulletin.php?id=2126162&amp;type=1", "美亚光电:首次公开发行股票招股意向书摘要")</f>
        <v>美亚光电:首次公开发行股票招股意向书摘要</v>
      </c>
      <c r="F452" t="s">
        <v>1334</v>
      </c>
    </row>
    <row r="453" spans="1:6" x14ac:dyDescent="0.15">
      <c r="A453" s="1">
        <v>41096</v>
      </c>
      <c r="B453" t="s">
        <v>94</v>
      </c>
      <c r="C453" t="s">
        <v>530</v>
      </c>
      <c r="D453" t="s">
        <v>471</v>
      </c>
      <c r="E453" s="4" t="str">
        <f>HYPERLINK("http://snap.windin.com/ns/bulletin.php?id=73404&amp;type=1", "天银机电:首次公开发行股票并在创业板上市招股意向书")</f>
        <v>天银机电:首次公开发行股票并在创业板上市招股意向书</v>
      </c>
      <c r="F453" t="s">
        <v>1335</v>
      </c>
    </row>
    <row r="454" spans="1:6" x14ac:dyDescent="0.15">
      <c r="A454" s="1">
        <v>41096</v>
      </c>
      <c r="B454" t="s">
        <v>93</v>
      </c>
      <c r="C454" t="s">
        <v>529</v>
      </c>
      <c r="D454" t="s">
        <v>471</v>
      </c>
      <c r="E454" s="4" t="str">
        <f>HYPERLINK("http://snap.windin.com/ns/bulletin.php?id=1783801&amp;type=1", "麦迪电气:首次公开发行股票并在创业板上市招股意向书")</f>
        <v>麦迪电气:首次公开发行股票并在创业板上市招股意向书</v>
      </c>
      <c r="F454" t="s">
        <v>1336</v>
      </c>
    </row>
    <row r="455" spans="1:6" x14ac:dyDescent="0.15">
      <c r="A455" s="1">
        <v>41096</v>
      </c>
      <c r="B455" t="s">
        <v>91</v>
      </c>
      <c r="C455" t="s">
        <v>527</v>
      </c>
      <c r="D455" t="s">
        <v>471</v>
      </c>
      <c r="E455" s="4" t="str">
        <f>HYPERLINK("http://snap.windin.com/ns/bulletin.php?id=1842375&amp;type=1", "科恒股份:首次公开发行股票并在创业板上市招股意向书")</f>
        <v>科恒股份:首次公开发行股票并在创业板上市招股意向书</v>
      </c>
      <c r="F455" t="s">
        <v>1337</v>
      </c>
    </row>
    <row r="456" spans="1:6" x14ac:dyDescent="0.15">
      <c r="A456" s="1">
        <v>41096</v>
      </c>
      <c r="B456" t="s">
        <v>98</v>
      </c>
      <c r="C456" t="s">
        <v>535</v>
      </c>
      <c r="D456" t="s">
        <v>399</v>
      </c>
      <c r="E456" s="4" t="str">
        <f>HYPERLINK("http://snap.windin.com/ns/bulletin.php?id=1617830&amp;type=1", "博林特:首次公开发行股票招股说明书")</f>
        <v>博林特:首次公开发行股票招股说明书</v>
      </c>
      <c r="F456" t="s">
        <v>1338</v>
      </c>
    </row>
    <row r="457" spans="1:6" x14ac:dyDescent="0.15">
      <c r="A457" s="1">
        <v>41096</v>
      </c>
      <c r="B457" t="s">
        <v>98</v>
      </c>
      <c r="C457" t="s">
        <v>535</v>
      </c>
      <c r="D457" t="s">
        <v>400</v>
      </c>
      <c r="E457" s="4" t="str">
        <f>HYPERLINK("http://snap.windin.com/ns/bulletin.php?id=165514&amp;type=1", "博林特:首次公开发行股票招股说明书摘要")</f>
        <v>博林特:首次公开发行股票招股说明书摘要</v>
      </c>
      <c r="F457" t="s">
        <v>1339</v>
      </c>
    </row>
    <row r="458" spans="1:6" x14ac:dyDescent="0.15">
      <c r="A458" s="1">
        <v>41095</v>
      </c>
      <c r="B458" t="s">
        <v>103</v>
      </c>
      <c r="C458" t="s">
        <v>540</v>
      </c>
      <c r="D458" t="s">
        <v>402</v>
      </c>
      <c r="E458" s="4" t="str">
        <f>HYPERLINK("http://snap.windin.com/ns/bulletin.php?id=1364694&amp;type=1", "中信重工:首次公开发行A股股票上市公告书")</f>
        <v>中信重工:首次公开发行A股股票上市公告书</v>
      </c>
      <c r="F458" t="s">
        <v>1340</v>
      </c>
    </row>
    <row r="459" spans="1:6" x14ac:dyDescent="0.15">
      <c r="A459" s="1">
        <v>41095</v>
      </c>
      <c r="B459" t="s">
        <v>103</v>
      </c>
      <c r="C459" t="s">
        <v>540</v>
      </c>
      <c r="D459" t="s">
        <v>399</v>
      </c>
      <c r="E459" s="4" t="str">
        <f>HYPERLINK("http://snap.windin.com/ns/bulletin.php?id=1888385&amp;type=1", "中信重工:首次公开发行股票招股说明书")</f>
        <v>中信重工:首次公开发行股票招股说明书</v>
      </c>
      <c r="F459" t="s">
        <v>1341</v>
      </c>
    </row>
    <row r="460" spans="1:6" x14ac:dyDescent="0.15">
      <c r="A460" s="1">
        <v>41094</v>
      </c>
      <c r="B460" t="s">
        <v>104</v>
      </c>
      <c r="C460" t="s">
        <v>542</v>
      </c>
      <c r="D460" t="s">
        <v>417</v>
      </c>
      <c r="E460" s="4" t="str">
        <f>HYPERLINK("http://snap.windin.com/ns/bulletin.php?id=794376&amp;type=1", "津膜科技:首次公开发行股票并在创业板上市公告书")</f>
        <v>津膜科技:首次公开发行股票并在创业板上市公告书</v>
      </c>
      <c r="F460" t="s">
        <v>1342</v>
      </c>
    </row>
    <row r="461" spans="1:6" x14ac:dyDescent="0.15">
      <c r="A461" s="1">
        <v>41094</v>
      </c>
      <c r="B461" t="s">
        <v>104</v>
      </c>
      <c r="C461" t="s">
        <v>542</v>
      </c>
      <c r="D461" t="s">
        <v>407</v>
      </c>
      <c r="E461" s="4" t="str">
        <f>HYPERLINK("http://snap.windin.com/ns/bulletin.php?id=727406&amp;type=1", "津膜科技:首次公开发行股票并在创业板上市公告书提示性公告")</f>
        <v>津膜科技:首次公开发行股票并在创业板上市公告书提示性公告</v>
      </c>
      <c r="F461" t="s">
        <v>1343</v>
      </c>
    </row>
    <row r="462" spans="1:6" x14ac:dyDescent="0.15">
      <c r="A462" s="1">
        <v>41094</v>
      </c>
      <c r="B462" t="s">
        <v>99</v>
      </c>
      <c r="C462" t="s">
        <v>541</v>
      </c>
      <c r="D462" t="s">
        <v>399</v>
      </c>
      <c r="E462" s="4" t="str">
        <f>HYPERLINK("http://snap.windin.com/ns/bulletin.php?id=565972&amp;type=1", "金河生物:首次公开发行股票招股说明书")</f>
        <v>金河生物:首次公开发行股票招股说明书</v>
      </c>
      <c r="F462" t="s">
        <v>1344</v>
      </c>
    </row>
    <row r="463" spans="1:6" x14ac:dyDescent="0.15">
      <c r="A463" s="1">
        <v>41094</v>
      </c>
      <c r="B463" t="s">
        <v>99</v>
      </c>
      <c r="C463" t="s">
        <v>541</v>
      </c>
      <c r="D463" t="s">
        <v>400</v>
      </c>
      <c r="E463" s="4" t="str">
        <f>HYPERLINK("http://snap.windin.com/ns/bulletin.php?id=1154531&amp;type=1", "金河生物:首次公开发行股票招股说明书摘要")</f>
        <v>金河生物:首次公开发行股票招股说明书摘要</v>
      </c>
      <c r="F463" t="s">
        <v>1345</v>
      </c>
    </row>
    <row r="464" spans="1:6" x14ac:dyDescent="0.15">
      <c r="A464" s="1">
        <v>41093</v>
      </c>
      <c r="B464" t="s">
        <v>100</v>
      </c>
      <c r="C464" t="s">
        <v>543</v>
      </c>
      <c r="D464" t="s">
        <v>399</v>
      </c>
      <c r="E464" s="4" t="str">
        <f>HYPERLINK("http://snap.windin.com/ns/bulletin.php?id=88990&amp;type=1", "乔治白:首次公开发行股票招股说明书")</f>
        <v>乔治白:首次公开发行股票招股说明书</v>
      </c>
      <c r="F464" t="s">
        <v>1346</v>
      </c>
    </row>
    <row r="465" spans="1:6" x14ac:dyDescent="0.15">
      <c r="A465" s="1">
        <v>41093</v>
      </c>
      <c r="B465" t="s">
        <v>100</v>
      </c>
      <c r="C465" t="s">
        <v>543</v>
      </c>
      <c r="D465" t="s">
        <v>400</v>
      </c>
      <c r="E465" s="4" t="str">
        <f>HYPERLINK("http://snap.windin.com/ns/bulletin.php?id=497952&amp;type=1", "乔治白:首次公开发行股票招股说明书摘要")</f>
        <v>乔治白:首次公开发行股票招股说明书摘要</v>
      </c>
      <c r="F465" t="s">
        <v>1347</v>
      </c>
    </row>
    <row r="466" spans="1:6" x14ac:dyDescent="0.15">
      <c r="A466" s="1">
        <v>41092</v>
      </c>
      <c r="B466" t="s">
        <v>105</v>
      </c>
      <c r="C466" t="s">
        <v>544</v>
      </c>
      <c r="D466" t="s">
        <v>389</v>
      </c>
      <c r="E466" s="4" t="str">
        <f>HYPERLINK("http://snap.windin.com/ns/bulletin.php?id=1934186&amp;type=1", "亿利达:首次公开发行股票上市公告书")</f>
        <v>亿利达:首次公开发行股票上市公告书</v>
      </c>
      <c r="F466" t="s">
        <v>1348</v>
      </c>
    </row>
    <row r="467" spans="1:6" x14ac:dyDescent="0.15">
      <c r="A467" s="1">
        <v>41092</v>
      </c>
      <c r="B467" t="s">
        <v>105</v>
      </c>
      <c r="C467" t="s">
        <v>545</v>
      </c>
      <c r="D467" t="s">
        <v>546</v>
      </c>
      <c r="E467" s="4" t="str">
        <f>HYPERLINK("http://snap.windin.com/ns/bulletin.php?id=543580&amp;type=1", "N亿利达:首次公开发行股票上市公告书（更新后）")</f>
        <v>N亿利达:首次公开发行股票上市公告书（更新后）</v>
      </c>
      <c r="F467" t="s">
        <v>1349</v>
      </c>
    </row>
    <row r="468" spans="1:6" x14ac:dyDescent="0.15">
      <c r="A468" s="1">
        <v>41092</v>
      </c>
      <c r="B468" t="s">
        <v>105</v>
      </c>
      <c r="C468" t="s">
        <v>545</v>
      </c>
      <c r="D468" t="s">
        <v>482</v>
      </c>
      <c r="E468" s="4" t="str">
        <f>HYPERLINK("http://snap.windin.com/ns/bulletin.php?id=1835209&amp;type=1", "N亿利达:首次公开发行股票上市公告书的更正公告")</f>
        <v>N亿利达:首次公开发行股票上市公告书的更正公告</v>
      </c>
      <c r="F468" t="s">
        <v>1350</v>
      </c>
    </row>
    <row r="469" spans="1:6" x14ac:dyDescent="0.15">
      <c r="A469" s="1">
        <v>41089</v>
      </c>
      <c r="B469" t="s">
        <v>96</v>
      </c>
      <c r="C469" t="s">
        <v>533</v>
      </c>
      <c r="D469" t="s">
        <v>471</v>
      </c>
      <c r="E469" s="4" t="str">
        <f>HYPERLINK("http://snap.windin.com/ns/bulletin.php?id=1484172&amp;type=1", "润和软件:首次公开发行股票并在创业板上市招股意向书")</f>
        <v>润和软件:首次公开发行股票并在创业板上市招股意向书</v>
      </c>
      <c r="F469" t="s">
        <v>1351</v>
      </c>
    </row>
    <row r="470" spans="1:6" x14ac:dyDescent="0.15">
      <c r="A470" s="1">
        <v>41089</v>
      </c>
      <c r="B470" t="s">
        <v>92</v>
      </c>
      <c r="C470" t="s">
        <v>528</v>
      </c>
      <c r="D470" t="s">
        <v>471</v>
      </c>
      <c r="E470" s="4" t="str">
        <f>HYPERLINK("http://snap.windin.com/ns/bulletin.php?id=1277142&amp;type=1", "开元仪器:首次公开发行股票并在创业板上市招股意向书")</f>
        <v>开元仪器:首次公开发行股票并在创业板上市招股意向书</v>
      </c>
      <c r="F470" t="s">
        <v>1352</v>
      </c>
    </row>
    <row r="471" spans="1:6" x14ac:dyDescent="0.15">
      <c r="A471" s="1">
        <v>41089</v>
      </c>
      <c r="B471" t="s">
        <v>95</v>
      </c>
      <c r="C471" t="s">
        <v>532</v>
      </c>
      <c r="D471" t="s">
        <v>471</v>
      </c>
      <c r="E471" s="4" t="str">
        <f>HYPERLINK("http://snap.windin.com/ns/bulletin.php?id=520708&amp;type=1", "银邦股份:首次公开发行股票并在创业板上市招股意向书")</f>
        <v>银邦股份:首次公开发行股票并在创业板上市招股意向书</v>
      </c>
      <c r="F471" t="s">
        <v>1353</v>
      </c>
    </row>
    <row r="472" spans="1:6" x14ac:dyDescent="0.15">
      <c r="A472" s="1">
        <v>41089</v>
      </c>
      <c r="B472" t="s">
        <v>98</v>
      </c>
      <c r="C472" t="s">
        <v>535</v>
      </c>
      <c r="D472" t="s">
        <v>465</v>
      </c>
      <c r="E472" s="4" t="str">
        <f>HYPERLINK("http://snap.windin.com/ns/bulletin.php?id=1642890&amp;type=1", "博林特:首次公开发行股票招股意向书")</f>
        <v>博林特:首次公开发行股票招股意向书</v>
      </c>
      <c r="F472" t="s">
        <v>1354</v>
      </c>
    </row>
    <row r="473" spans="1:6" x14ac:dyDescent="0.15">
      <c r="A473" s="1">
        <v>41089</v>
      </c>
      <c r="B473" t="s">
        <v>98</v>
      </c>
      <c r="C473" t="s">
        <v>535</v>
      </c>
      <c r="D473" t="s">
        <v>466</v>
      </c>
      <c r="E473" s="4" t="str">
        <f>HYPERLINK("http://snap.windin.com/ns/bulletin.php?id=1464428&amp;type=1", "博林特:首次公开发行股票招股意向书摘要")</f>
        <v>博林特:首次公开发行股票招股意向书摘要</v>
      </c>
      <c r="F473" t="s">
        <v>1355</v>
      </c>
    </row>
    <row r="474" spans="1:6" x14ac:dyDescent="0.15">
      <c r="A474" s="1">
        <v>41088</v>
      </c>
      <c r="B474" t="s">
        <v>102</v>
      </c>
      <c r="C474" t="s">
        <v>539</v>
      </c>
      <c r="D474" t="s">
        <v>455</v>
      </c>
      <c r="E474" s="4" t="str">
        <f>HYPERLINK("http://snap.windin.com/ns/bulletin.php?id=1593250&amp;type=1", "迪森股份:首次公开发行股票并在创业板上市招股说明书")</f>
        <v>迪森股份:首次公开发行股票并在创业板上市招股说明书</v>
      </c>
      <c r="F474" t="s">
        <v>1356</v>
      </c>
    </row>
    <row r="475" spans="1:6" x14ac:dyDescent="0.15">
      <c r="A475" s="1">
        <v>41087</v>
      </c>
      <c r="B475" t="s">
        <v>97</v>
      </c>
      <c r="C475" t="s">
        <v>534</v>
      </c>
      <c r="D475" t="s">
        <v>475</v>
      </c>
      <c r="E475" s="4" t="str">
        <f>HYPERLINK("http://snap.windin.com/ns/bulletin.php?id=1886790&amp;type=1", "喜临门:首次公开发行A股股票招股意向书")</f>
        <v>喜临门:首次公开发行A股股票招股意向书</v>
      </c>
      <c r="F475" t="s">
        <v>1357</v>
      </c>
    </row>
    <row r="476" spans="1:6" x14ac:dyDescent="0.15">
      <c r="A476" s="1">
        <v>41087</v>
      </c>
      <c r="B476" t="s">
        <v>97</v>
      </c>
      <c r="C476" t="s">
        <v>534</v>
      </c>
      <c r="D476" t="s">
        <v>476</v>
      </c>
      <c r="E476" s="4" t="str">
        <f>HYPERLINK("http://snap.windin.com/ns/bulletin.php?id=1644483&amp;type=1", "喜临门:首次公开发行A股股票招股意向书摘要")</f>
        <v>喜临门:首次公开发行A股股票招股意向书摘要</v>
      </c>
      <c r="F476" t="s">
        <v>1358</v>
      </c>
    </row>
    <row r="477" spans="1:6" x14ac:dyDescent="0.15">
      <c r="A477" s="1">
        <v>41087</v>
      </c>
      <c r="B477" t="s">
        <v>97</v>
      </c>
      <c r="C477" t="s">
        <v>534</v>
      </c>
      <c r="D477" t="s">
        <v>467</v>
      </c>
      <c r="E477" s="4" t="str">
        <f>HYPERLINK("http://snap.windin.com/ns/bulletin.php?id=1011391&amp;type=1", "喜临门:首次公开发行股票招股意向书附录")</f>
        <v>喜临门:首次公开发行股票招股意向书附录</v>
      </c>
      <c r="F477" t="s">
        <v>1359</v>
      </c>
    </row>
    <row r="478" spans="1:6" x14ac:dyDescent="0.15">
      <c r="A478" s="1">
        <v>41087</v>
      </c>
      <c r="B478" t="s">
        <v>101</v>
      </c>
      <c r="C478" t="s">
        <v>538</v>
      </c>
      <c r="D478" t="s">
        <v>455</v>
      </c>
      <c r="E478" s="4" t="str">
        <f>HYPERLINK("http://snap.windin.com/ns/bulletin.php?id=1988691&amp;type=1", "新文化:首次公开发行股票并在创业板上市招股说明书")</f>
        <v>新文化:首次公开发行股票并在创业板上市招股说明书</v>
      </c>
      <c r="F478" t="s">
        <v>1360</v>
      </c>
    </row>
    <row r="479" spans="1:6" x14ac:dyDescent="0.15">
      <c r="A479" s="1">
        <v>41087</v>
      </c>
      <c r="B479" t="s">
        <v>106</v>
      </c>
      <c r="C479" t="s">
        <v>547</v>
      </c>
      <c r="D479" t="s">
        <v>417</v>
      </c>
      <c r="E479" s="4" t="str">
        <f>HYPERLINK("http://snap.windin.com/ns/bulletin.php?id=1086124&amp;type=1", "兆日科技:首次公开发行股票并在创业板上市公告书")</f>
        <v>兆日科技:首次公开发行股票并在创业板上市公告书</v>
      </c>
      <c r="F479" t="s">
        <v>1361</v>
      </c>
    </row>
    <row r="480" spans="1:6" x14ac:dyDescent="0.15">
      <c r="A480" s="1">
        <v>41087</v>
      </c>
      <c r="B480" t="s">
        <v>106</v>
      </c>
      <c r="C480" t="s">
        <v>547</v>
      </c>
      <c r="D480" t="s">
        <v>407</v>
      </c>
      <c r="E480" s="4" t="str">
        <f>HYPERLINK("http://snap.windin.com/ns/bulletin.php?id=2051293&amp;type=1", "兆日科技:首次公开发行股票并在创业板上市公告书提示性公告")</f>
        <v>兆日科技:首次公开发行股票并在创业板上市公告书提示性公告</v>
      </c>
      <c r="F480" t="s">
        <v>1362</v>
      </c>
    </row>
    <row r="481" spans="1:6" x14ac:dyDescent="0.15">
      <c r="A481" s="1">
        <v>41087</v>
      </c>
      <c r="B481" t="s">
        <v>107</v>
      </c>
      <c r="C481" t="s">
        <v>548</v>
      </c>
      <c r="D481" t="s">
        <v>417</v>
      </c>
      <c r="E481" s="4" t="str">
        <f>HYPERLINK("http://snap.windin.com/ns/bulletin.php?id=1851963&amp;type=1", "天壕节能:首次公开发行股票并在创业板上市公告书")</f>
        <v>天壕节能:首次公开发行股票并在创业板上市公告书</v>
      </c>
      <c r="F481" t="s">
        <v>1363</v>
      </c>
    </row>
    <row r="482" spans="1:6" x14ac:dyDescent="0.15">
      <c r="A482" s="1">
        <v>41087</v>
      </c>
      <c r="B482" t="s">
        <v>107</v>
      </c>
      <c r="C482" t="s">
        <v>548</v>
      </c>
      <c r="D482" t="s">
        <v>551</v>
      </c>
      <c r="E482" s="4" t="str">
        <f>HYPERLINK("http://snap.windin.com/ns/bulletin.php?id=883662&amp;type=1", "天壕节能:首次公开发行股票并在创业板上市公告书（更新后）")</f>
        <v>天壕节能:首次公开发行股票并在创业板上市公告书（更新后）</v>
      </c>
      <c r="F482" t="s">
        <v>1364</v>
      </c>
    </row>
    <row r="483" spans="1:6" x14ac:dyDescent="0.15">
      <c r="A483" s="1">
        <v>41087</v>
      </c>
      <c r="B483" t="s">
        <v>107</v>
      </c>
      <c r="C483" t="s">
        <v>548</v>
      </c>
      <c r="D483" t="s">
        <v>549</v>
      </c>
      <c r="E483" s="4" t="str">
        <f>HYPERLINK("http://snap.windin.com/ns/bulletin.php?id=1767240&amp;type=1", "天壕节能:首次公开发行股票并在创业板上市公告书的补充公告")</f>
        <v>天壕节能:首次公开发行股票并在创业板上市公告书的补充公告</v>
      </c>
      <c r="F483" t="s">
        <v>1365</v>
      </c>
    </row>
    <row r="484" spans="1:6" x14ac:dyDescent="0.15">
      <c r="A484" s="1">
        <v>41087</v>
      </c>
      <c r="B484" t="s">
        <v>107</v>
      </c>
      <c r="C484" t="s">
        <v>548</v>
      </c>
      <c r="D484" t="s">
        <v>383</v>
      </c>
      <c r="E484" s="4" t="str">
        <f>HYPERLINK("http://snap.windin.com/ns/bulletin.php?id=1663087&amp;type=1", "天壕节能:首次公开发行股票并在创业板上市上市公告书提示性公告")</f>
        <v>天壕节能:首次公开发行股票并在创业板上市上市公告书提示性公告</v>
      </c>
      <c r="F484" t="s">
        <v>1366</v>
      </c>
    </row>
    <row r="485" spans="1:6" x14ac:dyDescent="0.15">
      <c r="A485" s="1">
        <v>41087</v>
      </c>
      <c r="B485" t="s">
        <v>108</v>
      </c>
      <c r="C485" t="s">
        <v>550</v>
      </c>
      <c r="D485" t="s">
        <v>417</v>
      </c>
      <c r="E485" s="4" t="str">
        <f>HYPERLINK("http://snap.windin.com/ns/bulletin.php?id=1356021&amp;type=1", "苏大维格:首次公开发行股票并在创业板上市公告书")</f>
        <v>苏大维格:首次公开发行股票并在创业板上市公告书</v>
      </c>
      <c r="F485" t="s">
        <v>1367</v>
      </c>
    </row>
    <row r="486" spans="1:6" x14ac:dyDescent="0.15">
      <c r="A486" s="1">
        <v>41087</v>
      </c>
      <c r="B486" t="s">
        <v>108</v>
      </c>
      <c r="C486" t="s">
        <v>550</v>
      </c>
      <c r="D486" t="s">
        <v>407</v>
      </c>
      <c r="E486" s="4" t="str">
        <f>HYPERLINK("http://snap.windin.com/ns/bulletin.php?id=1480083&amp;type=1", "苏大维格:首次公开发行股票并在创业板上市公告书提示性公告")</f>
        <v>苏大维格:首次公开发行股票并在创业板上市公告书提示性公告</v>
      </c>
      <c r="F486" t="s">
        <v>1368</v>
      </c>
    </row>
    <row r="487" spans="1:6" x14ac:dyDescent="0.15">
      <c r="A487" s="1">
        <v>41086</v>
      </c>
      <c r="B487" t="s">
        <v>99</v>
      </c>
      <c r="C487" t="s">
        <v>541</v>
      </c>
      <c r="D487" t="s">
        <v>465</v>
      </c>
      <c r="E487" s="4" t="str">
        <f>HYPERLINK("http://snap.windin.com/ns/bulletin.php?id=513959&amp;type=1", "金河生物:首次公开发行股票招股意向书")</f>
        <v>金河生物:首次公开发行股票招股意向书</v>
      </c>
      <c r="F487" t="s">
        <v>1369</v>
      </c>
    </row>
    <row r="488" spans="1:6" x14ac:dyDescent="0.15">
      <c r="A488" s="1">
        <v>41086</v>
      </c>
      <c r="B488" t="s">
        <v>99</v>
      </c>
      <c r="C488" t="s">
        <v>541</v>
      </c>
      <c r="D488" t="s">
        <v>466</v>
      </c>
      <c r="E488" s="4" t="str">
        <f>HYPERLINK("http://snap.windin.com/ns/bulletin.php?id=1197982&amp;type=1", "金河生物:首次公开发行股票招股意向书摘要")</f>
        <v>金河生物:首次公开发行股票招股意向书摘要</v>
      </c>
      <c r="F488" t="s">
        <v>1370</v>
      </c>
    </row>
    <row r="489" spans="1:6" x14ac:dyDescent="0.15">
      <c r="A489" s="1">
        <v>41085</v>
      </c>
      <c r="B489" t="s">
        <v>100</v>
      </c>
      <c r="C489" t="s">
        <v>543</v>
      </c>
      <c r="D489" t="s">
        <v>465</v>
      </c>
      <c r="E489" s="4" t="str">
        <f>HYPERLINK("http://snap.windin.com/ns/bulletin.php?id=1601519&amp;type=1", "乔治白:首次公开发行股票招股意向书")</f>
        <v>乔治白:首次公开发行股票招股意向书</v>
      </c>
      <c r="F489" t="s">
        <v>1371</v>
      </c>
    </row>
    <row r="490" spans="1:6" x14ac:dyDescent="0.15">
      <c r="A490" s="1">
        <v>41085</v>
      </c>
      <c r="B490" t="s">
        <v>100</v>
      </c>
      <c r="C490" t="s">
        <v>543</v>
      </c>
      <c r="D490" t="s">
        <v>466</v>
      </c>
      <c r="E490" s="4" t="str">
        <f>HYPERLINK("http://snap.windin.com/ns/bulletin.php?id=1538542&amp;type=1", "乔治白:首次公开发行股票招股意向书摘要")</f>
        <v>乔治白:首次公开发行股票招股意向书摘要</v>
      </c>
      <c r="F490" t="s">
        <v>1372</v>
      </c>
    </row>
    <row r="491" spans="1:6" x14ac:dyDescent="0.15">
      <c r="A491" s="1">
        <v>41080</v>
      </c>
      <c r="B491" t="s">
        <v>104</v>
      </c>
      <c r="C491" t="s">
        <v>542</v>
      </c>
      <c r="D491" t="s">
        <v>455</v>
      </c>
      <c r="E491" s="4" t="str">
        <f>HYPERLINK("http://snap.windin.com/ns/bulletin.php?id=996802&amp;type=1", "津膜科技:首次公开发行股票并在创业板上市招股说明书")</f>
        <v>津膜科技:首次公开发行股票并在创业板上市招股说明书</v>
      </c>
      <c r="F491" t="s">
        <v>1373</v>
      </c>
    </row>
    <row r="492" spans="1:6" x14ac:dyDescent="0.15">
      <c r="A492" s="1">
        <v>41080</v>
      </c>
      <c r="B492" t="s">
        <v>105</v>
      </c>
      <c r="C492" t="s">
        <v>544</v>
      </c>
      <c r="D492" t="s">
        <v>399</v>
      </c>
      <c r="E492" s="4" t="str">
        <f>HYPERLINK("http://snap.windin.com/ns/bulletin.php?id=806422&amp;type=1", "亿利达:首次公开发行股票招股说明书")</f>
        <v>亿利达:首次公开发行股票招股说明书</v>
      </c>
      <c r="F492" t="s">
        <v>1374</v>
      </c>
    </row>
    <row r="493" spans="1:6" x14ac:dyDescent="0.15">
      <c r="A493" s="1">
        <v>41080</v>
      </c>
      <c r="B493" t="s">
        <v>105</v>
      </c>
      <c r="C493" t="s">
        <v>544</v>
      </c>
      <c r="D493" t="s">
        <v>400</v>
      </c>
      <c r="E493" s="4" t="str">
        <f>HYPERLINK("http://snap.windin.com/ns/bulletin.php?id=1914164&amp;type=1", "亿利达:首次公开发行股票招股说明书摘要")</f>
        <v>亿利达:首次公开发行股票招股说明书摘要</v>
      </c>
      <c r="F493" t="s">
        <v>1375</v>
      </c>
    </row>
    <row r="494" spans="1:6" x14ac:dyDescent="0.15">
      <c r="A494" s="1">
        <v>41079</v>
      </c>
      <c r="B494" t="s">
        <v>101</v>
      </c>
      <c r="C494" t="s">
        <v>538</v>
      </c>
      <c r="D494" t="s">
        <v>471</v>
      </c>
      <c r="E494" s="4" t="str">
        <f>HYPERLINK("http://snap.windin.com/ns/bulletin.php?id=631698&amp;type=1", "新文化:首次公开发行股票并在创业板上市招股意向书")</f>
        <v>新文化:首次公开发行股票并在创业板上市招股意向书</v>
      </c>
      <c r="F494" t="s">
        <v>1376</v>
      </c>
    </row>
    <row r="495" spans="1:6" x14ac:dyDescent="0.15">
      <c r="A495" s="1">
        <v>41079</v>
      </c>
      <c r="B495" t="s">
        <v>102</v>
      </c>
      <c r="C495" t="s">
        <v>539</v>
      </c>
      <c r="D495" t="s">
        <v>471</v>
      </c>
      <c r="E495" s="4" t="str">
        <f>HYPERLINK("http://snap.windin.com/ns/bulletin.php?id=979061&amp;type=1", "迪森股份:首次公开发行股票并在创业板上市招股意向书")</f>
        <v>迪森股份:首次公开发行股票并在创业板上市招股意向书</v>
      </c>
      <c r="F495" t="s">
        <v>1377</v>
      </c>
    </row>
    <row r="496" spans="1:6" x14ac:dyDescent="0.15">
      <c r="A496" s="1">
        <v>41078</v>
      </c>
      <c r="B496" t="s">
        <v>106</v>
      </c>
      <c r="C496" t="s">
        <v>547</v>
      </c>
      <c r="D496" t="s">
        <v>455</v>
      </c>
      <c r="E496" s="4" t="str">
        <f>HYPERLINK("http://snap.windin.com/ns/bulletin.php?id=591965&amp;type=1", "兆日科技:首次公开发行股票并在创业板上市招股说明书")</f>
        <v>兆日科技:首次公开发行股票并在创业板上市招股说明书</v>
      </c>
      <c r="F496" t="s">
        <v>1378</v>
      </c>
    </row>
    <row r="497" spans="1:6" x14ac:dyDescent="0.15">
      <c r="A497" s="1">
        <v>41078</v>
      </c>
      <c r="B497" t="s">
        <v>109</v>
      </c>
      <c r="C497" t="s">
        <v>552</v>
      </c>
      <c r="D497" t="s">
        <v>383</v>
      </c>
      <c r="E497" s="4" t="str">
        <f>HYPERLINK("http://snap.windin.com/ns/bulletin.php?id=2111065&amp;type=1", "华虹计通:首次公开发行股票并在创业板上市上市公告书提示性公告")</f>
        <v>华虹计通:首次公开发行股票并在创业板上市上市公告书提示性公告</v>
      </c>
      <c r="F497" t="s">
        <v>1379</v>
      </c>
    </row>
    <row r="498" spans="1:6" x14ac:dyDescent="0.15">
      <c r="A498" s="1">
        <v>41078</v>
      </c>
      <c r="B498" t="s">
        <v>109</v>
      </c>
      <c r="C498" t="s">
        <v>552</v>
      </c>
      <c r="D498" t="s">
        <v>408</v>
      </c>
      <c r="E498" s="4" t="str">
        <f>HYPERLINK("http://snap.windin.com/ns/bulletin.php?id=1558474&amp;type=1", "华虹计通:首次公开发行股票并在创业板上市之上市公告书")</f>
        <v>华虹计通:首次公开发行股票并在创业板上市之上市公告书</v>
      </c>
      <c r="F498" t="s">
        <v>1380</v>
      </c>
    </row>
    <row r="499" spans="1:6" x14ac:dyDescent="0.15">
      <c r="A499" s="1">
        <v>41078</v>
      </c>
      <c r="B499" t="s">
        <v>110</v>
      </c>
      <c r="C499" t="s">
        <v>553</v>
      </c>
      <c r="D499" t="s">
        <v>417</v>
      </c>
      <c r="E499" s="4" t="str">
        <f>HYPERLINK("http://snap.windin.com/ns/bulletin.php?id=1638058&amp;type=1", "海伦钢琴:首次公开发行股票并在创业板上市公告书")</f>
        <v>海伦钢琴:首次公开发行股票并在创业板上市公告书</v>
      </c>
      <c r="F499" t="s">
        <v>1381</v>
      </c>
    </row>
    <row r="500" spans="1:6" x14ac:dyDescent="0.15">
      <c r="A500" s="1">
        <v>41078</v>
      </c>
      <c r="B500" t="s">
        <v>110</v>
      </c>
      <c r="C500" t="s">
        <v>553</v>
      </c>
      <c r="D500" t="s">
        <v>383</v>
      </c>
      <c r="E500" s="4" t="str">
        <f>HYPERLINK("http://snap.windin.com/ns/bulletin.php?id=1763836&amp;type=1", "海伦钢琴:首次公开发行股票并在创业板上市上市公告书提示性公告")</f>
        <v>海伦钢琴:首次公开发行股票并在创业板上市上市公告书提示性公告</v>
      </c>
      <c r="F500" t="s">
        <v>1382</v>
      </c>
    </row>
    <row r="501" spans="1:6" x14ac:dyDescent="0.15">
      <c r="A501" s="1">
        <v>41078</v>
      </c>
      <c r="B501" t="s">
        <v>111</v>
      </c>
      <c r="C501" t="s">
        <v>554</v>
      </c>
      <c r="D501" t="s">
        <v>412</v>
      </c>
      <c r="E501" s="4" t="str">
        <f>HYPERLINK("http://snap.windin.com/ns/bulletin.php?id=1479444&amp;type=1", "宜安科技:首次公开发行股票并在创业板上市上市公告书")</f>
        <v>宜安科技:首次公开发行股票并在创业板上市上市公告书</v>
      </c>
      <c r="F501" t="s">
        <v>1383</v>
      </c>
    </row>
    <row r="502" spans="1:6" x14ac:dyDescent="0.15">
      <c r="A502" s="1">
        <v>41078</v>
      </c>
      <c r="B502" t="s">
        <v>111</v>
      </c>
      <c r="C502" t="s">
        <v>554</v>
      </c>
      <c r="D502" t="s">
        <v>383</v>
      </c>
      <c r="E502" s="4" t="str">
        <f>HYPERLINK("http://snap.windin.com/ns/bulletin.php?id=987872&amp;type=1", "宜安科技:首次公开发行股票并在创业板上市上市公告书提示性公告")</f>
        <v>宜安科技:首次公开发行股票并在创业板上市上市公告书提示性公告</v>
      </c>
      <c r="F502" t="s">
        <v>1384</v>
      </c>
    </row>
    <row r="503" spans="1:6" x14ac:dyDescent="0.15">
      <c r="A503" s="1">
        <v>41076</v>
      </c>
      <c r="B503" t="s">
        <v>103</v>
      </c>
      <c r="C503" t="s">
        <v>540</v>
      </c>
      <c r="D503" t="s">
        <v>465</v>
      </c>
      <c r="E503" s="4" t="str">
        <f>HYPERLINK("http://snap.windin.com/ns/bulletin.php?id=1092384&amp;type=1", "中信重工:首次公开发行股票招股意向书")</f>
        <v>中信重工:首次公开发行股票招股意向书</v>
      </c>
      <c r="F503" t="s">
        <v>1385</v>
      </c>
    </row>
    <row r="504" spans="1:6" x14ac:dyDescent="0.15">
      <c r="A504" s="1">
        <v>41076</v>
      </c>
      <c r="B504" t="s">
        <v>103</v>
      </c>
      <c r="C504" t="s">
        <v>540</v>
      </c>
      <c r="D504" t="s">
        <v>467</v>
      </c>
      <c r="E504" s="4" t="str">
        <f>HYPERLINK("http://snap.windin.com/ns/bulletin.php?id=798978&amp;type=1", "中信重工:首次公开发行股票招股意向书附录")</f>
        <v>中信重工:首次公开发行股票招股意向书附录</v>
      </c>
      <c r="F504" t="s">
        <v>1386</v>
      </c>
    </row>
    <row r="505" spans="1:6" x14ac:dyDescent="0.15">
      <c r="A505" s="1">
        <v>41076</v>
      </c>
      <c r="B505" t="s">
        <v>103</v>
      </c>
      <c r="C505" t="s">
        <v>540</v>
      </c>
      <c r="D505" t="s">
        <v>466</v>
      </c>
      <c r="E505" s="4" t="str">
        <f>HYPERLINK("http://snap.windin.com/ns/bulletin.php?id=1789328&amp;type=1", "中信重工:首次公开发行股票招股意向书摘要")</f>
        <v>中信重工:首次公开发行股票招股意向书摘要</v>
      </c>
      <c r="F505" t="s">
        <v>1387</v>
      </c>
    </row>
    <row r="506" spans="1:6" x14ac:dyDescent="0.15">
      <c r="A506" s="1">
        <v>41075</v>
      </c>
      <c r="B506" t="s">
        <v>107</v>
      </c>
      <c r="C506" t="s">
        <v>548</v>
      </c>
      <c r="D506" t="s">
        <v>455</v>
      </c>
      <c r="E506" s="4" t="str">
        <f>HYPERLINK("http://snap.windin.com/ns/bulletin.php?id=185766&amp;type=1", "天壕节能:首次公开发行股票并在创业板上市招股说明书")</f>
        <v>天壕节能:首次公开发行股票并在创业板上市招股说明书</v>
      </c>
      <c r="F506" t="s">
        <v>1388</v>
      </c>
    </row>
    <row r="507" spans="1:6" x14ac:dyDescent="0.15">
      <c r="A507" s="1">
        <v>41074</v>
      </c>
      <c r="B507" t="s">
        <v>108</v>
      </c>
      <c r="C507" t="s">
        <v>550</v>
      </c>
      <c r="D507" t="s">
        <v>455</v>
      </c>
      <c r="E507" s="4" t="str">
        <f>HYPERLINK("http://snap.windin.com/ns/bulletin.php?id=187886&amp;type=1", "苏大维格:首次公开发行股票并在创业板上市招股说明书")</f>
        <v>苏大维格:首次公开发行股票并在创业板上市招股说明书</v>
      </c>
      <c r="F507" t="s">
        <v>1389</v>
      </c>
    </row>
    <row r="508" spans="1:6" x14ac:dyDescent="0.15">
      <c r="A508" s="1">
        <v>41073</v>
      </c>
      <c r="B508" t="s">
        <v>104</v>
      </c>
      <c r="C508" t="s">
        <v>542</v>
      </c>
      <c r="D508" t="s">
        <v>471</v>
      </c>
      <c r="E508" s="4" t="str">
        <f>HYPERLINK("http://snap.windin.com/ns/bulletin.php?id=2102366&amp;type=1", "津膜科技:首次公开发行股票并在创业板上市招股意向书")</f>
        <v>津膜科技:首次公开发行股票并在创业板上市招股意向书</v>
      </c>
      <c r="F508" t="s">
        <v>1390</v>
      </c>
    </row>
    <row r="509" spans="1:6" x14ac:dyDescent="0.15">
      <c r="A509" s="1">
        <v>41072</v>
      </c>
      <c r="B509" t="s">
        <v>112</v>
      </c>
      <c r="C509" t="s">
        <v>555</v>
      </c>
      <c r="D509" t="s">
        <v>412</v>
      </c>
      <c r="E509" s="4" t="str">
        <f>HYPERLINK("http://snap.windin.com/ns/bulletin.php?id=2065005&amp;type=1", "中颖电子:首次公开发行股票并在创业板上市上市公告书")</f>
        <v>中颖电子:首次公开发行股票并在创业板上市上市公告书</v>
      </c>
      <c r="F509" t="s">
        <v>1391</v>
      </c>
    </row>
    <row r="510" spans="1:6" x14ac:dyDescent="0.15">
      <c r="A510" s="1">
        <v>41072</v>
      </c>
      <c r="B510" t="s">
        <v>112</v>
      </c>
      <c r="C510" t="s">
        <v>555</v>
      </c>
      <c r="D510" t="s">
        <v>383</v>
      </c>
      <c r="E510" s="4" t="str">
        <f>HYPERLINK("http://snap.windin.com/ns/bulletin.php?id=1936500&amp;type=1", "中颖电子:首次公开发行股票并在创业板上市上市公告书提示性公告")</f>
        <v>中颖电子:首次公开发行股票并在创业板上市上市公告书提示性公告</v>
      </c>
      <c r="F510" t="s">
        <v>1392</v>
      </c>
    </row>
    <row r="511" spans="1:6" x14ac:dyDescent="0.15">
      <c r="A511" s="1">
        <v>41072</v>
      </c>
      <c r="B511" t="s">
        <v>113</v>
      </c>
      <c r="C511" t="s">
        <v>556</v>
      </c>
      <c r="D511" t="s">
        <v>412</v>
      </c>
      <c r="E511" s="4" t="str">
        <f>HYPERLINK("http://snap.windin.com/ns/bulletin.php?id=1620024&amp;type=1", "凯利泰:首次公开发行股票并在创业板上市上市公告书")</f>
        <v>凯利泰:首次公开发行股票并在创业板上市上市公告书</v>
      </c>
      <c r="F511" t="s">
        <v>1393</v>
      </c>
    </row>
    <row r="512" spans="1:6" x14ac:dyDescent="0.15">
      <c r="A512" s="1">
        <v>41072</v>
      </c>
      <c r="B512" t="s">
        <v>113</v>
      </c>
      <c r="C512" t="s">
        <v>556</v>
      </c>
      <c r="D512" t="s">
        <v>383</v>
      </c>
      <c r="E512" s="4" t="str">
        <f>HYPERLINK("http://snap.windin.com/ns/bulletin.php?id=1166627&amp;type=1", "凯利泰:首次公开发行股票并在创业板上市上市公告书提示性公告")</f>
        <v>凯利泰:首次公开发行股票并在创业板上市上市公告书提示性公告</v>
      </c>
      <c r="F512" t="s">
        <v>1394</v>
      </c>
    </row>
    <row r="513" spans="1:6" x14ac:dyDescent="0.15">
      <c r="A513" s="1">
        <v>41072</v>
      </c>
      <c r="B513" t="s">
        <v>105</v>
      </c>
      <c r="C513" t="s">
        <v>544</v>
      </c>
      <c r="D513" t="s">
        <v>465</v>
      </c>
      <c r="E513" s="4" t="str">
        <f>HYPERLINK("http://snap.windin.com/ns/bulletin.php?id=715529&amp;type=1", "亿利达:首次公开发行股票招股意向书")</f>
        <v>亿利达:首次公开发行股票招股意向书</v>
      </c>
      <c r="F513" t="s">
        <v>1395</v>
      </c>
    </row>
    <row r="514" spans="1:6" x14ac:dyDescent="0.15">
      <c r="A514" s="1">
        <v>41072</v>
      </c>
      <c r="B514" t="s">
        <v>105</v>
      </c>
      <c r="C514" t="s">
        <v>544</v>
      </c>
      <c r="D514" t="s">
        <v>466</v>
      </c>
      <c r="E514" s="4" t="str">
        <f>HYPERLINK("http://snap.windin.com/ns/bulletin.php?id=1199032&amp;type=1", "亿利达:首次公开发行股票招股意向书摘要")</f>
        <v>亿利达:首次公开发行股票招股意向书摘要</v>
      </c>
      <c r="F514" t="s">
        <v>1396</v>
      </c>
    </row>
    <row r="515" spans="1:6" x14ac:dyDescent="0.15">
      <c r="A515" s="1">
        <v>41071</v>
      </c>
      <c r="B515" t="s">
        <v>114</v>
      </c>
      <c r="C515" t="s">
        <v>557</v>
      </c>
      <c r="D515" t="s">
        <v>402</v>
      </c>
      <c r="E515" s="4" t="str">
        <f>HYPERLINK("http://snap.windin.com/ns/bulletin.php?id=484596&amp;type=1", "百隆东方:首次公开发行A股股票上市公告书")</f>
        <v>百隆东方:首次公开发行A股股票上市公告书</v>
      </c>
      <c r="F515" t="s">
        <v>1397</v>
      </c>
    </row>
    <row r="516" spans="1:6" x14ac:dyDescent="0.15">
      <c r="A516" s="1">
        <v>41071</v>
      </c>
      <c r="B516" t="s">
        <v>114</v>
      </c>
      <c r="C516" t="s">
        <v>557</v>
      </c>
      <c r="D516" t="s">
        <v>462</v>
      </c>
      <c r="E516" s="4" t="str">
        <f>HYPERLINK("http://snap.windin.com/ns/bulletin.php?id=1832022&amp;type=1", "百隆东方:首次公开发行A股股票招股说明书")</f>
        <v>百隆东方:首次公开发行A股股票招股说明书</v>
      </c>
      <c r="F516" t="s">
        <v>1398</v>
      </c>
    </row>
    <row r="517" spans="1:6" x14ac:dyDescent="0.15">
      <c r="A517" s="1">
        <v>41071</v>
      </c>
      <c r="B517" t="s">
        <v>106</v>
      </c>
      <c r="C517" t="s">
        <v>547</v>
      </c>
      <c r="D517" t="s">
        <v>471</v>
      </c>
      <c r="E517" s="4" t="str">
        <f>HYPERLINK("http://snap.windin.com/ns/bulletin.php?id=1924692&amp;type=1", "兆日科技:首次公开发行股票并在创业板上市招股意向书")</f>
        <v>兆日科技:首次公开发行股票并在创业板上市招股意向书</v>
      </c>
      <c r="F517" t="s">
        <v>1399</v>
      </c>
    </row>
    <row r="518" spans="1:6" x14ac:dyDescent="0.15">
      <c r="A518" s="1">
        <v>41071</v>
      </c>
      <c r="B518" t="s">
        <v>116</v>
      </c>
      <c r="C518" t="s">
        <v>559</v>
      </c>
      <c r="D518" t="s">
        <v>389</v>
      </c>
      <c r="E518" s="4" t="str">
        <f>HYPERLINK("http://snap.windin.com/ns/bulletin.php?id=1250918&amp;type=1", "华东重机:首次公开发行股票上市公告书")</f>
        <v>华东重机:首次公开发行股票上市公告书</v>
      </c>
      <c r="F518" t="s">
        <v>1400</v>
      </c>
    </row>
    <row r="519" spans="1:6" x14ac:dyDescent="0.15">
      <c r="A519" s="1">
        <v>41071</v>
      </c>
      <c r="B519" t="s">
        <v>118</v>
      </c>
      <c r="C519" t="s">
        <v>561</v>
      </c>
      <c r="D519" t="s">
        <v>389</v>
      </c>
      <c r="E519" s="4" t="str">
        <f>HYPERLINK("http://snap.windin.com/ns/bulletin.php?id=497771&amp;type=1", "猛狮科技:首次公开发行股票上市公告书")</f>
        <v>猛狮科技:首次公开发行股票上市公告书</v>
      </c>
      <c r="F519" t="s">
        <v>1401</v>
      </c>
    </row>
    <row r="520" spans="1:6" x14ac:dyDescent="0.15">
      <c r="A520" s="1">
        <v>41071</v>
      </c>
      <c r="B520" t="s">
        <v>115</v>
      </c>
      <c r="C520" t="s">
        <v>558</v>
      </c>
      <c r="D520" t="s">
        <v>389</v>
      </c>
      <c r="E520" s="4" t="str">
        <f>HYPERLINK("http://snap.windin.com/ns/bulletin.php?id=1757773&amp;type=1", "宏大爆破:首次公开发行股票上市公告书")</f>
        <v>宏大爆破:首次公开发行股票上市公告书</v>
      </c>
      <c r="F520" t="s">
        <v>1402</v>
      </c>
    </row>
    <row r="521" spans="1:6" x14ac:dyDescent="0.15">
      <c r="A521" s="1">
        <v>41071</v>
      </c>
      <c r="B521" t="s">
        <v>115</v>
      </c>
      <c r="C521" t="s">
        <v>558</v>
      </c>
      <c r="D521" t="s">
        <v>546</v>
      </c>
      <c r="E521" s="4" t="str">
        <f>HYPERLINK("http://snap.windin.com/ns/bulletin.php?id=1647104&amp;type=1", "宏大爆破:首次公开发行股票上市公告书（更新后）")</f>
        <v>宏大爆破:首次公开发行股票上市公告书（更新后）</v>
      </c>
      <c r="F521" t="s">
        <v>1403</v>
      </c>
    </row>
    <row r="522" spans="1:6" x14ac:dyDescent="0.15">
      <c r="A522" s="1">
        <v>41071</v>
      </c>
      <c r="B522" t="s">
        <v>117</v>
      </c>
      <c r="C522" t="s">
        <v>560</v>
      </c>
      <c r="D522" t="s">
        <v>389</v>
      </c>
      <c r="E522" s="4" t="str">
        <f>HYPERLINK("http://snap.windin.com/ns/bulletin.php?id=696757&amp;type=1", "龙洲股份:首次公开发行股票上市公告书")</f>
        <v>龙洲股份:首次公开发行股票上市公告书</v>
      </c>
      <c r="F522" t="s">
        <v>1404</v>
      </c>
    </row>
    <row r="523" spans="1:6" x14ac:dyDescent="0.15">
      <c r="A523" s="1">
        <v>41068</v>
      </c>
      <c r="B523" t="s">
        <v>119</v>
      </c>
      <c r="C523" t="s">
        <v>562</v>
      </c>
      <c r="D523" t="s">
        <v>389</v>
      </c>
      <c r="E523" s="4" t="str">
        <f>HYPERLINK("http://snap.windin.com/ns/bulletin.php?id=588136&amp;type=1", "中国汽研:首次公开发行股票上市公告书")</f>
        <v>中国汽研:首次公开发行股票上市公告书</v>
      </c>
      <c r="F523" t="s">
        <v>1405</v>
      </c>
    </row>
    <row r="524" spans="1:6" x14ac:dyDescent="0.15">
      <c r="A524" s="1">
        <v>41068</v>
      </c>
      <c r="B524" t="s">
        <v>119</v>
      </c>
      <c r="C524" t="s">
        <v>562</v>
      </c>
      <c r="D524" t="s">
        <v>399</v>
      </c>
      <c r="E524" s="4" t="str">
        <f>HYPERLINK("http://snap.windin.com/ns/bulletin.php?id=1713625&amp;type=1", "中国汽研:首次公开发行股票招股说明书")</f>
        <v>中国汽研:首次公开发行股票招股说明书</v>
      </c>
      <c r="F524" t="s">
        <v>1406</v>
      </c>
    </row>
    <row r="525" spans="1:6" x14ac:dyDescent="0.15">
      <c r="A525" s="1">
        <v>41067</v>
      </c>
      <c r="B525" t="s">
        <v>107</v>
      </c>
      <c r="C525" t="s">
        <v>548</v>
      </c>
      <c r="D525" t="s">
        <v>471</v>
      </c>
      <c r="E525" s="4" t="str">
        <f>HYPERLINK("http://snap.windin.com/ns/bulletin.php?id=1991761&amp;type=1", "天壕节能:首次公开发行股票并在创业板上市招股意向书")</f>
        <v>天壕节能:首次公开发行股票并在创业板上市招股意向书</v>
      </c>
      <c r="F525" t="s">
        <v>1407</v>
      </c>
    </row>
    <row r="526" spans="1:6" x14ac:dyDescent="0.15">
      <c r="A526" s="1">
        <v>41067</v>
      </c>
      <c r="B526" t="s">
        <v>108</v>
      </c>
      <c r="C526" t="s">
        <v>550</v>
      </c>
      <c r="D526" t="s">
        <v>471</v>
      </c>
      <c r="E526" s="4" t="str">
        <f>HYPERLINK("http://snap.windin.com/ns/bulletin.php?id=196987&amp;type=1", "苏大维格:首次公开发行股票并在创业板上市招股意向书")</f>
        <v>苏大维格:首次公开发行股票并在创业板上市招股意向书</v>
      </c>
      <c r="F526" t="s">
        <v>1408</v>
      </c>
    </row>
    <row r="527" spans="1:6" x14ac:dyDescent="0.15">
      <c r="A527" s="1">
        <v>41067</v>
      </c>
      <c r="B527" t="s">
        <v>110</v>
      </c>
      <c r="C527" t="s">
        <v>553</v>
      </c>
      <c r="D527" t="s">
        <v>455</v>
      </c>
      <c r="E527" s="4" t="str">
        <f>HYPERLINK("http://snap.windin.com/ns/bulletin.php?id=106243&amp;type=1", "海伦钢琴:首次公开发行股票并在创业板上市招股说明书")</f>
        <v>海伦钢琴:首次公开发行股票并在创业板上市招股说明书</v>
      </c>
      <c r="F527" t="s">
        <v>1409</v>
      </c>
    </row>
    <row r="528" spans="1:6" x14ac:dyDescent="0.15">
      <c r="A528" s="1">
        <v>41067</v>
      </c>
      <c r="B528" t="s">
        <v>111</v>
      </c>
      <c r="C528" t="s">
        <v>554</v>
      </c>
      <c r="D528" t="s">
        <v>455</v>
      </c>
      <c r="E528" s="4" t="str">
        <f>HYPERLINK("http://snap.windin.com/ns/bulletin.php?id=833057&amp;type=1", "宜安科技:首次公开发行股票并在创业板上市招股说明书")</f>
        <v>宜安科技:首次公开发行股票并在创业板上市招股说明书</v>
      </c>
      <c r="F528" t="s">
        <v>1410</v>
      </c>
    </row>
    <row r="529" spans="1:6" x14ac:dyDescent="0.15">
      <c r="A529" s="1">
        <v>41067</v>
      </c>
      <c r="B529" t="s">
        <v>120</v>
      </c>
      <c r="C529" t="s">
        <v>563</v>
      </c>
      <c r="D529" t="s">
        <v>417</v>
      </c>
      <c r="E529" s="4" t="str">
        <f>HYPERLINK("http://snap.windin.com/ns/bulletin.php?id=1674258&amp;type=1", "旋极信息:首次公开发行股票并在创业板上市公告书")</f>
        <v>旋极信息:首次公开发行股票并在创业板上市公告书</v>
      </c>
      <c r="F529" t="s">
        <v>1411</v>
      </c>
    </row>
    <row r="530" spans="1:6" x14ac:dyDescent="0.15">
      <c r="A530" s="1">
        <v>41067</v>
      </c>
      <c r="B530" t="s">
        <v>120</v>
      </c>
      <c r="C530" t="s">
        <v>563</v>
      </c>
      <c r="D530" t="s">
        <v>407</v>
      </c>
      <c r="E530" s="4" t="str">
        <f>HYPERLINK("http://snap.windin.com/ns/bulletin.php?id=2065976&amp;type=1", "旋极信息:首次公开发行股票并在创业板上市公告书提示性公告")</f>
        <v>旋极信息:首次公开发行股票并在创业板上市公告书提示性公告</v>
      </c>
      <c r="F530" t="s">
        <v>1412</v>
      </c>
    </row>
    <row r="531" spans="1:6" x14ac:dyDescent="0.15">
      <c r="A531" s="1">
        <v>41067</v>
      </c>
      <c r="B531" t="s">
        <v>121</v>
      </c>
      <c r="C531" t="s">
        <v>564</v>
      </c>
      <c r="D531" t="s">
        <v>407</v>
      </c>
      <c r="E531" s="4" t="str">
        <f>HYPERLINK("http://snap.windin.com/ns/bulletin.php?id=2049075&amp;type=1", "硕贝德:首次公开发行股票并在创业板上市公告书提示性公告")</f>
        <v>硕贝德:首次公开发行股票并在创业板上市公告书提示性公告</v>
      </c>
      <c r="F531" t="s">
        <v>1413</v>
      </c>
    </row>
    <row r="532" spans="1:6" x14ac:dyDescent="0.15">
      <c r="A532" s="1">
        <v>41067</v>
      </c>
      <c r="B532" t="s">
        <v>121</v>
      </c>
      <c r="C532" t="s">
        <v>564</v>
      </c>
      <c r="D532" t="s">
        <v>412</v>
      </c>
      <c r="E532" s="4" t="str">
        <f>HYPERLINK("http://snap.windin.com/ns/bulletin.php?id=1883959&amp;type=1", "硕贝德:首次公开发行股票并在创业板上市上市公告书")</f>
        <v>硕贝德:首次公开发行股票并在创业板上市上市公告书</v>
      </c>
      <c r="F532" t="s">
        <v>1414</v>
      </c>
    </row>
    <row r="533" spans="1:6" x14ac:dyDescent="0.15">
      <c r="A533" s="1">
        <v>41066</v>
      </c>
      <c r="B533" t="s">
        <v>109</v>
      </c>
      <c r="C533" t="s">
        <v>552</v>
      </c>
      <c r="D533" t="s">
        <v>455</v>
      </c>
      <c r="E533" s="4" t="str">
        <f>HYPERLINK("http://snap.windin.com/ns/bulletin.php?id=2017422&amp;type=1", "华虹计通:首次公开发行股票并在创业板上市招股说明书")</f>
        <v>华虹计通:首次公开发行股票并在创业板上市招股说明书</v>
      </c>
      <c r="F533" t="s">
        <v>1415</v>
      </c>
    </row>
    <row r="534" spans="1:6" x14ac:dyDescent="0.15">
      <c r="A534" s="1">
        <v>41064</v>
      </c>
      <c r="B534" t="s">
        <v>113</v>
      </c>
      <c r="C534" t="s">
        <v>556</v>
      </c>
      <c r="D534" t="s">
        <v>455</v>
      </c>
      <c r="E534" s="4" t="str">
        <f>HYPERLINK("http://snap.windin.com/ns/bulletin.php?id=1866004&amp;type=1", "凯利泰:首次公开发行股票并在创业板上市招股说明书")</f>
        <v>凯利泰:首次公开发行股票并在创业板上市招股说明书</v>
      </c>
      <c r="F534" t="s">
        <v>1416</v>
      </c>
    </row>
    <row r="535" spans="1:6" x14ac:dyDescent="0.15">
      <c r="A535" s="1">
        <v>41064</v>
      </c>
      <c r="B535" t="s">
        <v>122</v>
      </c>
      <c r="C535" t="s">
        <v>565</v>
      </c>
      <c r="D535" t="s">
        <v>389</v>
      </c>
      <c r="E535" s="4" t="str">
        <f>HYPERLINK("http://snap.windin.com/ns/bulletin.php?id=1197905&amp;type=1", "奋达科技:首次公开发行股票上市公告书")</f>
        <v>奋达科技:首次公开发行股票上市公告书</v>
      </c>
      <c r="F535" t="s">
        <v>1417</v>
      </c>
    </row>
    <row r="536" spans="1:6" x14ac:dyDescent="0.15">
      <c r="A536" s="1">
        <v>41064</v>
      </c>
      <c r="B536" t="s">
        <v>123</v>
      </c>
      <c r="C536" t="s">
        <v>566</v>
      </c>
      <c r="D536" t="s">
        <v>389</v>
      </c>
      <c r="E536" s="4" t="str">
        <f>HYPERLINK("http://snap.windin.com/ns/bulletin.php?id=1177418&amp;type=1", "黄海机械:首次公开发行股票上市公告书")</f>
        <v>黄海机械:首次公开发行股票上市公告书</v>
      </c>
      <c r="F536" t="s">
        <v>1418</v>
      </c>
    </row>
    <row r="537" spans="1:6" x14ac:dyDescent="0.15">
      <c r="A537" s="1">
        <v>41064</v>
      </c>
      <c r="B537" t="s">
        <v>124</v>
      </c>
      <c r="C537" t="s">
        <v>567</v>
      </c>
      <c r="D537" t="s">
        <v>389</v>
      </c>
      <c r="E537" s="4" t="str">
        <f>HYPERLINK("http://snap.windin.com/ns/bulletin.php?id=904523&amp;type=1", "福建金森:首次公开发行股票上市公告书")</f>
        <v>福建金森:首次公开发行股票上市公告书</v>
      </c>
      <c r="F537" t="s">
        <v>1419</v>
      </c>
    </row>
    <row r="538" spans="1:6" x14ac:dyDescent="0.15">
      <c r="A538" s="1">
        <v>41061</v>
      </c>
      <c r="B538" t="s">
        <v>112</v>
      </c>
      <c r="C538" t="s">
        <v>555</v>
      </c>
      <c r="D538" t="s">
        <v>455</v>
      </c>
      <c r="E538" s="4" t="str">
        <f>HYPERLINK("http://snap.windin.com/ns/bulletin.php?id=1750386&amp;type=1", "中颖电子:首次公开发行股票并在创业板上市招股说明书")</f>
        <v>中颖电子:首次公开发行股票并在创业板上市招股说明书</v>
      </c>
      <c r="F538" t="s">
        <v>1420</v>
      </c>
    </row>
    <row r="539" spans="1:6" x14ac:dyDescent="0.15">
      <c r="A539" s="1">
        <v>41060</v>
      </c>
      <c r="B539" t="s">
        <v>126</v>
      </c>
      <c r="C539" t="s">
        <v>569</v>
      </c>
      <c r="D539" t="s">
        <v>417</v>
      </c>
      <c r="E539" s="4" t="str">
        <f>HYPERLINK("http://snap.windin.com/ns/bulletin.php?id=1337060&amp;type=1", "德威新材:首次公开发行股票并在创业板上市公告书")</f>
        <v>德威新材:首次公开发行股票并在创业板上市公告书</v>
      </c>
      <c r="F539" t="s">
        <v>1421</v>
      </c>
    </row>
    <row r="540" spans="1:6" x14ac:dyDescent="0.15">
      <c r="A540" s="1">
        <v>41060</v>
      </c>
      <c r="B540" t="s">
        <v>126</v>
      </c>
      <c r="C540" t="s">
        <v>569</v>
      </c>
      <c r="D540" t="s">
        <v>407</v>
      </c>
      <c r="E540" s="4" t="str">
        <f>HYPERLINK("http://snap.windin.com/ns/bulletin.php?id=1808206&amp;type=1", "德威新材:首次公开发行股票并在创业板上市公告书提示性公告")</f>
        <v>德威新材:首次公开发行股票并在创业板上市公告书提示性公告</v>
      </c>
      <c r="F540" t="s">
        <v>1422</v>
      </c>
    </row>
    <row r="541" spans="1:6" x14ac:dyDescent="0.15">
      <c r="A541" s="1">
        <v>41060</v>
      </c>
      <c r="B541" t="s">
        <v>125</v>
      </c>
      <c r="C541" t="s">
        <v>568</v>
      </c>
      <c r="D541" t="s">
        <v>417</v>
      </c>
      <c r="E541" s="4" t="str">
        <f>HYPERLINK("http://snap.windin.com/ns/bulletin.php?id=976336&amp;type=1", "华灿光电:首次公开发行股票并在创业板上市公告书")</f>
        <v>华灿光电:首次公开发行股票并在创业板上市公告书</v>
      </c>
      <c r="F541" t="s">
        <v>1423</v>
      </c>
    </row>
    <row r="542" spans="1:6" x14ac:dyDescent="0.15">
      <c r="A542" s="1">
        <v>41060</v>
      </c>
      <c r="B542" t="s">
        <v>125</v>
      </c>
      <c r="C542" t="s">
        <v>568</v>
      </c>
      <c r="D542" t="s">
        <v>383</v>
      </c>
      <c r="E542" s="4" t="str">
        <f>HYPERLINK("http://snap.windin.com/ns/bulletin.php?id=2092723&amp;type=1", "华灿光电:首次公开发行股票并在创业板上市上市公告书提示性公告")</f>
        <v>华灿光电:首次公开发行股票并在创业板上市上市公告书提示性公告</v>
      </c>
      <c r="F542" t="s">
        <v>1424</v>
      </c>
    </row>
    <row r="543" spans="1:6" x14ac:dyDescent="0.15">
      <c r="A543" s="1">
        <v>41060</v>
      </c>
      <c r="B543" t="s">
        <v>127</v>
      </c>
      <c r="C543" t="s">
        <v>570</v>
      </c>
      <c r="D543" t="s">
        <v>407</v>
      </c>
      <c r="E543" s="4" t="str">
        <f>HYPERLINK("http://snap.windin.com/ns/bulletin.php?id=1558671&amp;type=1", "海达股份:首次公开发行股票并在创业板上市公告书提示性公告")</f>
        <v>海达股份:首次公开发行股票并在创业板上市公告书提示性公告</v>
      </c>
      <c r="F543" t="s">
        <v>1425</v>
      </c>
    </row>
    <row r="544" spans="1:6" x14ac:dyDescent="0.15">
      <c r="A544" s="1">
        <v>41060</v>
      </c>
      <c r="B544" t="s">
        <v>127</v>
      </c>
      <c r="C544" t="s">
        <v>570</v>
      </c>
      <c r="D544" t="s">
        <v>412</v>
      </c>
      <c r="E544" s="4" t="str">
        <f>HYPERLINK("http://snap.windin.com/ns/bulletin.php?id=729593&amp;type=1", "海达股份:首次公开发行股票并在创业板上市上市公告书")</f>
        <v>海达股份:首次公开发行股票并在创业板上市上市公告书</v>
      </c>
      <c r="F544" t="s">
        <v>1426</v>
      </c>
    </row>
    <row r="545" spans="1:6" x14ac:dyDescent="0.15">
      <c r="A545" s="1">
        <v>41060</v>
      </c>
      <c r="B545" t="s">
        <v>118</v>
      </c>
      <c r="C545" t="s">
        <v>561</v>
      </c>
      <c r="D545" t="s">
        <v>399</v>
      </c>
      <c r="E545" s="4" t="str">
        <f>HYPERLINK("http://snap.windin.com/ns/bulletin.php?id=1230946&amp;type=1", "猛狮科技:首次公开发行股票招股说明书")</f>
        <v>猛狮科技:首次公开发行股票招股说明书</v>
      </c>
      <c r="F545" t="s">
        <v>1427</v>
      </c>
    </row>
    <row r="546" spans="1:6" x14ac:dyDescent="0.15">
      <c r="A546" s="1">
        <v>41060</v>
      </c>
      <c r="B546" t="s">
        <v>118</v>
      </c>
      <c r="C546" t="s">
        <v>561</v>
      </c>
      <c r="D546" t="s">
        <v>400</v>
      </c>
      <c r="E546" s="4" t="str">
        <f>HYPERLINK("http://snap.windin.com/ns/bulletin.php?id=411335&amp;type=1", "猛狮科技:首次公开发行股票招股说明书摘要")</f>
        <v>猛狮科技:首次公开发行股票招股说明书摘要</v>
      </c>
      <c r="F546" t="s">
        <v>1428</v>
      </c>
    </row>
    <row r="547" spans="1:6" x14ac:dyDescent="0.15">
      <c r="A547" s="1">
        <v>41060</v>
      </c>
      <c r="B547" t="s">
        <v>117</v>
      </c>
      <c r="C547" t="s">
        <v>560</v>
      </c>
      <c r="D547" t="s">
        <v>399</v>
      </c>
      <c r="E547" s="4" t="str">
        <f>HYPERLINK("http://snap.windin.com/ns/bulletin.php?id=1483506&amp;type=1", "龙洲股份:首次公开发行股票招股说明书")</f>
        <v>龙洲股份:首次公开发行股票招股说明书</v>
      </c>
      <c r="F547" t="s">
        <v>1429</v>
      </c>
    </row>
    <row r="548" spans="1:6" x14ac:dyDescent="0.15">
      <c r="A548" s="1">
        <v>41060</v>
      </c>
      <c r="B548" t="s">
        <v>117</v>
      </c>
      <c r="C548" t="s">
        <v>560</v>
      </c>
      <c r="D548" t="s">
        <v>400</v>
      </c>
      <c r="E548" s="4" t="str">
        <f>HYPERLINK("http://snap.windin.com/ns/bulletin.php?id=859627&amp;type=1", "龙洲股份:首次公开发行股票招股说明书摘要")</f>
        <v>龙洲股份:首次公开发行股票招股说明书摘要</v>
      </c>
      <c r="F548" t="s">
        <v>1430</v>
      </c>
    </row>
    <row r="549" spans="1:6" x14ac:dyDescent="0.15">
      <c r="A549" s="1">
        <v>41059</v>
      </c>
      <c r="B549" t="s">
        <v>109</v>
      </c>
      <c r="C549" t="s">
        <v>552</v>
      </c>
      <c r="D549" t="s">
        <v>471</v>
      </c>
      <c r="E549" s="4" t="str">
        <f>HYPERLINK("http://snap.windin.com/ns/bulletin.php?id=1522438&amp;type=1", "华虹计通:首次公开发行股票并在创业板上市招股意向书")</f>
        <v>华虹计通:首次公开发行股票并在创业板上市招股意向书</v>
      </c>
      <c r="F549" t="s">
        <v>1431</v>
      </c>
    </row>
    <row r="550" spans="1:6" x14ac:dyDescent="0.15">
      <c r="A550" s="1">
        <v>41059</v>
      </c>
      <c r="B550" t="s">
        <v>110</v>
      </c>
      <c r="C550" t="s">
        <v>553</v>
      </c>
      <c r="D550" t="s">
        <v>471</v>
      </c>
      <c r="E550" s="4" t="str">
        <f>HYPERLINK("http://snap.windin.com/ns/bulletin.php?id=692430&amp;type=1", "海伦钢琴:首次公开发行股票并在创业板上市招股意向书")</f>
        <v>海伦钢琴:首次公开发行股票并在创业板上市招股意向书</v>
      </c>
      <c r="F550" t="s">
        <v>1432</v>
      </c>
    </row>
    <row r="551" spans="1:6" x14ac:dyDescent="0.15">
      <c r="A551" s="1">
        <v>41059</v>
      </c>
      <c r="B551" t="s">
        <v>111</v>
      </c>
      <c r="C551" t="s">
        <v>554</v>
      </c>
      <c r="D551" t="s">
        <v>471</v>
      </c>
      <c r="E551" s="4" t="str">
        <f>HYPERLINK("http://snap.windin.com/ns/bulletin.php?id=1245387&amp;type=1", "宜安科技:首次公开发行股票并在创业板上市招股意向书")</f>
        <v>宜安科技:首次公开发行股票并在创业板上市招股意向书</v>
      </c>
      <c r="F551" t="s">
        <v>1433</v>
      </c>
    </row>
    <row r="552" spans="1:6" x14ac:dyDescent="0.15">
      <c r="A552" s="1">
        <v>41058</v>
      </c>
      <c r="B552" t="s">
        <v>120</v>
      </c>
      <c r="C552" t="s">
        <v>563</v>
      </c>
      <c r="D552" t="s">
        <v>455</v>
      </c>
      <c r="E552" s="4" t="str">
        <f>HYPERLINK("http://snap.windin.com/ns/bulletin.php?id=1765484&amp;type=1", "旋极信息:首次公开发行股票并在创业板上市招股说明书")</f>
        <v>旋极信息:首次公开发行股票并在创业板上市招股说明书</v>
      </c>
      <c r="F552" t="s">
        <v>1434</v>
      </c>
    </row>
    <row r="553" spans="1:6" x14ac:dyDescent="0.15">
      <c r="A553" s="1">
        <v>41058</v>
      </c>
      <c r="B553" t="s">
        <v>116</v>
      </c>
      <c r="C553" t="s">
        <v>559</v>
      </c>
      <c r="D553" t="s">
        <v>399</v>
      </c>
      <c r="E553" s="4" t="str">
        <f>HYPERLINK("http://snap.windin.com/ns/bulletin.php?id=828514&amp;type=1", "华东重机:首次公开发行股票招股说明书")</f>
        <v>华东重机:首次公开发行股票招股说明书</v>
      </c>
      <c r="F553" t="s">
        <v>1435</v>
      </c>
    </row>
    <row r="554" spans="1:6" x14ac:dyDescent="0.15">
      <c r="A554" s="1">
        <v>41058</v>
      </c>
      <c r="B554" t="s">
        <v>116</v>
      </c>
      <c r="C554" t="s">
        <v>559</v>
      </c>
      <c r="D554" t="s">
        <v>400</v>
      </c>
      <c r="E554" s="4" t="str">
        <f>HYPERLINK("http://snap.windin.com/ns/bulletin.php?id=136140&amp;type=1", "华东重机:首次公开发行股票招股说明书摘要")</f>
        <v>华东重机:首次公开发行股票招股说明书摘要</v>
      </c>
      <c r="F554" t="s">
        <v>1436</v>
      </c>
    </row>
    <row r="555" spans="1:6" x14ac:dyDescent="0.15">
      <c r="A555" s="1">
        <v>41058</v>
      </c>
      <c r="B555" t="s">
        <v>115</v>
      </c>
      <c r="C555" t="s">
        <v>558</v>
      </c>
      <c r="D555" t="s">
        <v>399</v>
      </c>
      <c r="E555" s="4" t="str">
        <f>HYPERLINK("http://snap.windin.com/ns/bulletin.php?id=1672636&amp;type=1", "宏大爆破:首次公开发行股票招股说明书")</f>
        <v>宏大爆破:首次公开发行股票招股说明书</v>
      </c>
      <c r="F555" t="s">
        <v>1437</v>
      </c>
    </row>
    <row r="556" spans="1:6" x14ac:dyDescent="0.15">
      <c r="A556" s="1">
        <v>41058</v>
      </c>
      <c r="B556" t="s">
        <v>115</v>
      </c>
      <c r="C556" t="s">
        <v>558</v>
      </c>
      <c r="D556" t="s">
        <v>573</v>
      </c>
      <c r="E556" s="4" t="str">
        <f>HYPERLINK("http://snap.windin.com/ns/bulletin.php?id=98911&amp;type=1", "宏大爆破:首次公开发行股票招股说明书（更新后）")</f>
        <v>宏大爆破:首次公开发行股票招股说明书（更新后）</v>
      </c>
      <c r="F556" t="s">
        <v>1438</v>
      </c>
    </row>
    <row r="557" spans="1:6" x14ac:dyDescent="0.15">
      <c r="A557" s="1">
        <v>41058</v>
      </c>
      <c r="B557" t="s">
        <v>115</v>
      </c>
      <c r="C557" t="s">
        <v>558</v>
      </c>
      <c r="D557" t="s">
        <v>400</v>
      </c>
      <c r="E557" s="4" t="str">
        <f>HYPERLINK("http://snap.windin.com/ns/bulletin.php?id=1186648&amp;type=1", "宏大爆破:首次公开发行股票招股说明书摘要")</f>
        <v>宏大爆破:首次公开发行股票招股说明书摘要</v>
      </c>
      <c r="F557" t="s">
        <v>1439</v>
      </c>
    </row>
    <row r="558" spans="1:6" x14ac:dyDescent="0.15">
      <c r="A558" s="1">
        <v>41058</v>
      </c>
      <c r="B558" t="s">
        <v>115</v>
      </c>
      <c r="C558" t="s">
        <v>558</v>
      </c>
      <c r="D558" t="s">
        <v>571</v>
      </c>
      <c r="E558" s="4" t="str">
        <f>HYPERLINK("http://snap.windin.com/ns/bulletin.php?id=1781190&amp;type=1", "宏大爆破:首次公开发行股票招股说明书摘要（更新后）")</f>
        <v>宏大爆破:首次公开发行股票招股说明书摘要（更新后）</v>
      </c>
      <c r="F558" t="s">
        <v>1440</v>
      </c>
    </row>
    <row r="559" spans="1:6" x14ac:dyDescent="0.15">
      <c r="A559" s="1">
        <v>41058</v>
      </c>
      <c r="B559" t="s">
        <v>128</v>
      </c>
      <c r="C559" t="s">
        <v>572</v>
      </c>
      <c r="D559" t="s">
        <v>389</v>
      </c>
      <c r="E559" s="4" t="str">
        <f>HYPERLINK("http://snap.windin.com/ns/bulletin.php?id=457795&amp;type=1", "珠江钢琴:首次公开发行股票上市公告书")</f>
        <v>珠江钢琴:首次公开发行股票上市公告书</v>
      </c>
      <c r="F559" t="s">
        <v>1441</v>
      </c>
    </row>
    <row r="560" spans="1:6" x14ac:dyDescent="0.15">
      <c r="A560" s="1">
        <v>41057</v>
      </c>
      <c r="B560" t="s">
        <v>129</v>
      </c>
      <c r="C560" t="s">
        <v>574</v>
      </c>
      <c r="D560" t="s">
        <v>402</v>
      </c>
      <c r="E560" s="4" t="str">
        <f>HYPERLINK("http://snap.windin.com/ns/bulletin.php?id=232679&amp;type=1", "华贸物流:首次公开发行A股股票上市公告书")</f>
        <v>华贸物流:首次公开发行A股股票上市公告书</v>
      </c>
      <c r="F560" t="s">
        <v>1442</v>
      </c>
    </row>
    <row r="561" spans="1:6" x14ac:dyDescent="0.15">
      <c r="A561" s="1">
        <v>41057</v>
      </c>
      <c r="B561" t="s">
        <v>129</v>
      </c>
      <c r="C561" t="s">
        <v>574</v>
      </c>
      <c r="D561" t="s">
        <v>399</v>
      </c>
      <c r="E561" s="4" t="str">
        <f>HYPERLINK("http://snap.windin.com/ns/bulletin.php?id=770593&amp;type=1", "华贸物流:首次公开发行股票招股说明书")</f>
        <v>华贸物流:首次公开发行股票招股说明书</v>
      </c>
      <c r="F561" t="s">
        <v>1443</v>
      </c>
    </row>
    <row r="562" spans="1:6" x14ac:dyDescent="0.15">
      <c r="A562" s="1">
        <v>41054</v>
      </c>
      <c r="B562" t="s">
        <v>112</v>
      </c>
      <c r="C562" t="s">
        <v>555</v>
      </c>
      <c r="D562" t="s">
        <v>471</v>
      </c>
      <c r="E562" s="4" t="str">
        <f>HYPERLINK("http://snap.windin.com/ns/bulletin.php?id=1647848&amp;type=1", "中颖电子:首次公开发行股票并在创业板上市招股意向书")</f>
        <v>中颖电子:首次公开发行股票并在创业板上市招股意向书</v>
      </c>
      <c r="F562" t="s">
        <v>1444</v>
      </c>
    </row>
    <row r="563" spans="1:6" x14ac:dyDescent="0.15">
      <c r="A563" s="1">
        <v>41054</v>
      </c>
      <c r="B563" t="s">
        <v>113</v>
      </c>
      <c r="C563" t="s">
        <v>556</v>
      </c>
      <c r="D563" t="s">
        <v>575</v>
      </c>
      <c r="E563" s="4" t="str">
        <f>HYPERLINK("http://snap.windin.com/ns/bulletin.php?id=1536960&amp;type=1", "凯利泰:首次公开发行股票并在创业板上市的招股意向书")</f>
        <v>凯利泰:首次公开发行股票并在创业板上市的招股意向书</v>
      </c>
      <c r="F563" t="s">
        <v>1445</v>
      </c>
    </row>
    <row r="564" spans="1:6" x14ac:dyDescent="0.15">
      <c r="A564" s="1">
        <v>41054</v>
      </c>
      <c r="B564" t="s">
        <v>121</v>
      </c>
      <c r="C564" t="s">
        <v>564</v>
      </c>
      <c r="D564" t="s">
        <v>455</v>
      </c>
      <c r="E564" s="4" t="str">
        <f>HYPERLINK("http://snap.windin.com/ns/bulletin.php?id=414823&amp;type=1", "硕贝德:首次公开发行股票并在创业板上市招股说明书")</f>
        <v>硕贝德:首次公开发行股票并在创业板上市招股说明书</v>
      </c>
      <c r="F564" t="s">
        <v>1446</v>
      </c>
    </row>
    <row r="565" spans="1:6" x14ac:dyDescent="0.15">
      <c r="A565" s="1">
        <v>41053</v>
      </c>
      <c r="B565" t="s">
        <v>122</v>
      </c>
      <c r="C565" t="s">
        <v>565</v>
      </c>
      <c r="D565" t="s">
        <v>399</v>
      </c>
      <c r="E565" s="4" t="str">
        <f>HYPERLINK("http://snap.windin.com/ns/bulletin.php?id=425096&amp;type=1", "奋达科技:首次公开发行股票招股说明书")</f>
        <v>奋达科技:首次公开发行股票招股说明书</v>
      </c>
      <c r="F565" t="s">
        <v>1447</v>
      </c>
    </row>
    <row r="566" spans="1:6" x14ac:dyDescent="0.15">
      <c r="A566" s="1">
        <v>41053</v>
      </c>
      <c r="B566" t="s">
        <v>122</v>
      </c>
      <c r="C566" t="s">
        <v>565</v>
      </c>
      <c r="D566" t="s">
        <v>400</v>
      </c>
      <c r="E566" s="4" t="str">
        <f>HYPERLINK("http://snap.windin.com/ns/bulletin.php?id=785889&amp;type=1", "奋达科技:首次公开发行股票招股说明书摘要")</f>
        <v>奋达科技:首次公开发行股票招股说明书摘要</v>
      </c>
      <c r="F566" t="s">
        <v>1448</v>
      </c>
    </row>
    <row r="567" spans="1:6" x14ac:dyDescent="0.15">
      <c r="A567" s="1">
        <v>41053</v>
      </c>
      <c r="B567" t="s">
        <v>123</v>
      </c>
      <c r="C567" t="s">
        <v>566</v>
      </c>
      <c r="D567" t="s">
        <v>573</v>
      </c>
      <c r="E567" s="4" t="str">
        <f>HYPERLINK("http://snap.windin.com/ns/bulletin.php?id=802705&amp;type=1", "黄海机械:首次公开发行股票招股说明书（更新后）")</f>
        <v>黄海机械:首次公开发行股票招股说明书（更新后）</v>
      </c>
      <c r="F567" t="s">
        <v>1449</v>
      </c>
    </row>
    <row r="568" spans="1:6" x14ac:dyDescent="0.15">
      <c r="A568" s="1">
        <v>41053</v>
      </c>
      <c r="B568" t="s">
        <v>123</v>
      </c>
      <c r="C568" t="s">
        <v>566</v>
      </c>
      <c r="D568" t="s">
        <v>571</v>
      </c>
      <c r="E568" s="4" t="str">
        <f>HYPERLINK("http://snap.windin.com/ns/bulletin.php?id=1721131&amp;type=1", "黄海机械:首次公开发行股票招股说明书摘要（更新后）")</f>
        <v>黄海机械:首次公开发行股票招股说明书摘要（更新后）</v>
      </c>
      <c r="F568" t="s">
        <v>1450</v>
      </c>
    </row>
    <row r="569" spans="1:6" x14ac:dyDescent="0.15">
      <c r="A569" s="1">
        <v>41053</v>
      </c>
      <c r="B569" t="s">
        <v>132</v>
      </c>
      <c r="C569" t="s">
        <v>578</v>
      </c>
      <c r="D569" t="s">
        <v>389</v>
      </c>
      <c r="E569" s="4" t="str">
        <f>HYPERLINK("http://snap.windin.com/ns/bulletin.php?id=501717&amp;type=1", "浙江美大:首次公开发行股票上市公告书")</f>
        <v>浙江美大:首次公开发行股票上市公告书</v>
      </c>
      <c r="F569" t="s">
        <v>1451</v>
      </c>
    </row>
    <row r="570" spans="1:6" x14ac:dyDescent="0.15">
      <c r="A570" s="1">
        <v>41053</v>
      </c>
      <c r="B570" t="s">
        <v>131</v>
      </c>
      <c r="C570" t="s">
        <v>577</v>
      </c>
      <c r="D570" t="s">
        <v>389</v>
      </c>
      <c r="E570" s="4" t="str">
        <f>HYPERLINK("http://snap.windin.com/ns/bulletin.php?id=646788&amp;type=1", "顺威股份:首次公开发行股票上市公告书")</f>
        <v>顺威股份:首次公开发行股票上市公告书</v>
      </c>
      <c r="F570" t="s">
        <v>1452</v>
      </c>
    </row>
    <row r="571" spans="1:6" x14ac:dyDescent="0.15">
      <c r="A571" s="1">
        <v>41053</v>
      </c>
      <c r="B571" t="s">
        <v>130</v>
      </c>
      <c r="C571" t="s">
        <v>576</v>
      </c>
      <c r="D571" t="s">
        <v>389</v>
      </c>
      <c r="E571" s="4" t="str">
        <f>HYPERLINK("http://snap.windin.com/ns/bulletin.php?id=1712925&amp;type=1", "东诚生化:首次公开发行股票上市公告书")</f>
        <v>东诚生化:首次公开发行股票上市公告书</v>
      </c>
      <c r="F571" t="s">
        <v>1453</v>
      </c>
    </row>
    <row r="572" spans="1:6" x14ac:dyDescent="0.15">
      <c r="A572" s="1">
        <v>41052</v>
      </c>
      <c r="B572" t="s">
        <v>127</v>
      </c>
      <c r="C572" t="s">
        <v>570</v>
      </c>
      <c r="D572" t="s">
        <v>455</v>
      </c>
      <c r="E572" s="4" t="str">
        <f>HYPERLINK("http://snap.windin.com/ns/bulletin.php?id=1899922&amp;type=1", "海达股份:首次公开发行股票并在创业板上市招股说明书")</f>
        <v>海达股份:首次公开发行股票并在创业板上市招股说明书</v>
      </c>
      <c r="F572" t="s">
        <v>1454</v>
      </c>
    </row>
    <row r="573" spans="1:6" x14ac:dyDescent="0.15">
      <c r="A573" s="1">
        <v>41052</v>
      </c>
      <c r="B573" t="s">
        <v>118</v>
      </c>
      <c r="C573" t="s">
        <v>561</v>
      </c>
      <c r="D573" t="s">
        <v>465</v>
      </c>
      <c r="E573" s="4" t="str">
        <f>HYPERLINK("http://snap.windin.com/ns/bulletin.php?id=684639&amp;type=1", "猛狮科技:首次公开发行股票招股意向书")</f>
        <v>猛狮科技:首次公开发行股票招股意向书</v>
      </c>
      <c r="F573" t="s">
        <v>1455</v>
      </c>
    </row>
    <row r="574" spans="1:6" x14ac:dyDescent="0.15">
      <c r="A574" s="1">
        <v>41052</v>
      </c>
      <c r="B574" t="s">
        <v>118</v>
      </c>
      <c r="C574" t="s">
        <v>561</v>
      </c>
      <c r="D574" t="s">
        <v>466</v>
      </c>
      <c r="E574" s="4" t="str">
        <f>HYPERLINK("http://snap.windin.com/ns/bulletin.php?id=1500963&amp;type=1", "猛狮科技:首次公开发行股票招股意向书摘要")</f>
        <v>猛狮科技:首次公开发行股票招股意向书摘要</v>
      </c>
      <c r="F574" t="s">
        <v>1456</v>
      </c>
    </row>
    <row r="575" spans="1:6" x14ac:dyDescent="0.15">
      <c r="A575" s="1">
        <v>41051</v>
      </c>
      <c r="B575" t="s">
        <v>114</v>
      </c>
      <c r="C575" t="s">
        <v>557</v>
      </c>
      <c r="D575" t="s">
        <v>475</v>
      </c>
      <c r="E575" s="4" t="str">
        <f>HYPERLINK("http://snap.windin.com/ns/bulletin.php?id=1599793&amp;type=1", "百隆东方:首次公开发行A股股票招股意向书")</f>
        <v>百隆东方:首次公开发行A股股票招股意向书</v>
      </c>
      <c r="F575" t="s">
        <v>1457</v>
      </c>
    </row>
    <row r="576" spans="1:6" x14ac:dyDescent="0.15">
      <c r="A576" s="1">
        <v>41051</v>
      </c>
      <c r="B576" t="s">
        <v>114</v>
      </c>
      <c r="C576" t="s">
        <v>557</v>
      </c>
      <c r="D576" t="s">
        <v>476</v>
      </c>
      <c r="E576" s="4" t="str">
        <f>HYPERLINK("http://snap.windin.com/ns/bulletin.php?id=1126291&amp;type=1", "百隆东方:首次公开发行A股股票招股意向书摘要")</f>
        <v>百隆东方:首次公开发行A股股票招股意向书摘要</v>
      </c>
      <c r="F576" t="s">
        <v>1458</v>
      </c>
    </row>
    <row r="577" spans="1:6" x14ac:dyDescent="0.15">
      <c r="A577" s="1">
        <v>41051</v>
      </c>
      <c r="B577" t="s">
        <v>114</v>
      </c>
      <c r="C577" t="s">
        <v>557</v>
      </c>
      <c r="D577" t="s">
        <v>467</v>
      </c>
      <c r="E577" s="4" t="str">
        <f>HYPERLINK("http://snap.windin.com/ns/bulletin.php?id=1885518&amp;type=1", "百隆东方:首次公开发行股票招股意向书附录")</f>
        <v>百隆东方:首次公开发行股票招股意向书附录</v>
      </c>
      <c r="F577" t="s">
        <v>1459</v>
      </c>
    </row>
    <row r="578" spans="1:6" x14ac:dyDescent="0.15">
      <c r="A578" s="1">
        <v>41051</v>
      </c>
      <c r="B578" t="s">
        <v>135</v>
      </c>
      <c r="C578" t="s">
        <v>581</v>
      </c>
      <c r="D578" t="s">
        <v>417</v>
      </c>
      <c r="E578" s="4" t="str">
        <f>HYPERLINK("http://snap.windin.com/ns/bulletin.php?id=1177441&amp;type=1", "同大股份:首次公开发行股票并在创业板上市公告书")</f>
        <v>同大股份:首次公开发行股票并在创业板上市公告书</v>
      </c>
      <c r="F578" t="s">
        <v>1460</v>
      </c>
    </row>
    <row r="579" spans="1:6" x14ac:dyDescent="0.15">
      <c r="A579" s="1">
        <v>41051</v>
      </c>
      <c r="B579" t="s">
        <v>135</v>
      </c>
      <c r="C579" t="s">
        <v>581</v>
      </c>
      <c r="D579" t="s">
        <v>407</v>
      </c>
      <c r="E579" s="4" t="str">
        <f>HYPERLINK("http://snap.windin.com/ns/bulletin.php?id=168609&amp;type=1", "同大股份:首次公开发行股票并在创业板上市公告书提示性公告")</f>
        <v>同大股份:首次公开发行股票并在创业板上市公告书提示性公告</v>
      </c>
      <c r="F579" t="s">
        <v>1461</v>
      </c>
    </row>
    <row r="580" spans="1:6" x14ac:dyDescent="0.15">
      <c r="A580" s="1">
        <v>41051</v>
      </c>
      <c r="B580" t="s">
        <v>134</v>
      </c>
      <c r="C580" t="s">
        <v>580</v>
      </c>
      <c r="D580" t="s">
        <v>417</v>
      </c>
      <c r="E580" s="4" t="str">
        <f>HYPERLINK("http://snap.windin.com/ns/bulletin.php?id=512426&amp;type=1", "麦捷科技:首次公开发行股票并在创业板上市公告书")</f>
        <v>麦捷科技:首次公开发行股票并在创业板上市公告书</v>
      </c>
      <c r="F580" t="s">
        <v>1462</v>
      </c>
    </row>
    <row r="581" spans="1:6" x14ac:dyDescent="0.15">
      <c r="A581" s="1">
        <v>41051</v>
      </c>
      <c r="B581" t="s">
        <v>134</v>
      </c>
      <c r="C581" t="s">
        <v>580</v>
      </c>
      <c r="D581" t="s">
        <v>407</v>
      </c>
      <c r="E581" s="4" t="str">
        <f>HYPERLINK("http://snap.windin.com/ns/bulletin.php?id=1478961&amp;type=1", "麦捷科技:首次公开发行股票并在创业板上市公告书提示性公告")</f>
        <v>麦捷科技:首次公开发行股票并在创业板上市公告书提示性公告</v>
      </c>
      <c r="F581" t="s">
        <v>1463</v>
      </c>
    </row>
    <row r="582" spans="1:6" x14ac:dyDescent="0.15">
      <c r="A582" s="1">
        <v>41051</v>
      </c>
      <c r="B582" t="s">
        <v>133</v>
      </c>
      <c r="C582" t="s">
        <v>579</v>
      </c>
      <c r="D582" t="s">
        <v>412</v>
      </c>
      <c r="E582" s="4" t="str">
        <f>HYPERLINK("http://snap.windin.com/ns/bulletin.php?id=1939482&amp;type=1", "博晖创新:首次公开发行股票并在创业板上市上市公告书")</f>
        <v>博晖创新:首次公开发行股票并在创业板上市上市公告书</v>
      </c>
      <c r="F582" t="s">
        <v>1464</v>
      </c>
    </row>
    <row r="583" spans="1:6" x14ac:dyDescent="0.15">
      <c r="A583" s="1">
        <v>41051</v>
      </c>
      <c r="B583" t="s">
        <v>133</v>
      </c>
      <c r="C583" t="s">
        <v>579</v>
      </c>
      <c r="D583" t="s">
        <v>383</v>
      </c>
      <c r="E583" s="4" t="str">
        <f>HYPERLINK("http://snap.windin.com/ns/bulletin.php?id=1560155&amp;type=1", "博晖创新:首次公开发行股票并在创业板上市上市公告书提示性公告")</f>
        <v>博晖创新:首次公开发行股票并在创业板上市上市公告书提示性公告</v>
      </c>
      <c r="F583" t="s">
        <v>1465</v>
      </c>
    </row>
    <row r="584" spans="1:6" x14ac:dyDescent="0.15">
      <c r="A584" s="1">
        <v>41051</v>
      </c>
      <c r="B584" t="s">
        <v>136</v>
      </c>
      <c r="C584" t="s">
        <v>582</v>
      </c>
      <c r="D584" t="s">
        <v>583</v>
      </c>
      <c r="E584" s="4" t="str">
        <f>HYPERLINK("http://snap.windin.com/ns/bulletin.php?id=464202&amp;type=1", "巴安水务:关于中国证券监督管理委员会对公司《招股说明书》相关事项调查公告")</f>
        <v>巴安水务:关于中国证券监督管理委员会对公司《招股说明书》相关事项调查公告</v>
      </c>
      <c r="F584" t="s">
        <v>1466</v>
      </c>
    </row>
    <row r="585" spans="1:6" x14ac:dyDescent="0.15">
      <c r="A585" s="1">
        <v>41051</v>
      </c>
      <c r="B585" t="s">
        <v>116</v>
      </c>
      <c r="C585" t="s">
        <v>559</v>
      </c>
      <c r="D585" t="s">
        <v>465</v>
      </c>
      <c r="E585" s="4" t="str">
        <f>HYPERLINK("http://snap.windin.com/ns/bulletin.php?id=1405364&amp;type=1", "华东重机:首次公开发行股票招股意向书")</f>
        <v>华东重机:首次公开发行股票招股意向书</v>
      </c>
      <c r="F585" t="s">
        <v>1467</v>
      </c>
    </row>
    <row r="586" spans="1:6" x14ac:dyDescent="0.15">
      <c r="A586" s="1">
        <v>41051</v>
      </c>
      <c r="B586" t="s">
        <v>116</v>
      </c>
      <c r="C586" t="s">
        <v>559</v>
      </c>
      <c r="D586" t="s">
        <v>466</v>
      </c>
      <c r="E586" s="4" t="str">
        <f>HYPERLINK("http://snap.windin.com/ns/bulletin.php?id=633808&amp;type=1", "华东重机:首次公开发行股票招股意向书摘要")</f>
        <v>华东重机:首次公开发行股票招股意向书摘要</v>
      </c>
      <c r="F586" t="s">
        <v>1468</v>
      </c>
    </row>
    <row r="587" spans="1:6" x14ac:dyDescent="0.15">
      <c r="A587" s="1">
        <v>41051</v>
      </c>
      <c r="B587" t="s">
        <v>115</v>
      </c>
      <c r="C587" t="s">
        <v>558</v>
      </c>
      <c r="D587" t="s">
        <v>465</v>
      </c>
      <c r="E587" s="4" t="str">
        <f>HYPERLINK("http://snap.windin.com/ns/bulletin.php?id=1641545&amp;type=1", "宏大爆破:首次公开发行股票招股意向书")</f>
        <v>宏大爆破:首次公开发行股票招股意向书</v>
      </c>
      <c r="F587" t="s">
        <v>1469</v>
      </c>
    </row>
    <row r="588" spans="1:6" x14ac:dyDescent="0.15">
      <c r="A588" s="1">
        <v>41051</v>
      </c>
      <c r="B588" t="s">
        <v>115</v>
      </c>
      <c r="C588" t="s">
        <v>558</v>
      </c>
      <c r="D588" t="s">
        <v>466</v>
      </c>
      <c r="E588" s="4" t="str">
        <f>HYPERLINK("http://snap.windin.com/ns/bulletin.php?id=585850&amp;type=1", "宏大爆破:首次公开发行股票招股意向书摘要")</f>
        <v>宏大爆破:首次公开发行股票招股意向书摘要</v>
      </c>
      <c r="F588" t="s">
        <v>1470</v>
      </c>
    </row>
    <row r="589" spans="1:6" x14ac:dyDescent="0.15">
      <c r="A589" s="1">
        <v>41051</v>
      </c>
      <c r="B589" t="s">
        <v>117</v>
      </c>
      <c r="C589" t="s">
        <v>560</v>
      </c>
      <c r="D589" t="s">
        <v>465</v>
      </c>
      <c r="E589" s="4" t="str">
        <f>HYPERLINK("http://snap.windin.com/ns/bulletin.php?id=1202846&amp;type=1", "龙洲股份:首次公开发行股票招股意向书")</f>
        <v>龙洲股份:首次公开发行股票招股意向书</v>
      </c>
      <c r="F589" t="s">
        <v>1471</v>
      </c>
    </row>
    <row r="590" spans="1:6" x14ac:dyDescent="0.15">
      <c r="A590" s="1">
        <v>41051</v>
      </c>
      <c r="B590" t="s">
        <v>117</v>
      </c>
      <c r="C590" t="s">
        <v>560</v>
      </c>
      <c r="D590" t="s">
        <v>466</v>
      </c>
      <c r="E590" s="4" t="str">
        <f>HYPERLINK("http://snap.windin.com/ns/bulletin.php?id=1152701&amp;type=1", "龙洲股份:首次公开发行股票招股意向书摘要")</f>
        <v>龙洲股份:首次公开发行股票招股意向书摘要</v>
      </c>
      <c r="F590" t="s">
        <v>1472</v>
      </c>
    </row>
    <row r="591" spans="1:6" x14ac:dyDescent="0.15">
      <c r="A591" s="1">
        <v>41051</v>
      </c>
      <c r="B591" t="s">
        <v>124</v>
      </c>
      <c r="C591" t="s">
        <v>567</v>
      </c>
      <c r="D591" t="s">
        <v>399</v>
      </c>
      <c r="E591" s="4" t="str">
        <f>HYPERLINK("http://snap.windin.com/ns/bulletin.php?id=1070443&amp;type=1", "福建金森:首次公开发行股票招股说明书")</f>
        <v>福建金森:首次公开发行股票招股说明书</v>
      </c>
      <c r="F591" t="s">
        <v>1473</v>
      </c>
    </row>
    <row r="592" spans="1:6" x14ac:dyDescent="0.15">
      <c r="A592" s="1">
        <v>41051</v>
      </c>
      <c r="B592" t="s">
        <v>124</v>
      </c>
      <c r="C592" t="s">
        <v>567</v>
      </c>
      <c r="D592" t="s">
        <v>400</v>
      </c>
      <c r="E592" s="4" t="str">
        <f>HYPERLINK("http://snap.windin.com/ns/bulletin.php?id=1962108&amp;type=1", "福建金森:首次公开发行股票招股说明书摘要")</f>
        <v>福建金森:首次公开发行股票招股说明书摘要</v>
      </c>
      <c r="F592" t="s">
        <v>1474</v>
      </c>
    </row>
    <row r="593" spans="1:6" x14ac:dyDescent="0.15">
      <c r="A593" s="1">
        <v>41050</v>
      </c>
      <c r="B593" t="s">
        <v>126</v>
      </c>
      <c r="C593" t="s">
        <v>569</v>
      </c>
      <c r="D593" t="s">
        <v>455</v>
      </c>
      <c r="E593" s="4" t="str">
        <f>HYPERLINK("http://snap.windin.com/ns/bulletin.php?id=1477342&amp;type=1", "德威新材:首次公开发行股票并在创业板上市招股说明书")</f>
        <v>德威新材:首次公开发行股票并在创业板上市招股说明书</v>
      </c>
      <c r="F593" t="s">
        <v>1475</v>
      </c>
    </row>
    <row r="594" spans="1:6" x14ac:dyDescent="0.15">
      <c r="A594" s="1">
        <v>41050</v>
      </c>
      <c r="B594" t="s">
        <v>125</v>
      </c>
      <c r="C594" t="s">
        <v>568</v>
      </c>
      <c r="D594" t="s">
        <v>455</v>
      </c>
      <c r="E594" s="4" t="str">
        <f>HYPERLINK("http://snap.windin.com/ns/bulletin.php?id=634107&amp;type=1", "华灿光电:首次公开发行股票并在创业板上市招股说明书")</f>
        <v>华灿光电:首次公开发行股票并在创业板上市招股说明书</v>
      </c>
      <c r="F594" t="s">
        <v>1476</v>
      </c>
    </row>
    <row r="595" spans="1:6" x14ac:dyDescent="0.15">
      <c r="A595" s="1">
        <v>41047</v>
      </c>
      <c r="B595" t="s">
        <v>137</v>
      </c>
      <c r="C595" t="s">
        <v>584</v>
      </c>
      <c r="D595" t="s">
        <v>402</v>
      </c>
      <c r="E595" s="4" t="str">
        <f>HYPERLINK("http://snap.windin.com/ns/bulletin.php?id=1476058&amp;type=1", "日出东方:首次公开发行A股股票上市公告书")</f>
        <v>日出东方:首次公开发行A股股票上市公告书</v>
      </c>
      <c r="F595" t="s">
        <v>1477</v>
      </c>
    </row>
    <row r="596" spans="1:6" x14ac:dyDescent="0.15">
      <c r="A596" s="1">
        <v>41047</v>
      </c>
      <c r="B596" t="s">
        <v>137</v>
      </c>
      <c r="C596" t="s">
        <v>584</v>
      </c>
      <c r="D596" t="s">
        <v>399</v>
      </c>
      <c r="E596" s="4" t="str">
        <f>HYPERLINK("http://snap.windin.com/ns/bulletin.php?id=1026157&amp;type=1", "日出东方:首次公开发行股票招股说明书")</f>
        <v>日出东方:首次公开发行股票招股说明书</v>
      </c>
      <c r="F596" t="s">
        <v>1478</v>
      </c>
    </row>
    <row r="597" spans="1:6" x14ac:dyDescent="0.15">
      <c r="A597" s="1">
        <v>41047</v>
      </c>
      <c r="B597" t="s">
        <v>128</v>
      </c>
      <c r="C597" t="s">
        <v>572</v>
      </c>
      <c r="D597" t="s">
        <v>399</v>
      </c>
      <c r="E597" s="4" t="str">
        <f>HYPERLINK("http://snap.windin.com/ns/bulletin.php?id=2014621&amp;type=1", "珠江钢琴:首次公开发行股票招股说明书")</f>
        <v>珠江钢琴:首次公开发行股票招股说明书</v>
      </c>
      <c r="F597" t="s">
        <v>1479</v>
      </c>
    </row>
    <row r="598" spans="1:6" x14ac:dyDescent="0.15">
      <c r="A598" s="1">
        <v>41047</v>
      </c>
      <c r="B598" t="s">
        <v>128</v>
      </c>
      <c r="C598" t="s">
        <v>572</v>
      </c>
      <c r="D598" t="s">
        <v>400</v>
      </c>
      <c r="E598" s="4" t="str">
        <f>HYPERLINK("http://snap.windin.com/ns/bulletin.php?id=1046321&amp;type=1", "珠江钢琴:首次公开发行股票招股说明书摘要")</f>
        <v>珠江钢琴:首次公开发行股票招股说明书摘要</v>
      </c>
      <c r="F598" t="s">
        <v>1480</v>
      </c>
    </row>
    <row r="599" spans="1:6" x14ac:dyDescent="0.15">
      <c r="A599" s="1">
        <v>41046</v>
      </c>
      <c r="B599" t="s">
        <v>138</v>
      </c>
      <c r="C599" t="s">
        <v>585</v>
      </c>
      <c r="D599" t="s">
        <v>402</v>
      </c>
      <c r="E599" s="4" t="str">
        <f>HYPERLINK("http://snap.windin.com/ns/bulletin.php?id=840484&amp;type=1", "宏昌电子:首次公开发行A股股票上市公告书")</f>
        <v>宏昌电子:首次公开发行A股股票上市公告书</v>
      </c>
      <c r="F599" t="s">
        <v>1481</v>
      </c>
    </row>
    <row r="600" spans="1:6" x14ac:dyDescent="0.15">
      <c r="A600" s="1">
        <v>41046</v>
      </c>
      <c r="B600" t="s">
        <v>138</v>
      </c>
      <c r="C600" t="s">
        <v>585</v>
      </c>
      <c r="D600" t="s">
        <v>399</v>
      </c>
      <c r="E600" s="4" t="str">
        <f>HYPERLINK("http://snap.windin.com/ns/bulletin.php?id=1226954&amp;type=1", "宏昌电子:首次公开发行股票招股说明书")</f>
        <v>宏昌电子:首次公开发行股票招股说明书</v>
      </c>
      <c r="F600" t="s">
        <v>1482</v>
      </c>
    </row>
    <row r="601" spans="1:6" x14ac:dyDescent="0.15">
      <c r="A601" s="1">
        <v>41045</v>
      </c>
      <c r="B601" t="s">
        <v>121</v>
      </c>
      <c r="C601" t="s">
        <v>564</v>
      </c>
      <c r="D601" t="s">
        <v>471</v>
      </c>
      <c r="E601" s="4" t="str">
        <f>HYPERLINK("http://snap.windin.com/ns/bulletin.php?id=1905853&amp;type=1", "硕贝德:首次公开发行股票并在创业板上市招股意向书")</f>
        <v>硕贝德:首次公开发行股票并在创业板上市招股意向书</v>
      </c>
      <c r="F601" t="s">
        <v>1483</v>
      </c>
    </row>
    <row r="602" spans="1:6" x14ac:dyDescent="0.15">
      <c r="A602" s="1">
        <v>41045</v>
      </c>
      <c r="B602" t="s">
        <v>123</v>
      </c>
      <c r="C602" t="s">
        <v>566</v>
      </c>
      <c r="D602" t="s">
        <v>465</v>
      </c>
      <c r="E602" s="4" t="str">
        <f>HYPERLINK("http://snap.windin.com/ns/bulletin.php?id=942365&amp;type=1", "黄海机械:首次公开发行股票招股意向书")</f>
        <v>黄海机械:首次公开发行股票招股意向书</v>
      </c>
      <c r="F602" t="s">
        <v>1484</v>
      </c>
    </row>
    <row r="603" spans="1:6" x14ac:dyDescent="0.15">
      <c r="A603" s="1">
        <v>41045</v>
      </c>
      <c r="B603" t="s">
        <v>123</v>
      </c>
      <c r="C603" t="s">
        <v>566</v>
      </c>
      <c r="D603" t="s">
        <v>466</v>
      </c>
      <c r="E603" s="4" t="str">
        <f>HYPERLINK("http://snap.windin.com/ns/bulletin.php?id=961904&amp;type=1", "黄海机械:首次公开发行股票招股意向书摘要")</f>
        <v>黄海机械:首次公开发行股票招股意向书摘要</v>
      </c>
      <c r="F603" t="s">
        <v>1485</v>
      </c>
    </row>
    <row r="604" spans="1:6" x14ac:dyDescent="0.15">
      <c r="A604" s="1">
        <v>41044</v>
      </c>
      <c r="B604" t="s">
        <v>119</v>
      </c>
      <c r="C604" t="s">
        <v>562</v>
      </c>
      <c r="D604" t="s">
        <v>465</v>
      </c>
      <c r="E604" s="4" t="str">
        <f>HYPERLINK("http://snap.windin.com/ns/bulletin.php?id=1577543&amp;type=1", "中国汽研:首次公开发行股票招股意向书")</f>
        <v>中国汽研:首次公开发行股票招股意向书</v>
      </c>
      <c r="F604" t="s">
        <v>1486</v>
      </c>
    </row>
    <row r="605" spans="1:6" x14ac:dyDescent="0.15">
      <c r="A605" s="1">
        <v>41044</v>
      </c>
      <c r="B605" t="s">
        <v>119</v>
      </c>
      <c r="C605" t="s">
        <v>562</v>
      </c>
      <c r="D605" t="s">
        <v>522</v>
      </c>
      <c r="E605" s="4" t="str">
        <f>HYPERLINK("http://snap.windin.com/ns/bulletin.php?id=779283&amp;type=1", "中国汽研:首次公开发行股票招股意向书附录二")</f>
        <v>中国汽研:首次公开发行股票招股意向书附录二</v>
      </c>
      <c r="F605" t="s">
        <v>1487</v>
      </c>
    </row>
    <row r="606" spans="1:6" x14ac:dyDescent="0.15">
      <c r="A606" s="1">
        <v>41044</v>
      </c>
      <c r="B606" t="s">
        <v>119</v>
      </c>
      <c r="C606" t="s">
        <v>562</v>
      </c>
      <c r="D606" t="s">
        <v>521</v>
      </c>
      <c r="E606" s="4" t="str">
        <f>HYPERLINK("http://snap.windin.com/ns/bulletin.php?id=230537&amp;type=1", "中国汽研:首次公开发行股票招股意向书附录三")</f>
        <v>中国汽研:首次公开发行股票招股意向书附录三</v>
      </c>
      <c r="F606" t="s">
        <v>1488</v>
      </c>
    </row>
    <row r="607" spans="1:6" x14ac:dyDescent="0.15">
      <c r="A607" s="1">
        <v>41044</v>
      </c>
      <c r="B607" t="s">
        <v>119</v>
      </c>
      <c r="C607" t="s">
        <v>562</v>
      </c>
      <c r="D607" t="s">
        <v>520</v>
      </c>
      <c r="E607" s="4" t="str">
        <f>HYPERLINK("http://snap.windin.com/ns/bulletin.php?id=947064&amp;type=1", "中国汽研:首次公开发行股票招股意向书附录一")</f>
        <v>中国汽研:首次公开发行股票招股意向书附录一</v>
      </c>
      <c r="F607" t="s">
        <v>1489</v>
      </c>
    </row>
    <row r="608" spans="1:6" x14ac:dyDescent="0.15">
      <c r="A608" s="1">
        <v>41044</v>
      </c>
      <c r="B608" t="s">
        <v>119</v>
      </c>
      <c r="C608" t="s">
        <v>562</v>
      </c>
      <c r="D608" t="s">
        <v>466</v>
      </c>
      <c r="E608" s="4" t="str">
        <f>HYPERLINK("http://snap.windin.com/ns/bulletin.php?id=1706098&amp;type=1", "中国汽研:首次公开发行股票招股意向书摘要")</f>
        <v>中国汽研:首次公开发行股票招股意向书摘要</v>
      </c>
      <c r="F608" t="s">
        <v>1490</v>
      </c>
    </row>
    <row r="609" spans="1:6" x14ac:dyDescent="0.15">
      <c r="A609" s="1">
        <v>41044</v>
      </c>
      <c r="B609" t="s">
        <v>122</v>
      </c>
      <c r="C609" t="s">
        <v>565</v>
      </c>
      <c r="D609" t="s">
        <v>465</v>
      </c>
      <c r="E609" s="4" t="str">
        <f>HYPERLINK("http://snap.windin.com/ns/bulletin.php?id=1697855&amp;type=1", "奋达科技:首次公开发行股票招股意向书")</f>
        <v>奋达科技:首次公开发行股票招股意向书</v>
      </c>
      <c r="F609" t="s">
        <v>1491</v>
      </c>
    </row>
    <row r="610" spans="1:6" x14ac:dyDescent="0.15">
      <c r="A610" s="1">
        <v>41044</v>
      </c>
      <c r="B610" t="s">
        <v>122</v>
      </c>
      <c r="C610" t="s">
        <v>565</v>
      </c>
      <c r="D610" t="s">
        <v>466</v>
      </c>
      <c r="E610" s="4" t="str">
        <f>HYPERLINK("http://snap.windin.com/ns/bulletin.php?id=1754041&amp;type=1", "奋达科技:首次公开发行股票招股意向书摘要")</f>
        <v>奋达科技:首次公开发行股票招股意向书摘要</v>
      </c>
      <c r="F610" t="s">
        <v>1492</v>
      </c>
    </row>
    <row r="611" spans="1:6" x14ac:dyDescent="0.15">
      <c r="A611" s="1">
        <v>41043</v>
      </c>
      <c r="B611" t="s">
        <v>126</v>
      </c>
      <c r="C611" t="s">
        <v>569</v>
      </c>
      <c r="D611" t="s">
        <v>471</v>
      </c>
      <c r="E611" s="4" t="str">
        <f>HYPERLINK("http://snap.windin.com/ns/bulletin.php?id=1321341&amp;type=1", "德威新材:首次公开发行股票并在创业板上市招股意向书")</f>
        <v>德威新材:首次公开发行股票并在创业板上市招股意向书</v>
      </c>
      <c r="F611" t="s">
        <v>1493</v>
      </c>
    </row>
    <row r="612" spans="1:6" x14ac:dyDescent="0.15">
      <c r="A612" s="1">
        <v>41043</v>
      </c>
      <c r="B612" t="s">
        <v>120</v>
      </c>
      <c r="C612" t="s">
        <v>563</v>
      </c>
      <c r="D612" t="s">
        <v>471</v>
      </c>
      <c r="E612" s="4" t="str">
        <f>HYPERLINK("http://snap.windin.com/ns/bulletin.php?id=1825200&amp;type=1", "旋极信息:首次公开发行股票并在创业板上市招股意向书")</f>
        <v>旋极信息:首次公开发行股票并在创业板上市招股意向书</v>
      </c>
      <c r="F612" t="s">
        <v>1494</v>
      </c>
    </row>
    <row r="613" spans="1:6" x14ac:dyDescent="0.15">
      <c r="A613" s="1">
        <v>41043</v>
      </c>
      <c r="B613" t="s">
        <v>134</v>
      </c>
      <c r="C613" t="s">
        <v>580</v>
      </c>
      <c r="D613" t="s">
        <v>455</v>
      </c>
      <c r="E613" s="4" t="str">
        <f>HYPERLINK("http://snap.windin.com/ns/bulletin.php?id=885978&amp;type=1", "麦捷科技:首次公开发行股票并在创业板上市招股说明书")</f>
        <v>麦捷科技:首次公开发行股票并在创业板上市招股说明书</v>
      </c>
      <c r="F613" t="s">
        <v>1495</v>
      </c>
    </row>
    <row r="614" spans="1:6" x14ac:dyDescent="0.15">
      <c r="A614" s="1">
        <v>41043</v>
      </c>
      <c r="B614" t="s">
        <v>133</v>
      </c>
      <c r="C614" t="s">
        <v>579</v>
      </c>
      <c r="D614" t="s">
        <v>455</v>
      </c>
      <c r="E614" s="4" t="str">
        <f>HYPERLINK("http://snap.windin.com/ns/bulletin.php?id=1262754&amp;type=1", "博晖创新:首次公开发行股票并在创业板上市招股说明书")</f>
        <v>博晖创新:首次公开发行股票并在创业板上市招股说明书</v>
      </c>
      <c r="F614" t="s">
        <v>1496</v>
      </c>
    </row>
    <row r="615" spans="1:6" x14ac:dyDescent="0.15">
      <c r="A615" s="1">
        <v>41043</v>
      </c>
      <c r="B615" t="s">
        <v>131</v>
      </c>
      <c r="C615" t="s">
        <v>577</v>
      </c>
      <c r="D615" t="s">
        <v>399</v>
      </c>
      <c r="E615" s="4" t="str">
        <f>HYPERLINK("http://snap.windin.com/ns/bulletin.php?id=829065&amp;type=1", "顺威股份:首次公开发行股票招股说明书")</f>
        <v>顺威股份:首次公开发行股票招股说明书</v>
      </c>
      <c r="F615" t="s">
        <v>1497</v>
      </c>
    </row>
    <row r="616" spans="1:6" x14ac:dyDescent="0.15">
      <c r="A616" s="1">
        <v>41043</v>
      </c>
      <c r="B616" t="s">
        <v>131</v>
      </c>
      <c r="C616" t="s">
        <v>577</v>
      </c>
      <c r="D616" t="s">
        <v>400</v>
      </c>
      <c r="E616" s="4" t="str">
        <f>HYPERLINK("http://snap.windin.com/ns/bulletin.php?id=589673&amp;type=1", "顺威股份:首次公开发行股票招股说明书摘要")</f>
        <v>顺威股份:首次公开发行股票招股说明书摘要</v>
      </c>
      <c r="F616" t="s">
        <v>1498</v>
      </c>
    </row>
    <row r="617" spans="1:6" x14ac:dyDescent="0.15">
      <c r="A617" s="1">
        <v>41043</v>
      </c>
      <c r="B617" t="s">
        <v>130</v>
      </c>
      <c r="C617" t="s">
        <v>576</v>
      </c>
      <c r="D617" t="s">
        <v>469</v>
      </c>
      <c r="E617" s="4" t="str">
        <f>HYPERLINK("http://snap.windin.com/ns/bulletin.php?id=1557557&amp;type=1", "东诚生化:首次公开发行股票并上市招股说明书")</f>
        <v>东诚生化:首次公开发行股票并上市招股说明书</v>
      </c>
      <c r="F617" t="s">
        <v>1499</v>
      </c>
    </row>
    <row r="618" spans="1:6" x14ac:dyDescent="0.15">
      <c r="A618" s="1">
        <v>41043</v>
      </c>
      <c r="B618" t="s">
        <v>130</v>
      </c>
      <c r="C618" t="s">
        <v>576</v>
      </c>
      <c r="D618" t="s">
        <v>468</v>
      </c>
      <c r="E618" s="4" t="str">
        <f>HYPERLINK("http://snap.windin.com/ns/bulletin.php?id=119135&amp;type=1", "东诚生化:首次公开发行股票并上市招股说明书摘要")</f>
        <v>东诚生化:首次公开发行股票并上市招股说明书摘要</v>
      </c>
      <c r="F618" t="s">
        <v>1500</v>
      </c>
    </row>
    <row r="619" spans="1:6" x14ac:dyDescent="0.15">
      <c r="A619" s="1">
        <v>41040</v>
      </c>
      <c r="B619" t="s">
        <v>125</v>
      </c>
      <c r="C619" t="s">
        <v>568</v>
      </c>
      <c r="D619" t="s">
        <v>471</v>
      </c>
      <c r="E619" s="4" t="str">
        <f>HYPERLINK("http://snap.windin.com/ns/bulletin.php?id=873433&amp;type=1", "华灿光电:首次公开发行股票并在创业板上市招股意向书")</f>
        <v>华灿光电:首次公开发行股票并在创业板上市招股意向书</v>
      </c>
      <c r="F619" t="s">
        <v>1501</v>
      </c>
    </row>
    <row r="620" spans="1:6" x14ac:dyDescent="0.15">
      <c r="A620" s="1">
        <v>41040</v>
      </c>
      <c r="B620" t="s">
        <v>135</v>
      </c>
      <c r="C620" t="s">
        <v>581</v>
      </c>
      <c r="D620" t="s">
        <v>455</v>
      </c>
      <c r="E620" s="4" t="str">
        <f>HYPERLINK("http://snap.windin.com/ns/bulletin.php?id=950969&amp;type=1", "同大股份:首次公开发行股票并在创业板上市招股说明书")</f>
        <v>同大股份:首次公开发行股票并在创业板上市招股说明书</v>
      </c>
      <c r="F620" t="s">
        <v>1502</v>
      </c>
    </row>
    <row r="621" spans="1:6" x14ac:dyDescent="0.15">
      <c r="A621" s="1">
        <v>41040</v>
      </c>
      <c r="B621" t="s">
        <v>124</v>
      </c>
      <c r="C621" t="s">
        <v>567</v>
      </c>
      <c r="D621" t="s">
        <v>465</v>
      </c>
      <c r="E621" s="4" t="str">
        <f>HYPERLINK("http://snap.windin.com/ns/bulletin.php?id=769625&amp;type=1", "福建金森:首次公开发行股票招股意向书")</f>
        <v>福建金森:首次公开发行股票招股意向书</v>
      </c>
      <c r="F621" t="s">
        <v>1503</v>
      </c>
    </row>
    <row r="622" spans="1:6" x14ac:dyDescent="0.15">
      <c r="A622" s="1">
        <v>41040</v>
      </c>
      <c r="B622" t="s">
        <v>124</v>
      </c>
      <c r="C622" t="s">
        <v>567</v>
      </c>
      <c r="D622" t="s">
        <v>466</v>
      </c>
      <c r="E622" s="4" t="str">
        <f>HYPERLINK("http://snap.windin.com/ns/bulletin.php?id=1117410&amp;type=1", "福建金森:首次公开发行股票招股意向书摘要")</f>
        <v>福建金森:首次公开发行股票招股意向书摘要</v>
      </c>
      <c r="F622" t="s">
        <v>1504</v>
      </c>
    </row>
    <row r="623" spans="1:6" x14ac:dyDescent="0.15">
      <c r="A623" s="1">
        <v>41040</v>
      </c>
      <c r="B623" t="s">
        <v>128</v>
      </c>
      <c r="C623" t="s">
        <v>572</v>
      </c>
      <c r="D623" t="s">
        <v>465</v>
      </c>
      <c r="E623" s="4" t="str">
        <f>HYPERLINK("http://snap.windin.com/ns/bulletin.php?id=1015760&amp;type=1", "珠江钢琴:首次公开发行股票招股意向书")</f>
        <v>珠江钢琴:首次公开发行股票招股意向书</v>
      </c>
      <c r="F623" t="s">
        <v>1505</v>
      </c>
    </row>
    <row r="624" spans="1:6" x14ac:dyDescent="0.15">
      <c r="A624" s="1">
        <v>41040</v>
      </c>
      <c r="B624" t="s">
        <v>128</v>
      </c>
      <c r="C624" t="s">
        <v>572</v>
      </c>
      <c r="D624" t="s">
        <v>466</v>
      </c>
      <c r="E624" s="4" t="str">
        <f>HYPERLINK("http://snap.windin.com/ns/bulletin.php?id=912617&amp;type=1", "珠江钢琴:首次公开发行股票招股意向书摘要")</f>
        <v>珠江钢琴:首次公开发行股票招股意向书摘要</v>
      </c>
      <c r="F624" t="s">
        <v>1506</v>
      </c>
    </row>
    <row r="625" spans="1:6" x14ac:dyDescent="0.15">
      <c r="A625" s="1">
        <v>41040</v>
      </c>
      <c r="B625" t="s">
        <v>132</v>
      </c>
      <c r="C625" t="s">
        <v>578</v>
      </c>
      <c r="D625" t="s">
        <v>399</v>
      </c>
      <c r="E625" s="4" t="str">
        <f>HYPERLINK("http://snap.windin.com/ns/bulletin.php?id=1712186&amp;type=1", "浙江美大:首次公开发行股票招股说明书")</f>
        <v>浙江美大:首次公开发行股票招股说明书</v>
      </c>
      <c r="F625" t="s">
        <v>1507</v>
      </c>
    </row>
    <row r="626" spans="1:6" x14ac:dyDescent="0.15">
      <c r="A626" s="1">
        <v>41040</v>
      </c>
      <c r="B626" t="s">
        <v>132</v>
      </c>
      <c r="C626" t="s">
        <v>578</v>
      </c>
      <c r="D626" t="s">
        <v>400</v>
      </c>
      <c r="E626" s="4" t="str">
        <f>HYPERLINK("http://snap.windin.com/ns/bulletin.php?id=537669&amp;type=1", "浙江美大:首次公开发行股票招股说明书摘要")</f>
        <v>浙江美大:首次公开发行股票招股说明书摘要</v>
      </c>
      <c r="F626" t="s">
        <v>1508</v>
      </c>
    </row>
    <row r="627" spans="1:6" x14ac:dyDescent="0.15">
      <c r="A627" s="1">
        <v>41039</v>
      </c>
      <c r="B627" t="s">
        <v>139</v>
      </c>
      <c r="C627" t="s">
        <v>586</v>
      </c>
      <c r="D627" t="s">
        <v>417</v>
      </c>
      <c r="E627" s="4" t="str">
        <f>HYPERLINK("http://snap.windin.com/ns/bulletin.php?id=1540041&amp;type=1", "珈伟股份:首次公开发行股票并在创业板上市公告书")</f>
        <v>珈伟股份:首次公开发行股票并在创业板上市公告书</v>
      </c>
      <c r="F627" t="s">
        <v>1509</v>
      </c>
    </row>
    <row r="628" spans="1:6" x14ac:dyDescent="0.15">
      <c r="A628" s="1">
        <v>41039</v>
      </c>
      <c r="B628" t="s">
        <v>139</v>
      </c>
      <c r="C628" t="s">
        <v>586</v>
      </c>
      <c r="D628" t="s">
        <v>587</v>
      </c>
      <c r="E628" s="4" t="str">
        <f>HYPERLINK("http://snap.windin.com/ns/bulletin.php?id=1726583&amp;type=1", "珈伟股份:首次公开发行股票并在创业板上市公告书提示公告")</f>
        <v>珈伟股份:首次公开发行股票并在创业板上市公告书提示公告</v>
      </c>
      <c r="F628" t="s">
        <v>1510</v>
      </c>
    </row>
    <row r="629" spans="1:6" x14ac:dyDescent="0.15">
      <c r="A629" s="1">
        <v>41039</v>
      </c>
      <c r="B629" t="s">
        <v>141</v>
      </c>
      <c r="C629" t="s">
        <v>589</v>
      </c>
      <c r="D629" t="s">
        <v>412</v>
      </c>
      <c r="E629" s="4" t="str">
        <f>HYPERLINK("http://snap.windin.com/ns/bulletin.php?id=1314590&amp;type=1", "晶盛机电:首次公开发行股票并在创业板上市上市公告书")</f>
        <v>晶盛机电:首次公开发行股票并在创业板上市上市公告书</v>
      </c>
      <c r="F629" t="s">
        <v>1511</v>
      </c>
    </row>
    <row r="630" spans="1:6" x14ac:dyDescent="0.15">
      <c r="A630" s="1">
        <v>41039</v>
      </c>
      <c r="B630" t="s">
        <v>140</v>
      </c>
      <c r="C630" t="s">
        <v>588</v>
      </c>
      <c r="D630" t="s">
        <v>417</v>
      </c>
      <c r="E630" s="4" t="str">
        <f>HYPERLINK("http://snap.windin.com/ns/bulletin.php?id=1685455&amp;type=1", "掌趣科技:首次公开发行股票并在创业板上市公告书")</f>
        <v>掌趣科技:首次公开发行股票并在创业板上市公告书</v>
      </c>
      <c r="F630" t="s">
        <v>1512</v>
      </c>
    </row>
    <row r="631" spans="1:6" x14ac:dyDescent="0.15">
      <c r="A631" s="1">
        <v>41039</v>
      </c>
      <c r="B631" t="s">
        <v>140</v>
      </c>
      <c r="C631" t="s">
        <v>588</v>
      </c>
      <c r="D631" t="s">
        <v>383</v>
      </c>
      <c r="E631" s="4" t="str">
        <f>HYPERLINK("http://snap.windin.com/ns/bulletin.php?id=1238050&amp;type=1", "掌趣科技:首次公开发行股票并在创业板上市上市公告书提示性公告")</f>
        <v>掌趣科技:首次公开发行股票并在创业板上市上市公告书提示性公告</v>
      </c>
      <c r="F631" t="s">
        <v>1513</v>
      </c>
    </row>
    <row r="632" spans="1:6" x14ac:dyDescent="0.15">
      <c r="A632" s="1">
        <v>41037</v>
      </c>
      <c r="B632" t="s">
        <v>129</v>
      </c>
      <c r="C632" t="s">
        <v>574</v>
      </c>
      <c r="D632" t="s">
        <v>465</v>
      </c>
      <c r="E632" s="4" t="str">
        <f>HYPERLINK("http://snap.windin.com/ns/bulletin.php?id=2023507&amp;type=1", "华贸物流:首次公开发行股票招股意向书")</f>
        <v>华贸物流:首次公开发行股票招股意向书</v>
      </c>
      <c r="F632" t="s">
        <v>1514</v>
      </c>
    </row>
    <row r="633" spans="1:6" x14ac:dyDescent="0.15">
      <c r="A633" s="1">
        <v>41037</v>
      </c>
      <c r="B633" t="s">
        <v>129</v>
      </c>
      <c r="C633" t="s">
        <v>574</v>
      </c>
      <c r="D633" t="s">
        <v>522</v>
      </c>
      <c r="E633" s="4" t="str">
        <f>HYPERLINK("http://snap.windin.com/ns/bulletin.php?id=1731350&amp;type=1", "华贸物流:首次公开发行股票招股意向书附录二")</f>
        <v>华贸物流:首次公开发行股票招股意向书附录二</v>
      </c>
      <c r="F633" t="s">
        <v>1515</v>
      </c>
    </row>
    <row r="634" spans="1:6" x14ac:dyDescent="0.15">
      <c r="A634" s="1">
        <v>41037</v>
      </c>
      <c r="B634" t="s">
        <v>129</v>
      </c>
      <c r="C634" t="s">
        <v>574</v>
      </c>
      <c r="D634" t="s">
        <v>521</v>
      </c>
      <c r="E634" s="4" t="str">
        <f>HYPERLINK("http://snap.windin.com/ns/bulletin.php?id=1238052&amp;type=1", "华贸物流:首次公开发行股票招股意向书附录三")</f>
        <v>华贸物流:首次公开发行股票招股意向书附录三</v>
      </c>
      <c r="F634" t="s">
        <v>1516</v>
      </c>
    </row>
    <row r="635" spans="1:6" x14ac:dyDescent="0.15">
      <c r="A635" s="1">
        <v>41037</v>
      </c>
      <c r="B635" t="s">
        <v>129</v>
      </c>
      <c r="C635" t="s">
        <v>574</v>
      </c>
      <c r="D635" t="s">
        <v>520</v>
      </c>
      <c r="E635" s="4" t="str">
        <f>HYPERLINK("http://snap.windin.com/ns/bulletin.php?id=2008389&amp;type=1", "华贸物流:首次公开发行股票招股意向书附录一")</f>
        <v>华贸物流:首次公开发行股票招股意向书附录一</v>
      </c>
      <c r="F635" t="s">
        <v>1517</v>
      </c>
    </row>
    <row r="636" spans="1:6" x14ac:dyDescent="0.15">
      <c r="A636" s="1">
        <v>41037</v>
      </c>
      <c r="B636" t="s">
        <v>129</v>
      </c>
      <c r="C636" t="s">
        <v>574</v>
      </c>
      <c r="D636" t="s">
        <v>466</v>
      </c>
      <c r="E636" s="4" t="str">
        <f>HYPERLINK("http://snap.windin.com/ns/bulletin.php?id=89613&amp;type=1", "华贸物流:首次公开发行股票招股意向书摘要")</f>
        <v>华贸物流:首次公开发行股票招股意向书摘要</v>
      </c>
      <c r="F636" t="s">
        <v>1518</v>
      </c>
    </row>
    <row r="637" spans="1:6" x14ac:dyDescent="0.15">
      <c r="A637" s="1">
        <v>41036</v>
      </c>
      <c r="B637" t="s">
        <v>142</v>
      </c>
      <c r="C637" t="s">
        <v>590</v>
      </c>
      <c r="D637" t="s">
        <v>407</v>
      </c>
      <c r="E637" s="4" t="str">
        <f>HYPERLINK("http://snap.windin.com/ns/bulletin.php?id=405704&amp;type=1", "戴维医疗:首次公开发行股票并在创业板上市公告书提示性公告")</f>
        <v>戴维医疗:首次公开发行股票并在创业板上市公告书提示性公告</v>
      </c>
      <c r="F637" t="s">
        <v>1519</v>
      </c>
    </row>
    <row r="638" spans="1:6" x14ac:dyDescent="0.15">
      <c r="A638" s="1">
        <v>41036</v>
      </c>
      <c r="B638" t="s">
        <v>142</v>
      </c>
      <c r="C638" t="s">
        <v>590</v>
      </c>
      <c r="D638" t="s">
        <v>389</v>
      </c>
      <c r="E638" s="4" t="str">
        <f>HYPERLINK("http://snap.windin.com/ns/bulletin.php?id=1558468&amp;type=1", "戴维医疗:首次公开发行股票上市公告书")</f>
        <v>戴维医疗:首次公开发行股票上市公告书</v>
      </c>
      <c r="F638" t="s">
        <v>1520</v>
      </c>
    </row>
    <row r="639" spans="1:6" x14ac:dyDescent="0.15">
      <c r="A639" s="1">
        <v>41036</v>
      </c>
      <c r="B639" t="s">
        <v>143</v>
      </c>
      <c r="C639" t="s">
        <v>591</v>
      </c>
      <c r="D639" t="s">
        <v>412</v>
      </c>
      <c r="E639" s="4" t="str">
        <f>HYPERLINK("http://snap.windin.com/ns/bulletin.php?id=597665&amp;type=1", "邦讯技术:首次公开发行股票并在创业板上市上市公告书")</f>
        <v>邦讯技术:首次公开发行股票并在创业板上市上市公告书</v>
      </c>
      <c r="F639" t="s">
        <v>1521</v>
      </c>
    </row>
    <row r="640" spans="1:6" x14ac:dyDescent="0.15">
      <c r="A640" s="1">
        <v>41036</v>
      </c>
      <c r="B640" t="s">
        <v>143</v>
      </c>
      <c r="C640" t="s">
        <v>591</v>
      </c>
      <c r="D640" t="s">
        <v>383</v>
      </c>
      <c r="E640" s="4" t="str">
        <f>HYPERLINK("http://snap.windin.com/ns/bulletin.php?id=786236&amp;type=1", "邦讯技术:首次公开发行股票并在创业板上市上市公告书提示性公告")</f>
        <v>邦讯技术:首次公开发行股票并在创业板上市上市公告书提示性公告</v>
      </c>
      <c r="F640" t="s">
        <v>1522</v>
      </c>
    </row>
    <row r="641" spans="1:6" x14ac:dyDescent="0.15">
      <c r="A641" s="1">
        <v>41033</v>
      </c>
      <c r="B641" t="s">
        <v>144</v>
      </c>
      <c r="C641" t="s">
        <v>592</v>
      </c>
      <c r="D641" t="s">
        <v>402</v>
      </c>
      <c r="E641" s="4" t="str">
        <f>HYPERLINK("http://snap.windin.com/ns/bulletin.php?id=566226&amp;type=1", "明星电缆:首次公开发行A股股票上市公告书")</f>
        <v>明星电缆:首次公开发行A股股票上市公告书</v>
      </c>
      <c r="F641" t="s">
        <v>1523</v>
      </c>
    </row>
    <row r="642" spans="1:6" x14ac:dyDescent="0.15">
      <c r="A642" s="1">
        <v>41033</v>
      </c>
      <c r="B642" t="s">
        <v>144</v>
      </c>
      <c r="C642" t="s">
        <v>592</v>
      </c>
      <c r="D642" t="s">
        <v>399</v>
      </c>
      <c r="E642" s="4" t="str">
        <f>HYPERLINK("http://snap.windin.com/ns/bulletin.php?id=859228&amp;type=1", "明星电缆:首次公开发行股票招股说明书")</f>
        <v>明星电缆:首次公开发行股票招股说明书</v>
      </c>
      <c r="F642" t="s">
        <v>1524</v>
      </c>
    </row>
    <row r="643" spans="1:6" x14ac:dyDescent="0.15">
      <c r="A643" s="1">
        <v>41033</v>
      </c>
      <c r="B643" t="s">
        <v>132</v>
      </c>
      <c r="C643" t="s">
        <v>578</v>
      </c>
      <c r="D643" t="s">
        <v>465</v>
      </c>
      <c r="E643" s="4" t="str">
        <f>HYPERLINK("http://snap.windin.com/ns/bulletin.php?id=445462&amp;type=1", "浙江美大:首次公开发行股票招股意向书")</f>
        <v>浙江美大:首次公开发行股票招股意向书</v>
      </c>
      <c r="F643" t="s">
        <v>1525</v>
      </c>
    </row>
    <row r="644" spans="1:6" x14ac:dyDescent="0.15">
      <c r="A644" s="1">
        <v>41033</v>
      </c>
      <c r="B644" t="s">
        <v>132</v>
      </c>
      <c r="C644" t="s">
        <v>578</v>
      </c>
      <c r="D644" t="s">
        <v>466</v>
      </c>
      <c r="E644" s="4" t="str">
        <f>HYPERLINK("http://snap.windin.com/ns/bulletin.php?id=553357&amp;type=1", "浙江美大:首次公开发行股票招股意向书摘要")</f>
        <v>浙江美大:首次公开发行股票招股意向书摘要</v>
      </c>
      <c r="F644" t="s">
        <v>1526</v>
      </c>
    </row>
    <row r="645" spans="1:6" x14ac:dyDescent="0.15">
      <c r="A645" s="1">
        <v>41033</v>
      </c>
      <c r="B645" t="s">
        <v>131</v>
      </c>
      <c r="C645" t="s">
        <v>577</v>
      </c>
      <c r="D645" t="s">
        <v>465</v>
      </c>
      <c r="E645" s="4" t="str">
        <f>HYPERLINK("http://snap.windin.com/ns/bulletin.php?id=1950050&amp;type=1", "顺威股份:首次公开发行股票招股意向书")</f>
        <v>顺威股份:首次公开发行股票招股意向书</v>
      </c>
      <c r="F645" t="s">
        <v>1527</v>
      </c>
    </row>
    <row r="646" spans="1:6" x14ac:dyDescent="0.15">
      <c r="A646" s="1">
        <v>41033</v>
      </c>
      <c r="B646" t="s">
        <v>131</v>
      </c>
      <c r="C646" t="s">
        <v>577</v>
      </c>
      <c r="D646" t="s">
        <v>466</v>
      </c>
      <c r="E646" s="4" t="str">
        <f>HYPERLINK("http://snap.windin.com/ns/bulletin.php?id=2126810&amp;type=1", "顺威股份:首次公开发行股票招股意向书摘要")</f>
        <v>顺威股份:首次公开发行股票招股意向书摘要</v>
      </c>
      <c r="F646" t="s">
        <v>1528</v>
      </c>
    </row>
    <row r="647" spans="1:6" x14ac:dyDescent="0.15">
      <c r="A647" s="1">
        <v>41033</v>
      </c>
      <c r="B647" t="s">
        <v>130</v>
      </c>
      <c r="C647" t="s">
        <v>576</v>
      </c>
      <c r="D647" t="s">
        <v>478</v>
      </c>
      <c r="E647" s="4" t="str">
        <f>HYPERLINK("http://snap.windin.com/ns/bulletin.php?id=417111&amp;type=1", "东诚生化:首次公开发行股票并上市招股意向书")</f>
        <v>东诚生化:首次公开发行股票并上市招股意向书</v>
      </c>
      <c r="F647" t="s">
        <v>1529</v>
      </c>
    </row>
    <row r="648" spans="1:6" x14ac:dyDescent="0.15">
      <c r="A648" s="1">
        <v>41033</v>
      </c>
      <c r="B648" t="s">
        <v>130</v>
      </c>
      <c r="C648" t="s">
        <v>576</v>
      </c>
      <c r="D648" t="s">
        <v>477</v>
      </c>
      <c r="E648" s="4" t="str">
        <f>HYPERLINK("http://snap.windin.com/ns/bulletin.php?id=596802&amp;type=1", "东诚生化:首次公开发行股票并上市招股意向书摘要")</f>
        <v>东诚生化:首次公开发行股票并上市招股意向书摘要</v>
      </c>
      <c r="F648" t="s">
        <v>1530</v>
      </c>
    </row>
    <row r="649" spans="1:6" x14ac:dyDescent="0.15">
      <c r="A649" s="1">
        <v>41033</v>
      </c>
      <c r="B649" t="s">
        <v>145</v>
      </c>
      <c r="C649" t="s">
        <v>593</v>
      </c>
      <c r="D649" t="s">
        <v>389</v>
      </c>
      <c r="E649" s="4" t="str">
        <f>HYPERLINK("http://snap.windin.com/ns/bulletin.php?id=448454&amp;type=1", "兴业科技:首次公开发行股票上市公告书")</f>
        <v>兴业科技:首次公开发行股票上市公告书</v>
      </c>
      <c r="F649" t="s">
        <v>1531</v>
      </c>
    </row>
    <row r="650" spans="1:6" x14ac:dyDescent="0.15">
      <c r="A650" s="1">
        <v>41031</v>
      </c>
      <c r="B650" t="s">
        <v>146</v>
      </c>
      <c r="C650" t="s">
        <v>594</v>
      </c>
      <c r="D650" t="s">
        <v>402</v>
      </c>
      <c r="E650" s="4" t="str">
        <f>HYPERLINK("http://snap.windin.com/ns/bulletin.php?id=1745348&amp;type=1", "翠微股份:首次公开发行A股股票上市公告书")</f>
        <v>翠微股份:首次公开发行A股股票上市公告书</v>
      </c>
      <c r="F650" t="s">
        <v>1532</v>
      </c>
    </row>
    <row r="651" spans="1:6" x14ac:dyDescent="0.15">
      <c r="A651" s="1">
        <v>41031</v>
      </c>
      <c r="B651" t="s">
        <v>146</v>
      </c>
      <c r="C651" t="s">
        <v>594</v>
      </c>
      <c r="D651" t="s">
        <v>399</v>
      </c>
      <c r="E651" s="4" t="str">
        <f>HYPERLINK("http://snap.windin.com/ns/bulletin.php?id=1246786&amp;type=1", "翠微股份:首次公开发行股票招股说明书")</f>
        <v>翠微股份:首次公开发行股票招股说明书</v>
      </c>
      <c r="F651" t="s">
        <v>1533</v>
      </c>
    </row>
    <row r="652" spans="1:6" x14ac:dyDescent="0.15">
      <c r="A652" s="1">
        <v>41031</v>
      </c>
      <c r="B652" t="s">
        <v>135</v>
      </c>
      <c r="C652" t="s">
        <v>581</v>
      </c>
      <c r="D652" t="s">
        <v>471</v>
      </c>
      <c r="E652" s="4" t="str">
        <f>HYPERLINK("http://snap.windin.com/ns/bulletin.php?id=1130120&amp;type=1", "同大股份:首次公开发行股票并在创业板上市招股意向书")</f>
        <v>同大股份:首次公开发行股票并在创业板上市招股意向书</v>
      </c>
      <c r="F652" t="s">
        <v>1534</v>
      </c>
    </row>
    <row r="653" spans="1:6" x14ac:dyDescent="0.15">
      <c r="A653" s="1">
        <v>41031</v>
      </c>
      <c r="B653" t="s">
        <v>134</v>
      </c>
      <c r="C653" t="s">
        <v>580</v>
      </c>
      <c r="D653" t="s">
        <v>471</v>
      </c>
      <c r="E653" s="4" t="str">
        <f>HYPERLINK("http://snap.windin.com/ns/bulletin.php?id=2122611&amp;type=1", "麦捷科技:首次公开发行股票并在创业板上市招股意向书")</f>
        <v>麦捷科技:首次公开发行股票并在创业板上市招股意向书</v>
      </c>
      <c r="F653" t="s">
        <v>1535</v>
      </c>
    </row>
    <row r="654" spans="1:6" x14ac:dyDescent="0.15">
      <c r="A654" s="1">
        <v>41031</v>
      </c>
      <c r="B654" t="s">
        <v>139</v>
      </c>
      <c r="C654" t="s">
        <v>586</v>
      </c>
      <c r="D654" t="s">
        <v>455</v>
      </c>
      <c r="E654" s="4" t="str">
        <f>HYPERLINK("http://snap.windin.com/ns/bulletin.php?id=825182&amp;type=1", "珈伟股份:首次公开发行股票并在创业板上市招股说明书")</f>
        <v>珈伟股份:首次公开发行股票并在创业板上市招股说明书</v>
      </c>
      <c r="F654" t="s">
        <v>1536</v>
      </c>
    </row>
    <row r="655" spans="1:6" x14ac:dyDescent="0.15">
      <c r="A655" s="1">
        <v>41031</v>
      </c>
      <c r="B655" t="s">
        <v>147</v>
      </c>
      <c r="C655" t="s">
        <v>595</v>
      </c>
      <c r="D655" t="s">
        <v>389</v>
      </c>
      <c r="E655" s="4" t="str">
        <f>HYPERLINK("http://snap.windin.com/ns/bulletin.php?id=686279&amp;type=1", "西部证券:首次公开发行股票上市公告书")</f>
        <v>西部证券:首次公开发行股票上市公告书</v>
      </c>
      <c r="F655" t="s">
        <v>1537</v>
      </c>
    </row>
    <row r="656" spans="1:6" x14ac:dyDescent="0.15">
      <c r="A656" s="1">
        <v>41026</v>
      </c>
      <c r="B656" t="s">
        <v>127</v>
      </c>
      <c r="C656" t="s">
        <v>570</v>
      </c>
      <c r="D656" t="s">
        <v>471</v>
      </c>
      <c r="E656" s="4" t="str">
        <f>HYPERLINK("http://snap.windin.com/ns/bulletin.php?id=1846756&amp;type=1", "海达股份:首次公开发行股票并在创业板上市招股意向书")</f>
        <v>海达股份:首次公开发行股票并在创业板上市招股意向书</v>
      </c>
      <c r="F656" t="s">
        <v>1538</v>
      </c>
    </row>
    <row r="657" spans="1:6" x14ac:dyDescent="0.15">
      <c r="A657" s="1">
        <v>41026</v>
      </c>
      <c r="B657" t="s">
        <v>133</v>
      </c>
      <c r="C657" t="s">
        <v>579</v>
      </c>
      <c r="D657" t="s">
        <v>471</v>
      </c>
      <c r="E657" s="4" t="str">
        <f>HYPERLINK("http://snap.windin.com/ns/bulletin.php?id=172409&amp;type=1", "博晖创新:首次公开发行股票并在创业板上市招股意向书")</f>
        <v>博晖创新:首次公开发行股票并在创业板上市招股意向书</v>
      </c>
      <c r="F657" t="s">
        <v>1539</v>
      </c>
    </row>
    <row r="658" spans="1:6" x14ac:dyDescent="0.15">
      <c r="A658" s="1">
        <v>41026</v>
      </c>
      <c r="B658" t="s">
        <v>141</v>
      </c>
      <c r="C658" t="s">
        <v>589</v>
      </c>
      <c r="D658" t="s">
        <v>455</v>
      </c>
      <c r="E658" s="4" t="str">
        <f>HYPERLINK("http://snap.windin.com/ns/bulletin.php?id=1237230&amp;type=1", "晶盛机电:首次公开发行股票并在创业板上市招股说明书")</f>
        <v>晶盛机电:首次公开发行股票并在创业板上市招股说明书</v>
      </c>
      <c r="F658" t="s">
        <v>1540</v>
      </c>
    </row>
    <row r="659" spans="1:6" x14ac:dyDescent="0.15">
      <c r="A659" s="1">
        <v>41026</v>
      </c>
      <c r="B659" t="s">
        <v>140</v>
      </c>
      <c r="C659" t="s">
        <v>588</v>
      </c>
      <c r="D659" t="s">
        <v>455</v>
      </c>
      <c r="E659" s="4" t="str">
        <f>HYPERLINK("http://snap.windin.com/ns/bulletin.php?id=1461048&amp;type=1", "掌趣科技:首次公开发行股票并在创业板上市招股说明书")</f>
        <v>掌趣科技:首次公开发行股票并在创业板上市招股说明书</v>
      </c>
      <c r="F659" t="s">
        <v>1541</v>
      </c>
    </row>
    <row r="660" spans="1:6" x14ac:dyDescent="0.15">
      <c r="A660" s="1">
        <v>41025</v>
      </c>
      <c r="B660" t="s">
        <v>149</v>
      </c>
      <c r="C660" t="s">
        <v>597</v>
      </c>
      <c r="D660" t="s">
        <v>402</v>
      </c>
      <c r="E660" s="4" t="str">
        <f>HYPERLINK("http://snap.windin.com/ns/bulletin.php?id=1257592&amp;type=1", "人民网:首次公开发行A股股票上市公告书")</f>
        <v>人民网:首次公开发行A股股票上市公告书</v>
      </c>
      <c r="F660" t="s">
        <v>1542</v>
      </c>
    </row>
    <row r="661" spans="1:6" x14ac:dyDescent="0.15">
      <c r="A661" s="1">
        <v>41025</v>
      </c>
      <c r="B661" t="s">
        <v>149</v>
      </c>
      <c r="C661" t="s">
        <v>597</v>
      </c>
      <c r="D661" t="s">
        <v>399</v>
      </c>
      <c r="E661" s="4" t="str">
        <f>HYPERLINK("http://snap.windin.com/ns/bulletin.php?id=1261651&amp;type=1", "人民网:首次公开发行股票招股说明书")</f>
        <v>人民网:首次公开发行股票招股说明书</v>
      </c>
      <c r="F661" t="s">
        <v>1543</v>
      </c>
    </row>
    <row r="662" spans="1:6" x14ac:dyDescent="0.15">
      <c r="A662" s="1">
        <v>41025</v>
      </c>
      <c r="B662" t="s">
        <v>148</v>
      </c>
      <c r="C662" t="s">
        <v>596</v>
      </c>
      <c r="D662" t="s">
        <v>598</v>
      </c>
      <c r="E662" s="4" t="str">
        <f>HYPERLINK("http://snap.windin.com/ns/bulletin.php?id=770532&amp;type=1", "N东江:关于《首次公开发行股票上市公告书》之更正公告")</f>
        <v>N东江:关于《首次公开发行股票上市公告书》之更正公告</v>
      </c>
      <c r="F662" t="s">
        <v>1544</v>
      </c>
    </row>
    <row r="663" spans="1:6" x14ac:dyDescent="0.15">
      <c r="A663" s="1">
        <v>41025</v>
      </c>
      <c r="B663" t="s">
        <v>148</v>
      </c>
      <c r="C663" t="s">
        <v>596</v>
      </c>
      <c r="D663" t="s">
        <v>546</v>
      </c>
      <c r="E663" s="4" t="str">
        <f>HYPERLINK("http://snap.windin.com/ns/bulletin.php?id=1621306&amp;type=1", "N东江:首次公开发行股票上市公告书（更新后）")</f>
        <v>N东江:首次公开发行股票上市公告书（更新后）</v>
      </c>
      <c r="F663" t="s">
        <v>1545</v>
      </c>
    </row>
    <row r="664" spans="1:6" x14ac:dyDescent="0.15">
      <c r="A664" s="1">
        <v>41024</v>
      </c>
      <c r="B664" t="s">
        <v>151</v>
      </c>
      <c r="C664" t="s">
        <v>600</v>
      </c>
      <c r="D664" t="s">
        <v>389</v>
      </c>
      <c r="E664" s="4" t="str">
        <f>HYPERLINK("http://snap.windin.com/ns/bulletin.php?id=638187&amp;type=1", "奥康国际:首次公开发行股票上市公告书")</f>
        <v>奥康国际:首次公开发行股票上市公告书</v>
      </c>
      <c r="F664" t="s">
        <v>1546</v>
      </c>
    </row>
    <row r="665" spans="1:6" x14ac:dyDescent="0.15">
      <c r="A665" s="1">
        <v>41024</v>
      </c>
      <c r="B665" t="s">
        <v>151</v>
      </c>
      <c r="C665" t="s">
        <v>600</v>
      </c>
      <c r="D665" t="s">
        <v>399</v>
      </c>
      <c r="E665" s="4" t="str">
        <f>HYPERLINK("http://snap.windin.com/ns/bulletin.php?id=810903&amp;type=1", "奥康国际:首次公开发行股票招股说明书")</f>
        <v>奥康国际:首次公开发行股票招股说明书</v>
      </c>
      <c r="F665" t="s">
        <v>1547</v>
      </c>
    </row>
    <row r="666" spans="1:6" x14ac:dyDescent="0.15">
      <c r="A666" s="1">
        <v>41024</v>
      </c>
      <c r="B666" t="s">
        <v>148</v>
      </c>
      <c r="C666" t="s">
        <v>601</v>
      </c>
      <c r="D666" t="s">
        <v>389</v>
      </c>
      <c r="E666" s="4" t="str">
        <f>HYPERLINK("http://snap.windin.com/ns/bulletin.php?id=658585&amp;type=1", "东江环保:首次公开发行股票上市公告书")</f>
        <v>东江环保:首次公开发行股票上市公告书</v>
      </c>
      <c r="F666" t="s">
        <v>1548</v>
      </c>
    </row>
    <row r="667" spans="1:6" x14ac:dyDescent="0.15">
      <c r="A667" s="1">
        <v>41024</v>
      </c>
      <c r="B667" t="s">
        <v>150</v>
      </c>
      <c r="C667" t="s">
        <v>599</v>
      </c>
      <c r="D667" t="s">
        <v>389</v>
      </c>
      <c r="E667" s="4" t="str">
        <f>HYPERLINK("http://snap.windin.com/ns/bulletin.php?id=1545908&amp;type=1", "龙泉股份:首次公开发行股票上市公告书")</f>
        <v>龙泉股份:首次公开发行股票上市公告书</v>
      </c>
      <c r="F667" t="s">
        <v>1549</v>
      </c>
    </row>
    <row r="668" spans="1:6" x14ac:dyDescent="0.15">
      <c r="A668" s="1">
        <v>41023</v>
      </c>
      <c r="B668" t="s">
        <v>137</v>
      </c>
      <c r="C668" t="s">
        <v>584</v>
      </c>
      <c r="D668" t="s">
        <v>465</v>
      </c>
      <c r="E668" s="4" t="str">
        <f>HYPERLINK("http://snap.windin.com/ns/bulletin.php?id=772982&amp;type=1", "日出东方:首次公开发行股票招股意向书")</f>
        <v>日出东方:首次公开发行股票招股意向书</v>
      </c>
      <c r="F668" t="s">
        <v>1550</v>
      </c>
    </row>
    <row r="669" spans="1:6" x14ac:dyDescent="0.15">
      <c r="A669" s="1">
        <v>41023</v>
      </c>
      <c r="B669" t="s">
        <v>137</v>
      </c>
      <c r="C669" t="s">
        <v>584</v>
      </c>
      <c r="D669" t="s">
        <v>522</v>
      </c>
      <c r="E669" s="4" t="str">
        <f>HYPERLINK("http://snap.windin.com/ns/bulletin.php?id=827302&amp;type=1", "日出东方:首次公开发行股票招股意向书附录二")</f>
        <v>日出东方:首次公开发行股票招股意向书附录二</v>
      </c>
      <c r="F669" t="s">
        <v>1551</v>
      </c>
    </row>
    <row r="670" spans="1:6" x14ac:dyDescent="0.15">
      <c r="A670" s="1">
        <v>41023</v>
      </c>
      <c r="B670" t="s">
        <v>137</v>
      </c>
      <c r="C670" t="s">
        <v>584</v>
      </c>
      <c r="D670" t="s">
        <v>521</v>
      </c>
      <c r="E670" s="4" t="str">
        <f>HYPERLINK("http://snap.windin.com/ns/bulletin.php?id=1469354&amp;type=1", "日出东方:首次公开发行股票招股意向书附录三")</f>
        <v>日出东方:首次公开发行股票招股意向书附录三</v>
      </c>
      <c r="F670" t="s">
        <v>1552</v>
      </c>
    </row>
    <row r="671" spans="1:6" x14ac:dyDescent="0.15">
      <c r="A671" s="1">
        <v>41023</v>
      </c>
      <c r="B671" t="s">
        <v>137</v>
      </c>
      <c r="C671" t="s">
        <v>584</v>
      </c>
      <c r="D671" t="s">
        <v>520</v>
      </c>
      <c r="E671" s="4" t="str">
        <f>HYPERLINK("http://snap.windin.com/ns/bulletin.php?id=1123827&amp;type=1", "日出东方:首次公开发行股票招股意向书附录一")</f>
        <v>日出东方:首次公开发行股票招股意向书附录一</v>
      </c>
      <c r="F671" t="s">
        <v>1553</v>
      </c>
    </row>
    <row r="672" spans="1:6" x14ac:dyDescent="0.15">
      <c r="A672" s="1">
        <v>41023</v>
      </c>
      <c r="B672" t="s">
        <v>137</v>
      </c>
      <c r="C672" t="s">
        <v>584</v>
      </c>
      <c r="D672" t="s">
        <v>466</v>
      </c>
      <c r="E672" s="4" t="str">
        <f>HYPERLINK("http://snap.windin.com/ns/bulletin.php?id=1256841&amp;type=1", "日出东方:首次公开发行股票招股意向书摘要")</f>
        <v>日出东方:首次公开发行股票招股意向书摘要</v>
      </c>
      <c r="F672" t="s">
        <v>1554</v>
      </c>
    </row>
    <row r="673" spans="1:6" x14ac:dyDescent="0.15">
      <c r="A673" s="1">
        <v>41023</v>
      </c>
      <c r="B673" t="s">
        <v>138</v>
      </c>
      <c r="C673" t="s">
        <v>585</v>
      </c>
      <c r="D673" t="s">
        <v>465</v>
      </c>
      <c r="E673" s="4" t="str">
        <f>HYPERLINK("http://snap.windin.com/ns/bulletin.php?id=2116741&amp;type=1", "宏昌电子:首次公开发行股票招股意向书")</f>
        <v>宏昌电子:首次公开发行股票招股意向书</v>
      </c>
      <c r="F673" t="s">
        <v>1555</v>
      </c>
    </row>
    <row r="674" spans="1:6" x14ac:dyDescent="0.15">
      <c r="A674" s="1">
        <v>41023</v>
      </c>
      <c r="B674" t="s">
        <v>138</v>
      </c>
      <c r="C674" t="s">
        <v>585</v>
      </c>
      <c r="D674" t="s">
        <v>522</v>
      </c>
      <c r="E674" s="4" t="str">
        <f>HYPERLINK("http://snap.windin.com/ns/bulletin.php?id=1324011&amp;type=1", "宏昌电子:首次公开发行股票招股意向书附录二")</f>
        <v>宏昌电子:首次公开发行股票招股意向书附录二</v>
      </c>
      <c r="F674" t="s">
        <v>1556</v>
      </c>
    </row>
    <row r="675" spans="1:6" x14ac:dyDescent="0.15">
      <c r="A675" s="1">
        <v>41023</v>
      </c>
      <c r="B675" t="s">
        <v>138</v>
      </c>
      <c r="C675" t="s">
        <v>585</v>
      </c>
      <c r="D675" t="s">
        <v>521</v>
      </c>
      <c r="E675" s="4" t="str">
        <f>HYPERLINK("http://snap.windin.com/ns/bulletin.php?id=583662&amp;type=1", "宏昌电子:首次公开发行股票招股意向书附录三")</f>
        <v>宏昌电子:首次公开发行股票招股意向书附录三</v>
      </c>
      <c r="F675" t="s">
        <v>1557</v>
      </c>
    </row>
    <row r="676" spans="1:6" x14ac:dyDescent="0.15">
      <c r="A676" s="1">
        <v>41023</v>
      </c>
      <c r="B676" t="s">
        <v>138</v>
      </c>
      <c r="C676" t="s">
        <v>585</v>
      </c>
      <c r="D676" t="s">
        <v>523</v>
      </c>
      <c r="E676" s="4" t="str">
        <f>HYPERLINK("http://snap.windin.com/ns/bulletin.php?id=1646327&amp;type=1", "宏昌电子:首次公开发行股票招股意向书附录四")</f>
        <v>宏昌电子:首次公开发行股票招股意向书附录四</v>
      </c>
      <c r="F676" t="s">
        <v>1558</v>
      </c>
    </row>
    <row r="677" spans="1:6" x14ac:dyDescent="0.15">
      <c r="A677" s="1">
        <v>41023</v>
      </c>
      <c r="B677" t="s">
        <v>138</v>
      </c>
      <c r="C677" t="s">
        <v>585</v>
      </c>
      <c r="D677" t="s">
        <v>520</v>
      </c>
      <c r="E677" s="4" t="str">
        <f>HYPERLINK("http://snap.windin.com/ns/bulletin.php?id=86856&amp;type=1", "宏昌电子:首次公开发行股票招股意向书附录一")</f>
        <v>宏昌电子:首次公开发行股票招股意向书附录一</v>
      </c>
      <c r="F677" t="s">
        <v>1559</v>
      </c>
    </row>
    <row r="678" spans="1:6" x14ac:dyDescent="0.15">
      <c r="A678" s="1">
        <v>41023</v>
      </c>
      <c r="B678" t="s">
        <v>138</v>
      </c>
      <c r="C678" t="s">
        <v>585</v>
      </c>
      <c r="D678" t="s">
        <v>466</v>
      </c>
      <c r="E678" s="4" t="str">
        <f>HYPERLINK("http://snap.windin.com/ns/bulletin.php?id=145325&amp;type=1", "宏昌电子:首次公开发行股票招股意向书摘要")</f>
        <v>宏昌电子:首次公开发行股票招股意向书摘要</v>
      </c>
      <c r="F678" t="s">
        <v>1560</v>
      </c>
    </row>
    <row r="679" spans="1:6" x14ac:dyDescent="0.15">
      <c r="A679" s="1">
        <v>41023</v>
      </c>
      <c r="B679" t="s">
        <v>153</v>
      </c>
      <c r="C679" t="s">
        <v>603</v>
      </c>
      <c r="D679" t="s">
        <v>407</v>
      </c>
      <c r="E679" s="4" t="str">
        <f>HYPERLINK("http://snap.windin.com/ns/bulletin.php?id=1390051&amp;type=1", "天山生物:首次公开发行股票并在创业板上市公告书提示性公告")</f>
        <v>天山生物:首次公开发行股票并在创业板上市公告书提示性公告</v>
      </c>
      <c r="F679" t="s">
        <v>1561</v>
      </c>
    </row>
    <row r="680" spans="1:6" x14ac:dyDescent="0.15">
      <c r="A680" s="1">
        <v>41023</v>
      </c>
      <c r="B680" t="s">
        <v>153</v>
      </c>
      <c r="C680" t="s">
        <v>603</v>
      </c>
      <c r="D680" t="s">
        <v>412</v>
      </c>
      <c r="E680" s="4" t="str">
        <f>HYPERLINK("http://snap.windin.com/ns/bulletin.php?id=898337&amp;type=1", "天山生物:首次公开发行股票并在创业板上市上市公告书")</f>
        <v>天山生物:首次公开发行股票并在创业板上市上市公告书</v>
      </c>
      <c r="F680" t="s">
        <v>1562</v>
      </c>
    </row>
    <row r="681" spans="1:6" x14ac:dyDescent="0.15">
      <c r="A681" s="1">
        <v>41023</v>
      </c>
      <c r="B681" t="s">
        <v>143</v>
      </c>
      <c r="C681" t="s">
        <v>591</v>
      </c>
      <c r="D681" t="s">
        <v>455</v>
      </c>
      <c r="E681" s="4" t="str">
        <f>HYPERLINK("http://snap.windin.com/ns/bulletin.php?id=1411800&amp;type=1", "邦讯技术:首次公开发行股票并在创业板上市招股说明书")</f>
        <v>邦讯技术:首次公开发行股票并在创业板上市招股说明书</v>
      </c>
      <c r="F681" t="s">
        <v>1563</v>
      </c>
    </row>
    <row r="682" spans="1:6" x14ac:dyDescent="0.15">
      <c r="A682" s="1">
        <v>41023</v>
      </c>
      <c r="B682" t="s">
        <v>152</v>
      </c>
      <c r="C682" t="s">
        <v>602</v>
      </c>
      <c r="D682" t="s">
        <v>412</v>
      </c>
      <c r="E682" s="4" t="str">
        <f>HYPERLINK("http://snap.windin.com/ns/bulletin.php?id=1481370&amp;type=1", "任子行:首次公开发行股票并在创业板上市上市公告书")</f>
        <v>任子行:首次公开发行股票并在创业板上市上市公告书</v>
      </c>
      <c r="F682" t="s">
        <v>1564</v>
      </c>
    </row>
    <row r="683" spans="1:6" x14ac:dyDescent="0.15">
      <c r="A683" s="1">
        <v>41023</v>
      </c>
      <c r="B683" t="s">
        <v>152</v>
      </c>
      <c r="C683" t="s">
        <v>602</v>
      </c>
      <c r="D683" t="s">
        <v>383</v>
      </c>
      <c r="E683" s="4" t="str">
        <f>HYPERLINK("http://snap.windin.com/ns/bulletin.php?id=1645386&amp;type=1", "任子行:首次公开发行股票并在创业板上市上市公告书提示性公告")</f>
        <v>任子行:首次公开发行股票并在创业板上市上市公告书提示性公告</v>
      </c>
      <c r="F683" t="s">
        <v>1565</v>
      </c>
    </row>
    <row r="684" spans="1:6" x14ac:dyDescent="0.15">
      <c r="A684" s="1">
        <v>41023</v>
      </c>
      <c r="B684" t="s">
        <v>154</v>
      </c>
      <c r="C684" t="s">
        <v>604</v>
      </c>
      <c r="D684" t="s">
        <v>417</v>
      </c>
      <c r="E684" s="4" t="str">
        <f>HYPERLINK("http://snap.windin.com/ns/bulletin.php?id=463765&amp;type=1", "宜通世纪:首次公开发行股票并在创业板上市公告书")</f>
        <v>宜通世纪:首次公开发行股票并在创业板上市公告书</v>
      </c>
      <c r="F684" t="s">
        <v>1566</v>
      </c>
    </row>
    <row r="685" spans="1:6" x14ac:dyDescent="0.15">
      <c r="A685" s="1">
        <v>41023</v>
      </c>
      <c r="B685" t="s">
        <v>154</v>
      </c>
      <c r="C685" t="s">
        <v>604</v>
      </c>
      <c r="D685" t="s">
        <v>449</v>
      </c>
      <c r="E685" s="4" t="str">
        <f>HYPERLINK("http://snap.windin.com/ns/bulletin.php?id=1241947&amp;type=1", "宜通世纪:首次公开发行股票并在创业板上市上市公告书提示公告")</f>
        <v>宜通世纪:首次公开发行股票并在创业板上市上市公告书提示公告</v>
      </c>
      <c r="F685" t="s">
        <v>1567</v>
      </c>
    </row>
    <row r="686" spans="1:6" x14ac:dyDescent="0.15">
      <c r="A686" s="1">
        <v>41023</v>
      </c>
      <c r="B686" t="s">
        <v>145</v>
      </c>
      <c r="C686" t="s">
        <v>593</v>
      </c>
      <c r="D686" t="s">
        <v>399</v>
      </c>
      <c r="E686" s="4" t="str">
        <f>HYPERLINK("http://snap.windin.com/ns/bulletin.php?id=1978912&amp;type=1", "兴业科技:首次公开发行股票招股说明书")</f>
        <v>兴业科技:首次公开发行股票招股说明书</v>
      </c>
      <c r="F686" t="s">
        <v>1568</v>
      </c>
    </row>
    <row r="687" spans="1:6" x14ac:dyDescent="0.15">
      <c r="A687" s="1">
        <v>41023</v>
      </c>
      <c r="B687" t="s">
        <v>145</v>
      </c>
      <c r="C687" t="s">
        <v>593</v>
      </c>
      <c r="D687" t="s">
        <v>400</v>
      </c>
      <c r="E687" s="4" t="str">
        <f>HYPERLINK("http://snap.windin.com/ns/bulletin.php?id=956285&amp;type=1", "兴业科技:首次公开发行股票招股说明书摘要")</f>
        <v>兴业科技:首次公开发行股票招股说明书摘要</v>
      </c>
      <c r="F687" t="s">
        <v>1569</v>
      </c>
    </row>
    <row r="688" spans="1:6" x14ac:dyDescent="0.15">
      <c r="A688" s="1">
        <v>41022</v>
      </c>
      <c r="B688" t="s">
        <v>142</v>
      </c>
      <c r="C688" t="s">
        <v>590</v>
      </c>
      <c r="D688" t="s">
        <v>455</v>
      </c>
      <c r="E688" s="4" t="str">
        <f>HYPERLINK("http://snap.windin.com/ns/bulletin.php?id=1668612&amp;type=1", "戴维医疗:首次公开发行股票并在创业板上市招股说明书")</f>
        <v>戴维医疗:首次公开发行股票并在创业板上市招股说明书</v>
      </c>
      <c r="F688" t="s">
        <v>1570</v>
      </c>
    </row>
    <row r="689" spans="1:6" x14ac:dyDescent="0.15">
      <c r="A689" s="1">
        <v>41019</v>
      </c>
      <c r="B689" t="s">
        <v>155</v>
      </c>
      <c r="C689" t="s">
        <v>605</v>
      </c>
      <c r="D689" t="s">
        <v>402</v>
      </c>
      <c r="E689" s="4" t="str">
        <f>HYPERLINK("http://snap.windin.com/ns/bulletin.php?id=1566981&amp;type=1", "怡球资源:首次公开发行A股股票上市公告书")</f>
        <v>怡球资源:首次公开发行A股股票上市公告书</v>
      </c>
      <c r="F689" t="s">
        <v>1571</v>
      </c>
    </row>
    <row r="690" spans="1:6" x14ac:dyDescent="0.15">
      <c r="A690" s="1">
        <v>41019</v>
      </c>
      <c r="B690" t="s">
        <v>155</v>
      </c>
      <c r="C690" t="s">
        <v>605</v>
      </c>
      <c r="D690" t="s">
        <v>399</v>
      </c>
      <c r="E690" s="4" t="str">
        <f>HYPERLINK("http://snap.windin.com/ns/bulletin.php?id=793692&amp;type=1", "怡球资源:首次公开发行股票招股说明书")</f>
        <v>怡球资源:首次公开发行股票招股说明书</v>
      </c>
      <c r="F690" t="s">
        <v>1572</v>
      </c>
    </row>
    <row r="691" spans="1:6" x14ac:dyDescent="0.15">
      <c r="A691" s="1">
        <v>41019</v>
      </c>
      <c r="B691" t="s">
        <v>139</v>
      </c>
      <c r="C691" t="s">
        <v>586</v>
      </c>
      <c r="D691" t="s">
        <v>471</v>
      </c>
      <c r="E691" s="4" t="str">
        <f>HYPERLINK("http://snap.windin.com/ns/bulletin.php?id=1859166&amp;type=1", "珈伟股份:首次公开发行股票并在创业板上市招股意向书")</f>
        <v>珈伟股份:首次公开发行股票并在创业板上市招股意向书</v>
      </c>
      <c r="F691" t="s">
        <v>1573</v>
      </c>
    </row>
    <row r="692" spans="1:6" x14ac:dyDescent="0.15">
      <c r="A692" s="1">
        <v>41019</v>
      </c>
      <c r="B692" t="s">
        <v>141</v>
      </c>
      <c r="C692" t="s">
        <v>589</v>
      </c>
      <c r="D692" t="s">
        <v>471</v>
      </c>
      <c r="E692" s="4" t="str">
        <f>HYPERLINK("http://snap.windin.com/ns/bulletin.php?id=1653201&amp;type=1", "晶盛机电:首次公开发行股票并在创业板上市招股意向书")</f>
        <v>晶盛机电:首次公开发行股票并在创业板上市招股意向书</v>
      </c>
      <c r="F692" t="s">
        <v>1574</v>
      </c>
    </row>
    <row r="693" spans="1:6" x14ac:dyDescent="0.15">
      <c r="A693" s="1">
        <v>41019</v>
      </c>
      <c r="B693" t="s">
        <v>140</v>
      </c>
      <c r="C693" t="s">
        <v>588</v>
      </c>
      <c r="D693" t="s">
        <v>471</v>
      </c>
      <c r="E693" s="4" t="str">
        <f>HYPERLINK("http://snap.windin.com/ns/bulletin.php?id=1856930&amp;type=1", "掌趣科技:首次公开发行股票并在创业板上市招股意向书")</f>
        <v>掌趣科技:首次公开发行股票并在创业板上市招股意向书</v>
      </c>
      <c r="F693" t="s">
        <v>1575</v>
      </c>
    </row>
    <row r="694" spans="1:6" x14ac:dyDescent="0.15">
      <c r="A694" s="1">
        <v>41019</v>
      </c>
      <c r="B694" t="s">
        <v>147</v>
      </c>
      <c r="C694" t="s">
        <v>595</v>
      </c>
      <c r="D694" t="s">
        <v>399</v>
      </c>
      <c r="E694" s="4" t="str">
        <f>HYPERLINK("http://snap.windin.com/ns/bulletin.php?id=98345&amp;type=1", "西部证券:首次公开发行股票招股说明书")</f>
        <v>西部证券:首次公开发行股票招股说明书</v>
      </c>
      <c r="F694" t="s">
        <v>1576</v>
      </c>
    </row>
    <row r="695" spans="1:6" x14ac:dyDescent="0.15">
      <c r="A695" s="1">
        <v>41019</v>
      </c>
      <c r="B695" t="s">
        <v>147</v>
      </c>
      <c r="C695" t="s">
        <v>595</v>
      </c>
      <c r="D695" t="s">
        <v>400</v>
      </c>
      <c r="E695" s="4" t="str">
        <f>HYPERLINK("http://snap.windin.com/ns/bulletin.php?id=721983&amp;type=1", "西部证券:首次公开发行股票招股说明书摘要")</f>
        <v>西部证券:首次公开发行股票招股说明书摘要</v>
      </c>
      <c r="F695" t="s">
        <v>1577</v>
      </c>
    </row>
    <row r="696" spans="1:6" x14ac:dyDescent="0.15">
      <c r="A696" s="1">
        <v>41017</v>
      </c>
      <c r="B696" t="s">
        <v>156</v>
      </c>
      <c r="C696" t="s">
        <v>606</v>
      </c>
      <c r="D696" t="s">
        <v>608</v>
      </c>
      <c r="E696" s="4" t="str">
        <f>HYPERLINK("http://snap.windin.com/ns/bulletin.php?id=962018&amp;type=1", "海通证券:H股--招股说明书（英文）")</f>
        <v>海通证券:H股--招股说明书（英文）</v>
      </c>
      <c r="F696" t="s">
        <v>1578</v>
      </c>
    </row>
    <row r="697" spans="1:6" x14ac:dyDescent="0.15">
      <c r="A697" s="1">
        <v>41017</v>
      </c>
      <c r="B697" t="s">
        <v>156</v>
      </c>
      <c r="C697" t="s">
        <v>606</v>
      </c>
      <c r="D697" t="s">
        <v>607</v>
      </c>
      <c r="E697" s="4" t="str">
        <f>HYPERLINK("http://snap.windin.com/ns/bulletin.php?id=1180315&amp;type=1", "海通证券:H股--招股说明书（中文）")</f>
        <v>海通证券:H股--招股说明书（中文）</v>
      </c>
      <c r="F697" t="s">
        <v>1579</v>
      </c>
    </row>
    <row r="698" spans="1:6" x14ac:dyDescent="0.15">
      <c r="A698" s="1">
        <v>41016</v>
      </c>
      <c r="B698" t="s">
        <v>144</v>
      </c>
      <c r="C698" t="s">
        <v>592</v>
      </c>
      <c r="D698" t="s">
        <v>495</v>
      </c>
      <c r="E698" s="4" t="str">
        <f>HYPERLINK("http://snap.windin.com/ns/bulletin.php?id=1600571&amp;type=1", "明星电缆:首次公开发行A股股票招股意向书附录二")</f>
        <v>明星电缆:首次公开发行A股股票招股意向书附录二</v>
      </c>
      <c r="F698" t="s">
        <v>1580</v>
      </c>
    </row>
    <row r="699" spans="1:6" x14ac:dyDescent="0.15">
      <c r="A699" s="1">
        <v>41016</v>
      </c>
      <c r="B699" t="s">
        <v>144</v>
      </c>
      <c r="C699" t="s">
        <v>592</v>
      </c>
      <c r="D699" t="s">
        <v>609</v>
      </c>
      <c r="E699" s="4" t="str">
        <f>HYPERLINK("http://snap.windin.com/ns/bulletin.php?id=1718893&amp;type=1", "明星电缆:首次公开发行A股股票招股意向书附录三")</f>
        <v>明星电缆:首次公开发行A股股票招股意向书附录三</v>
      </c>
      <c r="F699" t="s">
        <v>1581</v>
      </c>
    </row>
    <row r="700" spans="1:6" x14ac:dyDescent="0.15">
      <c r="A700" s="1">
        <v>41016</v>
      </c>
      <c r="B700" t="s">
        <v>144</v>
      </c>
      <c r="C700" t="s">
        <v>592</v>
      </c>
      <c r="D700" t="s">
        <v>610</v>
      </c>
      <c r="E700" s="4" t="str">
        <f>HYPERLINK("http://snap.windin.com/ns/bulletin.php?id=153854&amp;type=1", "明星电缆:首次公开发行A股股票招股意向书附录四")</f>
        <v>明星电缆:首次公开发行A股股票招股意向书附录四</v>
      </c>
      <c r="F700" t="s">
        <v>1582</v>
      </c>
    </row>
    <row r="701" spans="1:6" x14ac:dyDescent="0.15">
      <c r="A701" s="1">
        <v>41016</v>
      </c>
      <c r="B701" t="s">
        <v>144</v>
      </c>
      <c r="C701" t="s">
        <v>592</v>
      </c>
      <c r="D701" t="s">
        <v>496</v>
      </c>
      <c r="E701" s="4" t="str">
        <f>HYPERLINK("http://snap.windin.com/ns/bulletin.php?id=2041383&amp;type=1", "明星电缆:首次公开发行A股股票招股意向书附录一")</f>
        <v>明星电缆:首次公开发行A股股票招股意向书附录一</v>
      </c>
      <c r="F701" t="s">
        <v>1583</v>
      </c>
    </row>
    <row r="702" spans="1:6" x14ac:dyDescent="0.15">
      <c r="A702" s="1">
        <v>41016</v>
      </c>
      <c r="B702" t="s">
        <v>144</v>
      </c>
      <c r="C702" t="s">
        <v>592</v>
      </c>
      <c r="D702" t="s">
        <v>465</v>
      </c>
      <c r="E702" s="4" t="str">
        <f>HYPERLINK("http://snap.windin.com/ns/bulletin.php?id=930220&amp;type=1", "明星电缆:首次公开发行股票招股意向书")</f>
        <v>明星电缆:首次公开发行股票招股意向书</v>
      </c>
      <c r="F702" t="s">
        <v>1584</v>
      </c>
    </row>
    <row r="703" spans="1:6" x14ac:dyDescent="0.15">
      <c r="A703" s="1">
        <v>41016</v>
      </c>
      <c r="B703" t="s">
        <v>144</v>
      </c>
      <c r="C703" t="s">
        <v>592</v>
      </c>
      <c r="D703" t="s">
        <v>466</v>
      </c>
      <c r="E703" s="4" t="str">
        <f>HYPERLINK("http://snap.windin.com/ns/bulletin.php?id=1650660&amp;type=1", "明星电缆:首次公开发行股票招股意向书摘要")</f>
        <v>明星电缆:首次公开发行股票招股意向书摘要</v>
      </c>
      <c r="F703" t="s">
        <v>1585</v>
      </c>
    </row>
    <row r="704" spans="1:6" x14ac:dyDescent="0.15">
      <c r="A704" s="1">
        <v>41016</v>
      </c>
      <c r="B704" t="s">
        <v>145</v>
      </c>
      <c r="C704" t="s">
        <v>593</v>
      </c>
      <c r="D704" t="s">
        <v>465</v>
      </c>
      <c r="E704" s="4" t="str">
        <f>HYPERLINK("http://snap.windin.com/ns/bulletin.php?id=1056256&amp;type=1", "兴业科技:首次公开发行股票招股意向书")</f>
        <v>兴业科技:首次公开发行股票招股意向书</v>
      </c>
      <c r="F704" t="s">
        <v>1586</v>
      </c>
    </row>
    <row r="705" spans="1:6" x14ac:dyDescent="0.15">
      <c r="A705" s="1">
        <v>41016</v>
      </c>
      <c r="B705" t="s">
        <v>145</v>
      </c>
      <c r="C705" t="s">
        <v>593</v>
      </c>
      <c r="D705" t="s">
        <v>466</v>
      </c>
      <c r="E705" s="4" t="str">
        <f>HYPERLINK("http://snap.windin.com/ns/bulletin.php?id=810171&amp;type=1", "兴业科技:首次公开发行股票招股意向书摘要")</f>
        <v>兴业科技:首次公开发行股票招股意向书摘要</v>
      </c>
      <c r="F705" t="s">
        <v>1587</v>
      </c>
    </row>
    <row r="706" spans="1:6" x14ac:dyDescent="0.15">
      <c r="A706" s="1">
        <v>41016</v>
      </c>
      <c r="B706" t="s">
        <v>150</v>
      </c>
      <c r="C706" t="s">
        <v>599</v>
      </c>
      <c r="D706" t="s">
        <v>399</v>
      </c>
      <c r="E706" s="4" t="str">
        <f>HYPERLINK("http://snap.windin.com/ns/bulletin.php?id=1343380&amp;type=1", "龙泉股份:首次公开发行股票招股说明书")</f>
        <v>龙泉股份:首次公开发行股票招股说明书</v>
      </c>
      <c r="F706" t="s">
        <v>1588</v>
      </c>
    </row>
    <row r="707" spans="1:6" x14ac:dyDescent="0.15">
      <c r="A707" s="1">
        <v>41016</v>
      </c>
      <c r="B707" t="s">
        <v>150</v>
      </c>
      <c r="C707" t="s">
        <v>599</v>
      </c>
      <c r="D707" t="s">
        <v>400</v>
      </c>
      <c r="E707" s="4" t="str">
        <f>HYPERLINK("http://snap.windin.com/ns/bulletin.php?id=1844495&amp;type=1", "龙泉股份:首次公开发行股票招股说明书摘要")</f>
        <v>龙泉股份:首次公开发行股票招股说明书摘要</v>
      </c>
      <c r="F707" t="s">
        <v>1589</v>
      </c>
    </row>
    <row r="708" spans="1:6" x14ac:dyDescent="0.15">
      <c r="A708" s="1">
        <v>41015</v>
      </c>
      <c r="B708" t="s">
        <v>153</v>
      </c>
      <c r="C708" t="s">
        <v>603</v>
      </c>
      <c r="D708" t="s">
        <v>455</v>
      </c>
      <c r="E708" s="4" t="str">
        <f>HYPERLINK("http://snap.windin.com/ns/bulletin.php?id=1563343&amp;type=1", "天山生物:首次公开发行股票并在创业板上市招股说明书")</f>
        <v>天山生物:首次公开发行股票并在创业板上市招股说明书</v>
      </c>
      <c r="F708" t="s">
        <v>1590</v>
      </c>
    </row>
    <row r="709" spans="1:6" x14ac:dyDescent="0.15">
      <c r="A709" s="1">
        <v>41015</v>
      </c>
      <c r="B709" t="s">
        <v>143</v>
      </c>
      <c r="C709" t="s">
        <v>591</v>
      </c>
      <c r="D709" t="s">
        <v>471</v>
      </c>
      <c r="E709" s="4" t="str">
        <f>HYPERLINK("http://snap.windin.com/ns/bulletin.php?id=429834&amp;type=1", "邦讯技术:首次公开发行股票并在创业板上市招股意向书")</f>
        <v>邦讯技术:首次公开发行股票并在创业板上市招股意向书</v>
      </c>
      <c r="F709" t="s">
        <v>1591</v>
      </c>
    </row>
    <row r="710" spans="1:6" x14ac:dyDescent="0.15">
      <c r="A710" s="1">
        <v>41015</v>
      </c>
      <c r="B710" t="s">
        <v>148</v>
      </c>
      <c r="C710" t="s">
        <v>601</v>
      </c>
      <c r="D710" t="s">
        <v>462</v>
      </c>
      <c r="E710" s="4" t="str">
        <f>HYPERLINK("http://snap.windin.com/ns/bulletin.php?id=1720342&amp;type=1", "东江环保:首次公开发行A股股票招股说明书")</f>
        <v>东江环保:首次公开发行A股股票招股说明书</v>
      </c>
      <c r="F710" t="s">
        <v>1592</v>
      </c>
    </row>
    <row r="711" spans="1:6" x14ac:dyDescent="0.15">
      <c r="A711" s="1">
        <v>41015</v>
      </c>
      <c r="B711" t="s">
        <v>148</v>
      </c>
      <c r="C711" t="s">
        <v>601</v>
      </c>
      <c r="D711" t="s">
        <v>461</v>
      </c>
      <c r="E711" s="4" t="str">
        <f>HYPERLINK("http://snap.windin.com/ns/bulletin.php?id=1929989&amp;type=1", "东江环保:首次公开发行A股股票招股说明书摘要")</f>
        <v>东江环保:首次公开发行A股股票招股说明书摘要</v>
      </c>
      <c r="F711" t="s">
        <v>1593</v>
      </c>
    </row>
    <row r="712" spans="1:6" x14ac:dyDescent="0.15">
      <c r="A712" s="1">
        <v>41012</v>
      </c>
      <c r="B712" t="s">
        <v>142</v>
      </c>
      <c r="C712" t="s">
        <v>590</v>
      </c>
      <c r="D712" t="s">
        <v>471</v>
      </c>
      <c r="E712" s="4" t="str">
        <f>HYPERLINK("http://snap.windin.com/ns/bulletin.php?id=936104&amp;type=1", "戴维医疗:首次公开发行股票并在创业板上市招股意向书")</f>
        <v>戴维医疗:首次公开发行股票并在创业板上市招股意向书</v>
      </c>
      <c r="F712" t="s">
        <v>1594</v>
      </c>
    </row>
    <row r="713" spans="1:6" x14ac:dyDescent="0.15">
      <c r="A713" s="1">
        <v>41012</v>
      </c>
      <c r="B713" t="s">
        <v>152</v>
      </c>
      <c r="C713" t="s">
        <v>602</v>
      </c>
      <c r="D713" t="s">
        <v>455</v>
      </c>
      <c r="E713" s="4" t="str">
        <f>HYPERLINK("http://snap.windin.com/ns/bulletin.php?id=495008&amp;type=1", "任子行:首次公开发行股票并在创业板上市招股说明书")</f>
        <v>任子行:首次公开发行股票并在创业板上市招股说明书</v>
      </c>
      <c r="F713" t="s">
        <v>1595</v>
      </c>
    </row>
    <row r="714" spans="1:6" x14ac:dyDescent="0.15">
      <c r="A714" s="1">
        <v>41012</v>
      </c>
      <c r="B714" t="s">
        <v>154</v>
      </c>
      <c r="C714" t="s">
        <v>604</v>
      </c>
      <c r="D714" t="s">
        <v>455</v>
      </c>
      <c r="E714" s="4" t="str">
        <f>HYPERLINK("http://snap.windin.com/ns/bulletin.php?id=236429&amp;type=1", "宜通世纪:首次公开发行股票并在创业板上市招股说明书")</f>
        <v>宜通世纪:首次公开发行股票并在创业板上市招股说明书</v>
      </c>
      <c r="F714" t="s">
        <v>1596</v>
      </c>
    </row>
    <row r="715" spans="1:6" x14ac:dyDescent="0.15">
      <c r="A715" s="1">
        <v>41012</v>
      </c>
      <c r="B715" t="s">
        <v>147</v>
      </c>
      <c r="C715" t="s">
        <v>595</v>
      </c>
      <c r="D715" t="s">
        <v>465</v>
      </c>
      <c r="E715" s="4" t="str">
        <f>HYPERLINK("http://snap.windin.com/ns/bulletin.php?id=1182468&amp;type=1", "西部证券:首次公开发行股票招股意向书")</f>
        <v>西部证券:首次公开发行股票招股意向书</v>
      </c>
      <c r="F715" t="s">
        <v>1597</v>
      </c>
    </row>
    <row r="716" spans="1:6" x14ac:dyDescent="0.15">
      <c r="A716" s="1">
        <v>41012</v>
      </c>
      <c r="B716" t="s">
        <v>147</v>
      </c>
      <c r="C716" t="s">
        <v>595</v>
      </c>
      <c r="D716" t="s">
        <v>612</v>
      </c>
      <c r="E716" s="4" t="str">
        <f>HYPERLINK("http://snap.windin.com/ns/bulletin.php?id=756936&amp;type=1", "西部证券:首次公开发行招股意向书摘要")</f>
        <v>西部证券:首次公开发行招股意向书摘要</v>
      </c>
      <c r="F716" t="s">
        <v>1598</v>
      </c>
    </row>
    <row r="717" spans="1:6" x14ac:dyDescent="0.15">
      <c r="A717" s="1">
        <v>41012</v>
      </c>
      <c r="B717" t="s">
        <v>157</v>
      </c>
      <c r="C717" t="s">
        <v>611</v>
      </c>
      <c r="D717" t="s">
        <v>389</v>
      </c>
      <c r="E717" s="4" t="str">
        <f>HYPERLINK("http://snap.windin.com/ns/bulletin.php?id=952687&amp;type=1", "华声股份:首次公开发行股票上市公告书")</f>
        <v>华声股份:首次公开发行股票上市公告书</v>
      </c>
      <c r="F717" t="s">
        <v>1599</v>
      </c>
    </row>
    <row r="718" spans="1:6" x14ac:dyDescent="0.15">
      <c r="A718" s="1">
        <v>41012</v>
      </c>
      <c r="B718" t="s">
        <v>158</v>
      </c>
      <c r="C718" t="s">
        <v>613</v>
      </c>
      <c r="D718" t="s">
        <v>389</v>
      </c>
      <c r="E718" s="4" t="str">
        <f>HYPERLINK("http://snap.windin.com/ns/bulletin.php?id=546153&amp;type=1", "康达新材:首次公开发行股票上市公告书")</f>
        <v>康达新材:首次公开发行股票上市公告书</v>
      </c>
      <c r="F718" t="s">
        <v>1600</v>
      </c>
    </row>
    <row r="719" spans="1:6" x14ac:dyDescent="0.15">
      <c r="A719" s="1">
        <v>41012</v>
      </c>
      <c r="B719" t="s">
        <v>159</v>
      </c>
      <c r="C719" t="s">
        <v>614</v>
      </c>
      <c r="D719" t="s">
        <v>389</v>
      </c>
      <c r="E719" s="4" t="str">
        <f>HYPERLINK("http://snap.windin.com/ns/bulletin.php?id=80429&amp;type=1", "奥马电器:首次公开发行股票上市公告书")</f>
        <v>奥马电器:首次公开发行股票上市公告书</v>
      </c>
      <c r="F719" t="s">
        <v>1601</v>
      </c>
    </row>
    <row r="720" spans="1:6" x14ac:dyDescent="0.15">
      <c r="A720" s="1">
        <v>41009</v>
      </c>
      <c r="B720" t="s">
        <v>146</v>
      </c>
      <c r="C720" t="s">
        <v>594</v>
      </c>
      <c r="D720" t="s">
        <v>474</v>
      </c>
      <c r="E720" s="4" t="str">
        <f>HYPERLINK("http://snap.windin.com/ns/bulletin.php?id=1982435&amp;type=1", "翠微股份:首次公开发行A股股票招股意向书附录")</f>
        <v>翠微股份:首次公开发行A股股票招股意向书附录</v>
      </c>
      <c r="F720" t="s">
        <v>1602</v>
      </c>
    </row>
    <row r="721" spans="1:6" x14ac:dyDescent="0.15">
      <c r="A721" s="1">
        <v>41009</v>
      </c>
      <c r="B721" t="s">
        <v>146</v>
      </c>
      <c r="C721" t="s">
        <v>594</v>
      </c>
      <c r="D721" t="s">
        <v>465</v>
      </c>
      <c r="E721" s="4" t="str">
        <f>HYPERLINK("http://snap.windin.com/ns/bulletin.php?id=402282&amp;type=1", "翠微股份:首次公开发行股票招股意向书")</f>
        <v>翠微股份:首次公开发行股票招股意向书</v>
      </c>
      <c r="F721" t="s">
        <v>1603</v>
      </c>
    </row>
    <row r="722" spans="1:6" x14ac:dyDescent="0.15">
      <c r="A722" s="1">
        <v>41009</v>
      </c>
      <c r="B722" t="s">
        <v>146</v>
      </c>
      <c r="C722" t="s">
        <v>594</v>
      </c>
      <c r="D722" t="s">
        <v>466</v>
      </c>
      <c r="E722" s="4" t="str">
        <f>HYPERLINK("http://snap.windin.com/ns/bulletin.php?id=1861113&amp;type=1", "翠微股份:首次公开发行股票招股意向书摘要")</f>
        <v>翠微股份:首次公开发行股票招股意向书摘要</v>
      </c>
      <c r="F722" t="s">
        <v>1604</v>
      </c>
    </row>
    <row r="723" spans="1:6" x14ac:dyDescent="0.15">
      <c r="A723" s="1">
        <v>41009</v>
      </c>
      <c r="B723" t="s">
        <v>151</v>
      </c>
      <c r="C723" t="s">
        <v>600</v>
      </c>
      <c r="D723" t="s">
        <v>495</v>
      </c>
      <c r="E723" s="4" t="str">
        <f>HYPERLINK("http://snap.windin.com/ns/bulletin.php?id=1945413&amp;type=1", "奥康国际:首次公开发行A股股票招股意向书附录二")</f>
        <v>奥康国际:首次公开发行A股股票招股意向书附录二</v>
      </c>
      <c r="F723" t="s">
        <v>1605</v>
      </c>
    </row>
    <row r="724" spans="1:6" x14ac:dyDescent="0.15">
      <c r="A724" s="1">
        <v>41009</v>
      </c>
      <c r="B724" t="s">
        <v>151</v>
      </c>
      <c r="C724" t="s">
        <v>600</v>
      </c>
      <c r="D724" t="s">
        <v>609</v>
      </c>
      <c r="E724" s="4" t="str">
        <f>HYPERLINK("http://snap.windin.com/ns/bulletin.php?id=1319567&amp;type=1", "奥康国际:首次公开发行A股股票招股意向书附录三")</f>
        <v>奥康国际:首次公开发行A股股票招股意向书附录三</v>
      </c>
      <c r="F724" t="s">
        <v>1606</v>
      </c>
    </row>
    <row r="725" spans="1:6" x14ac:dyDescent="0.15">
      <c r="A725" s="1">
        <v>41009</v>
      </c>
      <c r="B725" t="s">
        <v>151</v>
      </c>
      <c r="C725" t="s">
        <v>600</v>
      </c>
      <c r="D725" t="s">
        <v>610</v>
      </c>
      <c r="E725" s="4" t="str">
        <f>HYPERLINK("http://snap.windin.com/ns/bulletin.php?id=2129163&amp;type=1", "奥康国际:首次公开发行A股股票招股意向书附录四")</f>
        <v>奥康国际:首次公开发行A股股票招股意向书附录四</v>
      </c>
      <c r="F725" t="s">
        <v>1607</v>
      </c>
    </row>
    <row r="726" spans="1:6" x14ac:dyDescent="0.15">
      <c r="A726" s="1">
        <v>41009</v>
      </c>
      <c r="B726" t="s">
        <v>151</v>
      </c>
      <c r="C726" t="s">
        <v>600</v>
      </c>
      <c r="D726" t="s">
        <v>496</v>
      </c>
      <c r="E726" s="4" t="str">
        <f>HYPERLINK("http://snap.windin.com/ns/bulletin.php?id=1665642&amp;type=1", "奥康国际:首次公开发行A股股票招股意向书附录一")</f>
        <v>奥康国际:首次公开发行A股股票招股意向书附录一</v>
      </c>
      <c r="F726" t="s">
        <v>1608</v>
      </c>
    </row>
    <row r="727" spans="1:6" x14ac:dyDescent="0.15">
      <c r="A727" s="1">
        <v>41009</v>
      </c>
      <c r="B727" t="s">
        <v>151</v>
      </c>
      <c r="C727" t="s">
        <v>600</v>
      </c>
      <c r="D727" t="s">
        <v>465</v>
      </c>
      <c r="E727" s="4" t="str">
        <f>HYPERLINK("http://snap.windin.com/ns/bulletin.php?id=187465&amp;type=1", "奥康国际:首次公开发行股票招股意向书")</f>
        <v>奥康国际:首次公开发行股票招股意向书</v>
      </c>
      <c r="F727" t="s">
        <v>1609</v>
      </c>
    </row>
    <row r="728" spans="1:6" x14ac:dyDescent="0.15">
      <c r="A728" s="1">
        <v>41009</v>
      </c>
      <c r="B728" t="s">
        <v>151</v>
      </c>
      <c r="C728" t="s">
        <v>600</v>
      </c>
      <c r="D728" t="s">
        <v>466</v>
      </c>
      <c r="E728" s="4" t="str">
        <f>HYPERLINK("http://snap.windin.com/ns/bulletin.php?id=221991&amp;type=1", "奥康国际:首次公开发行股票招股意向书摘要")</f>
        <v>奥康国际:首次公开发行股票招股意向书摘要</v>
      </c>
      <c r="F728" t="s">
        <v>1610</v>
      </c>
    </row>
    <row r="729" spans="1:6" x14ac:dyDescent="0.15">
      <c r="A729" s="1">
        <v>41009</v>
      </c>
      <c r="B729" t="s">
        <v>161</v>
      </c>
      <c r="C729" t="s">
        <v>617</v>
      </c>
      <c r="D729" t="s">
        <v>402</v>
      </c>
      <c r="E729" s="4" t="str">
        <f>HYPERLINK("http://snap.windin.com/ns/bulletin.php?id=1859881&amp;type=1", "隆基股份:首次公开发行A股股票上市公告书")</f>
        <v>隆基股份:首次公开发行A股股票上市公告书</v>
      </c>
      <c r="F729" t="s">
        <v>1611</v>
      </c>
    </row>
    <row r="730" spans="1:6" x14ac:dyDescent="0.15">
      <c r="A730" s="1">
        <v>41009</v>
      </c>
      <c r="B730" t="s">
        <v>161</v>
      </c>
      <c r="C730" t="s">
        <v>617</v>
      </c>
      <c r="D730" t="s">
        <v>399</v>
      </c>
      <c r="E730" s="4" t="str">
        <f>HYPERLINK("http://snap.windin.com/ns/bulletin.php?id=1747454&amp;type=1", "隆基股份:首次公开发行股票招股说明书")</f>
        <v>隆基股份:首次公开发行股票招股说明书</v>
      </c>
      <c r="F730" t="s">
        <v>1612</v>
      </c>
    </row>
    <row r="731" spans="1:6" x14ac:dyDescent="0.15">
      <c r="A731" s="1">
        <v>41009</v>
      </c>
      <c r="B731" t="s">
        <v>160</v>
      </c>
      <c r="C731" t="s">
        <v>615</v>
      </c>
      <c r="D731" t="s">
        <v>616</v>
      </c>
      <c r="E731" s="4" t="str">
        <f>HYPERLINK("http://snap.windin.com/ns/bulletin.php?id=1895377&amp;type=1", "N吉艾:关于《吉艾科技（北京）股份公司首次开发行票并在创业板上市之上市公告书》的更正公告")</f>
        <v>N吉艾:关于《吉艾科技（北京）股份公司首次开发行票并在创业板上市之上市公告书》的更正公告</v>
      </c>
      <c r="F731" t="s">
        <v>1613</v>
      </c>
    </row>
    <row r="732" spans="1:6" x14ac:dyDescent="0.15">
      <c r="A732" s="1">
        <v>41009</v>
      </c>
      <c r="B732" t="s">
        <v>160</v>
      </c>
      <c r="C732" t="s">
        <v>615</v>
      </c>
      <c r="D732" t="s">
        <v>618</v>
      </c>
      <c r="E732" s="4" t="str">
        <f>HYPERLINK("http://snap.windin.com/ns/bulletin.php?id=596556&amp;type=1", "N吉艾:首次公开发行股票并在创业板上市之上市公告书（更新后）")</f>
        <v>N吉艾:首次公开发行股票并在创业板上市之上市公告书（更新后）</v>
      </c>
      <c r="F732" t="s">
        <v>1614</v>
      </c>
    </row>
    <row r="733" spans="1:6" x14ac:dyDescent="0.15">
      <c r="A733" s="1">
        <v>41009</v>
      </c>
      <c r="B733" t="s">
        <v>150</v>
      </c>
      <c r="C733" t="s">
        <v>599</v>
      </c>
      <c r="D733" t="s">
        <v>465</v>
      </c>
      <c r="E733" s="4" t="str">
        <f>HYPERLINK("http://snap.windin.com/ns/bulletin.php?id=1384412&amp;type=1", "龙泉股份:首次公开发行股票招股意向书")</f>
        <v>龙泉股份:首次公开发行股票招股意向书</v>
      </c>
      <c r="F733" t="s">
        <v>1615</v>
      </c>
    </row>
    <row r="734" spans="1:6" x14ac:dyDescent="0.15">
      <c r="A734" s="1">
        <v>41009</v>
      </c>
      <c r="B734" t="s">
        <v>150</v>
      </c>
      <c r="C734" t="s">
        <v>599</v>
      </c>
      <c r="D734" t="s">
        <v>466</v>
      </c>
      <c r="E734" s="4" t="str">
        <f>HYPERLINK("http://snap.windin.com/ns/bulletin.php?id=809275&amp;type=1", "龙泉股份:首次公开发行股票招股意向书摘要")</f>
        <v>龙泉股份:首次公开发行股票招股意向书摘要</v>
      </c>
      <c r="F734" t="s">
        <v>1616</v>
      </c>
    </row>
    <row r="735" spans="1:6" x14ac:dyDescent="0.15">
      <c r="A735" s="1">
        <v>41008</v>
      </c>
      <c r="B735" t="s">
        <v>160</v>
      </c>
      <c r="C735" t="s">
        <v>619</v>
      </c>
      <c r="D735" t="s">
        <v>383</v>
      </c>
      <c r="E735" s="4" t="str">
        <f>HYPERLINK("http://snap.windin.com/ns/bulletin.php?id=1895154&amp;type=1", "吉艾科技:首次公开发行股票并在创业板上市上市公告书提示性公告")</f>
        <v>吉艾科技:首次公开发行股票并在创业板上市上市公告书提示性公告</v>
      </c>
      <c r="F735" t="s">
        <v>1617</v>
      </c>
    </row>
    <row r="736" spans="1:6" x14ac:dyDescent="0.15">
      <c r="A736" s="1">
        <v>41008</v>
      </c>
      <c r="B736" t="s">
        <v>160</v>
      </c>
      <c r="C736" t="s">
        <v>619</v>
      </c>
      <c r="D736" t="s">
        <v>408</v>
      </c>
      <c r="E736" s="4" t="str">
        <f>HYPERLINK("http://snap.windin.com/ns/bulletin.php?id=1653520&amp;type=1", "吉艾科技:首次公开发行股票并在创业板上市之上市公告书")</f>
        <v>吉艾科技:首次公开发行股票并在创业板上市之上市公告书</v>
      </c>
      <c r="F736" t="s">
        <v>1618</v>
      </c>
    </row>
    <row r="737" spans="1:6" x14ac:dyDescent="0.15">
      <c r="A737" s="1">
        <v>41008</v>
      </c>
      <c r="B737" t="s">
        <v>162</v>
      </c>
      <c r="C737" t="s">
        <v>620</v>
      </c>
      <c r="D737" t="s">
        <v>417</v>
      </c>
      <c r="E737" s="4" t="str">
        <f>HYPERLINK("http://snap.windin.com/ns/bulletin.php?id=1643509&amp;type=1", "中际装备:首次公开发行股票并在创业板上市公告书")</f>
        <v>中际装备:首次公开发行股票并在创业板上市公告书</v>
      </c>
      <c r="F737" t="s">
        <v>1619</v>
      </c>
    </row>
    <row r="738" spans="1:6" x14ac:dyDescent="0.15">
      <c r="A738" s="1">
        <v>41008</v>
      </c>
      <c r="B738" t="s">
        <v>162</v>
      </c>
      <c r="C738" t="s">
        <v>620</v>
      </c>
      <c r="D738" t="s">
        <v>449</v>
      </c>
      <c r="E738" s="4" t="str">
        <f>HYPERLINK("http://snap.windin.com/ns/bulletin.php?id=1070721&amp;type=1", "中际装备:首次公开发行股票并在创业板上市上市公告书提示公告")</f>
        <v>中际装备:首次公开发行股票并在创业板上市上市公告书提示公告</v>
      </c>
      <c r="F738" t="s">
        <v>1620</v>
      </c>
    </row>
    <row r="739" spans="1:6" x14ac:dyDescent="0.15">
      <c r="A739" s="1">
        <v>41005</v>
      </c>
      <c r="B739" t="s">
        <v>153</v>
      </c>
      <c r="C739" t="s">
        <v>603</v>
      </c>
      <c r="D739" t="s">
        <v>471</v>
      </c>
      <c r="E739" s="4" t="str">
        <f>HYPERLINK("http://snap.windin.com/ns/bulletin.php?id=1223566&amp;type=1", "天山生物:首次公开发行股票并在创业板上市招股意向书")</f>
        <v>天山生物:首次公开发行股票并在创业板上市招股意向书</v>
      </c>
      <c r="F739" t="s">
        <v>1621</v>
      </c>
    </row>
    <row r="740" spans="1:6" x14ac:dyDescent="0.15">
      <c r="A740" s="1">
        <v>41005</v>
      </c>
      <c r="B740" t="s">
        <v>148</v>
      </c>
      <c r="C740" t="s">
        <v>601</v>
      </c>
      <c r="D740" t="s">
        <v>475</v>
      </c>
      <c r="E740" s="4" t="str">
        <f>HYPERLINK("http://snap.windin.com/ns/bulletin.php?id=211157&amp;type=1", "东江环保:首次公开发行A股股票招股意向书")</f>
        <v>东江环保:首次公开发行A股股票招股意向书</v>
      </c>
      <c r="F740" t="s">
        <v>1622</v>
      </c>
    </row>
    <row r="741" spans="1:6" x14ac:dyDescent="0.15">
      <c r="A741" s="1">
        <v>41005</v>
      </c>
      <c r="B741" t="s">
        <v>148</v>
      </c>
      <c r="C741" t="s">
        <v>601</v>
      </c>
      <c r="D741" t="s">
        <v>476</v>
      </c>
      <c r="E741" s="4" t="str">
        <f>HYPERLINK("http://snap.windin.com/ns/bulletin.php?id=1704740&amp;type=1", "东江环保:首次公开发行A股股票招股意向书摘要")</f>
        <v>东江环保:首次公开发行A股股票招股意向书摘要</v>
      </c>
      <c r="F741" t="s">
        <v>1623</v>
      </c>
    </row>
    <row r="742" spans="1:6" x14ac:dyDescent="0.15">
      <c r="A742" s="1">
        <v>41004</v>
      </c>
      <c r="B742" t="s">
        <v>149</v>
      </c>
      <c r="C742" t="s">
        <v>597</v>
      </c>
      <c r="D742" t="s">
        <v>465</v>
      </c>
      <c r="E742" s="4" t="str">
        <f>HYPERLINK("http://snap.windin.com/ns/bulletin.php?id=1650755&amp;type=1", "人民网:首次公开发行股票招股意向书")</f>
        <v>人民网:首次公开发行股票招股意向书</v>
      </c>
      <c r="F742" t="s">
        <v>1624</v>
      </c>
    </row>
    <row r="743" spans="1:6" x14ac:dyDescent="0.15">
      <c r="A743" s="1">
        <v>41004</v>
      </c>
      <c r="B743" t="s">
        <v>149</v>
      </c>
      <c r="C743" t="s">
        <v>597</v>
      </c>
      <c r="D743" t="s">
        <v>467</v>
      </c>
      <c r="E743" s="4" t="str">
        <f>HYPERLINK("http://snap.windin.com/ns/bulletin.php?id=903387&amp;type=1", "人民网:首次公开发行股票招股意向书附录")</f>
        <v>人民网:首次公开发行股票招股意向书附录</v>
      </c>
      <c r="F743" t="s">
        <v>1625</v>
      </c>
    </row>
    <row r="744" spans="1:6" x14ac:dyDescent="0.15">
      <c r="A744" s="1">
        <v>41004</v>
      </c>
      <c r="B744" t="s">
        <v>149</v>
      </c>
      <c r="C744" t="s">
        <v>597</v>
      </c>
      <c r="D744" t="s">
        <v>466</v>
      </c>
      <c r="E744" s="4" t="str">
        <f>HYPERLINK("http://snap.windin.com/ns/bulletin.php?id=712023&amp;type=1", "人民网:首次公开发行股票招股意向书摘要")</f>
        <v>人民网:首次公开发行股票招股意向书摘要</v>
      </c>
      <c r="F744" t="s">
        <v>1626</v>
      </c>
    </row>
    <row r="745" spans="1:6" x14ac:dyDescent="0.15">
      <c r="A745" s="1">
        <v>41004</v>
      </c>
      <c r="B745" t="s">
        <v>157</v>
      </c>
      <c r="C745" t="s">
        <v>611</v>
      </c>
      <c r="D745" t="s">
        <v>399</v>
      </c>
      <c r="E745" s="4" t="str">
        <f>HYPERLINK("http://snap.windin.com/ns/bulletin.php?id=2055436&amp;type=1", "华声股份:首次公开发行股票招股说明书")</f>
        <v>华声股份:首次公开发行股票招股说明书</v>
      </c>
      <c r="F745" t="s">
        <v>1627</v>
      </c>
    </row>
    <row r="746" spans="1:6" x14ac:dyDescent="0.15">
      <c r="A746" s="1">
        <v>41004</v>
      </c>
      <c r="B746" t="s">
        <v>157</v>
      </c>
      <c r="C746" t="s">
        <v>611</v>
      </c>
      <c r="D746" t="s">
        <v>400</v>
      </c>
      <c r="E746" s="4" t="str">
        <f>HYPERLINK("http://snap.windin.com/ns/bulletin.php?id=2003338&amp;type=1", "华声股份:首次公开发行股票招股说明书摘要")</f>
        <v>华声股份:首次公开发行股票招股说明书摘要</v>
      </c>
      <c r="F746" t="s">
        <v>1628</v>
      </c>
    </row>
    <row r="747" spans="1:6" x14ac:dyDescent="0.15">
      <c r="A747" s="1">
        <v>40998</v>
      </c>
      <c r="B747" t="s">
        <v>152</v>
      </c>
      <c r="C747" t="s">
        <v>602</v>
      </c>
      <c r="D747" t="s">
        <v>471</v>
      </c>
      <c r="E747" s="4" t="str">
        <f>HYPERLINK("http://snap.windin.com/ns/bulletin.php?id=1465438&amp;type=1", "任子行:首次公开发行股票并在创业板上市招股意向书")</f>
        <v>任子行:首次公开发行股票并在创业板上市招股意向书</v>
      </c>
      <c r="F747" t="s">
        <v>1629</v>
      </c>
    </row>
    <row r="748" spans="1:6" x14ac:dyDescent="0.15">
      <c r="A748" s="1">
        <v>40998</v>
      </c>
      <c r="B748" t="s">
        <v>154</v>
      </c>
      <c r="C748" t="s">
        <v>604</v>
      </c>
      <c r="D748" t="s">
        <v>471</v>
      </c>
      <c r="E748" s="4" t="str">
        <f>HYPERLINK("http://snap.windin.com/ns/bulletin.php?id=1234872&amp;type=1", "宜通世纪:首次公开发行股票并在创业板上市招股意向书")</f>
        <v>宜通世纪:首次公开发行股票并在创业板上市招股意向书</v>
      </c>
      <c r="F748" t="s">
        <v>1630</v>
      </c>
    </row>
    <row r="749" spans="1:6" x14ac:dyDescent="0.15">
      <c r="A749" s="1">
        <v>40998</v>
      </c>
      <c r="B749" t="s">
        <v>158</v>
      </c>
      <c r="C749" t="s">
        <v>613</v>
      </c>
      <c r="D749" t="s">
        <v>399</v>
      </c>
      <c r="E749" s="4" t="str">
        <f>HYPERLINK("http://snap.windin.com/ns/bulletin.php?id=1397163&amp;type=1", "康达新材:首次公开发行股票招股说明书")</f>
        <v>康达新材:首次公开发行股票招股说明书</v>
      </c>
      <c r="F749" t="s">
        <v>1631</v>
      </c>
    </row>
    <row r="750" spans="1:6" x14ac:dyDescent="0.15">
      <c r="A750" s="1">
        <v>40998</v>
      </c>
      <c r="B750" t="s">
        <v>158</v>
      </c>
      <c r="C750" t="s">
        <v>613</v>
      </c>
      <c r="D750" t="s">
        <v>400</v>
      </c>
      <c r="E750" s="4" t="str">
        <f>HYPERLINK("http://snap.windin.com/ns/bulletin.php?id=1541196&amp;type=1", "康达新材:首次公开发行股票招股说明书摘要")</f>
        <v>康达新材:首次公开发行股票招股说明书摘要</v>
      </c>
      <c r="F750" t="s">
        <v>1632</v>
      </c>
    </row>
    <row r="751" spans="1:6" x14ac:dyDescent="0.15">
      <c r="A751" s="1">
        <v>40996</v>
      </c>
      <c r="B751" t="s">
        <v>163</v>
      </c>
      <c r="C751" t="s">
        <v>621</v>
      </c>
      <c r="D751" t="s">
        <v>412</v>
      </c>
      <c r="E751" s="4" t="str">
        <f>HYPERLINK("http://snap.windin.com/ns/bulletin.php?id=1990294&amp;type=1", "慈星股份:首次公开发行股票并在创业板上市上市公告书")</f>
        <v>慈星股份:首次公开发行股票并在创业板上市上市公告书</v>
      </c>
      <c r="F751" t="s">
        <v>1633</v>
      </c>
    </row>
    <row r="752" spans="1:6" x14ac:dyDescent="0.15">
      <c r="A752" s="1">
        <v>40996</v>
      </c>
      <c r="B752" t="s">
        <v>164</v>
      </c>
      <c r="C752" t="s">
        <v>622</v>
      </c>
      <c r="D752" t="s">
        <v>417</v>
      </c>
      <c r="E752" s="4" t="str">
        <f>HYPERLINK("http://snap.windin.com/ns/bulletin.php?id=1964210&amp;type=1", "远方光电:首次公开发行股票并在创业板上市公告书")</f>
        <v>远方光电:首次公开发行股票并在创业板上市公告书</v>
      </c>
      <c r="F752" t="s">
        <v>1634</v>
      </c>
    </row>
    <row r="753" spans="1:6" x14ac:dyDescent="0.15">
      <c r="A753" s="1">
        <v>40996</v>
      </c>
      <c r="B753" t="s">
        <v>164</v>
      </c>
      <c r="C753" t="s">
        <v>622</v>
      </c>
      <c r="D753" t="s">
        <v>407</v>
      </c>
      <c r="E753" s="4" t="str">
        <f>HYPERLINK("http://snap.windin.com/ns/bulletin.php?id=1917782&amp;type=1", "远方光电:首次公开发行股票并在创业板上市公告书提示性公告")</f>
        <v>远方光电:首次公开发行股票并在创业板上市公告书提示性公告</v>
      </c>
      <c r="F753" t="s">
        <v>1635</v>
      </c>
    </row>
    <row r="754" spans="1:6" x14ac:dyDescent="0.15">
      <c r="A754" s="1">
        <v>40996</v>
      </c>
      <c r="B754" t="s">
        <v>165</v>
      </c>
      <c r="C754" t="s">
        <v>623</v>
      </c>
      <c r="D754" t="s">
        <v>407</v>
      </c>
      <c r="E754" s="4" t="str">
        <f>HYPERLINK("http://snap.windin.com/ns/bulletin.php?id=1530321&amp;type=1", "裕兴股份:首次公开发行股票并在创业板上市公告书提示性公告")</f>
        <v>裕兴股份:首次公开发行股票并在创业板上市公告书提示性公告</v>
      </c>
      <c r="F754" t="s">
        <v>1636</v>
      </c>
    </row>
    <row r="755" spans="1:6" x14ac:dyDescent="0.15">
      <c r="A755" s="1">
        <v>40996</v>
      </c>
      <c r="B755" t="s">
        <v>165</v>
      </c>
      <c r="C755" t="s">
        <v>623</v>
      </c>
      <c r="D755" t="s">
        <v>408</v>
      </c>
      <c r="E755" s="4" t="str">
        <f>HYPERLINK("http://snap.windin.com/ns/bulletin.php?id=681323&amp;type=1", "裕兴股份:首次公开发行股票并在创业板上市之上市公告书")</f>
        <v>裕兴股份:首次公开发行股票并在创业板上市之上市公告书</v>
      </c>
      <c r="F755" t="s">
        <v>1637</v>
      </c>
    </row>
    <row r="756" spans="1:6" x14ac:dyDescent="0.15">
      <c r="A756" s="1">
        <v>40996</v>
      </c>
      <c r="B756" t="s">
        <v>166</v>
      </c>
      <c r="C756" t="s">
        <v>624</v>
      </c>
      <c r="D756" t="s">
        <v>389</v>
      </c>
      <c r="E756" s="4" t="str">
        <f>HYPERLINK("http://snap.windin.com/ns/bulletin.php?id=874578&amp;type=1", "鞍重股份:首次公开发行股票上市公告书")</f>
        <v>鞍重股份:首次公开发行股票上市公告书</v>
      </c>
      <c r="F756" t="s">
        <v>1638</v>
      </c>
    </row>
    <row r="757" spans="1:6" x14ac:dyDescent="0.15">
      <c r="A757" s="1">
        <v>40995</v>
      </c>
      <c r="B757" t="s">
        <v>168</v>
      </c>
      <c r="C757" t="s">
        <v>627</v>
      </c>
      <c r="D757" t="s">
        <v>628</v>
      </c>
      <c r="E757" s="4" t="str">
        <f>HYPERLINK("http://snap.windin.com/ns/bulletin.php?id=706408&amp;type=1", "广汽集团:首次公开发行A股股票吸收合并广汽长丰汽车股份有限公司上市公告书")</f>
        <v>广汽集团:首次公开发行A股股票吸收合并广汽长丰汽车股份有限公司上市公告书</v>
      </c>
      <c r="F757" t="s">
        <v>1639</v>
      </c>
    </row>
    <row r="758" spans="1:6" x14ac:dyDescent="0.15">
      <c r="A758" s="1">
        <v>40995</v>
      </c>
      <c r="B758" t="s">
        <v>160</v>
      </c>
      <c r="C758" t="s">
        <v>619</v>
      </c>
      <c r="D758" t="s">
        <v>629</v>
      </c>
      <c r="E758" s="4" t="str">
        <f>HYPERLINK("http://snap.windin.com/ns/bulletin.php?id=587732&amp;type=1", "吉艾科技:关于《吉艾科技（北京）股份公司首次公开发行股票并在创业板上市招股说明书》的更正公告")</f>
        <v>吉艾科技:关于《吉艾科技（北京）股份公司首次公开发行股票并在创业板上市招股说明书》的更正公告</v>
      </c>
      <c r="F758" t="s">
        <v>1640</v>
      </c>
    </row>
    <row r="759" spans="1:6" x14ac:dyDescent="0.15">
      <c r="A759" s="1">
        <v>40995</v>
      </c>
      <c r="B759" t="s">
        <v>160</v>
      </c>
      <c r="C759" t="s">
        <v>619</v>
      </c>
      <c r="D759" t="s">
        <v>626</v>
      </c>
      <c r="E759" s="4" t="str">
        <f>HYPERLINK("http://snap.windin.com/ns/bulletin.php?id=1843114&amp;type=1", "吉艾科技:首次公开发行股票并在创业板上市招股说明书（更新后）")</f>
        <v>吉艾科技:首次公开发行股票并在创业板上市招股说明书（更新后）</v>
      </c>
      <c r="F759" t="s">
        <v>1641</v>
      </c>
    </row>
    <row r="760" spans="1:6" x14ac:dyDescent="0.15">
      <c r="A760" s="1">
        <v>40995</v>
      </c>
      <c r="B760" t="s">
        <v>159</v>
      </c>
      <c r="C760" t="s">
        <v>614</v>
      </c>
      <c r="D760" t="s">
        <v>399</v>
      </c>
      <c r="E760" s="4" t="str">
        <f>HYPERLINK("http://snap.windin.com/ns/bulletin.php?id=1848191&amp;type=1", "奥马电器:首次公开发行股票招股说明书")</f>
        <v>奥马电器:首次公开发行股票招股说明书</v>
      </c>
      <c r="F760" t="s">
        <v>1642</v>
      </c>
    </row>
    <row r="761" spans="1:6" x14ac:dyDescent="0.15">
      <c r="A761" s="1">
        <v>40995</v>
      </c>
      <c r="B761" t="s">
        <v>159</v>
      </c>
      <c r="C761" t="s">
        <v>614</v>
      </c>
      <c r="D761" t="s">
        <v>400</v>
      </c>
      <c r="E761" s="4" t="str">
        <f>HYPERLINK("http://snap.windin.com/ns/bulletin.php?id=1889378&amp;type=1", "奥马电器:首次公开发行股票招股说明书摘要")</f>
        <v>奥马电器:首次公开发行股票招股说明书摘要</v>
      </c>
      <c r="F761" t="s">
        <v>1643</v>
      </c>
    </row>
    <row r="762" spans="1:6" x14ac:dyDescent="0.15">
      <c r="A762" s="1">
        <v>40995</v>
      </c>
      <c r="B762" t="s">
        <v>167</v>
      </c>
      <c r="C762" t="s">
        <v>625</v>
      </c>
      <c r="D762" t="s">
        <v>598</v>
      </c>
      <c r="E762" s="4" t="str">
        <f>HYPERLINK("http://snap.windin.com/ns/bulletin.php?id=2077331&amp;type=1", "N首航:关于《首次公开发行股票上市公告书》之更正公告")</f>
        <v>N首航:关于《首次公开发行股票上市公告书》之更正公告</v>
      </c>
      <c r="F762" t="s">
        <v>1644</v>
      </c>
    </row>
    <row r="763" spans="1:6" x14ac:dyDescent="0.15">
      <c r="A763" s="1">
        <v>40995</v>
      </c>
      <c r="B763" t="s">
        <v>167</v>
      </c>
      <c r="C763" t="s">
        <v>625</v>
      </c>
      <c r="D763" t="s">
        <v>546</v>
      </c>
      <c r="E763" s="4" t="str">
        <f>HYPERLINK("http://snap.windin.com/ns/bulletin.php?id=801656&amp;type=1", "N首航:首次公开发行股票上市公告书（更新后）")</f>
        <v>N首航:首次公开发行股票上市公告书（更新后）</v>
      </c>
      <c r="F763" t="s">
        <v>1645</v>
      </c>
    </row>
    <row r="764" spans="1:6" x14ac:dyDescent="0.15">
      <c r="A764" s="1">
        <v>40994</v>
      </c>
      <c r="B764" t="s">
        <v>160</v>
      </c>
      <c r="C764" t="s">
        <v>619</v>
      </c>
      <c r="D764" t="s">
        <v>455</v>
      </c>
      <c r="E764" s="4" t="str">
        <f>HYPERLINK("http://snap.windin.com/ns/bulletin.php?id=1553528&amp;type=1", "吉艾科技:首次公开发行股票并在创业板上市招股说明书")</f>
        <v>吉艾科技:首次公开发行股票并在创业板上市招股说明书</v>
      </c>
      <c r="F764" t="s">
        <v>1646</v>
      </c>
    </row>
    <row r="765" spans="1:6" x14ac:dyDescent="0.15">
      <c r="A765" s="1">
        <v>40994</v>
      </c>
      <c r="B765" t="s">
        <v>169</v>
      </c>
      <c r="C765" t="s">
        <v>631</v>
      </c>
      <c r="D765" t="s">
        <v>389</v>
      </c>
      <c r="E765" s="4" t="str">
        <f>HYPERLINK("http://snap.windin.com/ns/bulletin.php?id=797632&amp;type=1", "德联集团:首次公开发行股票上市公告书")</f>
        <v>德联集团:首次公开发行股票上市公告书</v>
      </c>
      <c r="F765" t="s">
        <v>1647</v>
      </c>
    </row>
    <row r="766" spans="1:6" x14ac:dyDescent="0.15">
      <c r="A766" s="1">
        <v>40994</v>
      </c>
      <c r="B766" t="s">
        <v>167</v>
      </c>
      <c r="C766" t="s">
        <v>630</v>
      </c>
      <c r="D766" t="s">
        <v>389</v>
      </c>
      <c r="E766" s="4" t="str">
        <f>HYPERLINK("http://snap.windin.com/ns/bulletin.php?id=1427167&amp;type=1", "首航节能:首次公开发行股票上市公告书")</f>
        <v>首航节能:首次公开发行股票上市公告书</v>
      </c>
      <c r="F766" t="s">
        <v>1648</v>
      </c>
    </row>
    <row r="767" spans="1:6" x14ac:dyDescent="0.15">
      <c r="A767" s="1">
        <v>40991</v>
      </c>
      <c r="B767" t="s">
        <v>155</v>
      </c>
      <c r="C767" t="s">
        <v>605</v>
      </c>
      <c r="D767" t="s">
        <v>465</v>
      </c>
      <c r="E767" s="4" t="str">
        <f>HYPERLINK("http://snap.windin.com/ns/bulletin.php?id=1010185&amp;type=1", "怡球资源:首次公开发行股票招股意向书")</f>
        <v>怡球资源:首次公开发行股票招股意向书</v>
      </c>
      <c r="F767" t="s">
        <v>1649</v>
      </c>
    </row>
    <row r="768" spans="1:6" x14ac:dyDescent="0.15">
      <c r="A768" s="1">
        <v>40991</v>
      </c>
      <c r="B768" t="s">
        <v>155</v>
      </c>
      <c r="C768" t="s">
        <v>605</v>
      </c>
      <c r="D768" t="s">
        <v>467</v>
      </c>
      <c r="E768" s="4" t="str">
        <f>HYPERLINK("http://snap.windin.com/ns/bulletin.php?id=1284411&amp;type=1", "怡球资源:首次公开发行股票招股意向书附录")</f>
        <v>怡球资源:首次公开发行股票招股意向书附录</v>
      </c>
      <c r="F768" t="s">
        <v>1650</v>
      </c>
    </row>
    <row r="769" spans="1:6" x14ac:dyDescent="0.15">
      <c r="A769" s="1">
        <v>40991</v>
      </c>
      <c r="B769" t="s">
        <v>155</v>
      </c>
      <c r="C769" t="s">
        <v>605</v>
      </c>
      <c r="D769" t="s">
        <v>466</v>
      </c>
      <c r="E769" s="4" t="str">
        <f>HYPERLINK("http://snap.windin.com/ns/bulletin.php?id=239871&amp;type=1", "怡球资源:首次公开发行股票招股意向书摘要")</f>
        <v>怡球资源:首次公开发行股票招股意向书摘要</v>
      </c>
      <c r="F769" t="s">
        <v>1651</v>
      </c>
    </row>
    <row r="770" spans="1:6" x14ac:dyDescent="0.15">
      <c r="A770" s="1">
        <v>40991</v>
      </c>
      <c r="B770" t="s">
        <v>162</v>
      </c>
      <c r="C770" t="s">
        <v>620</v>
      </c>
      <c r="D770" t="s">
        <v>455</v>
      </c>
      <c r="E770" s="4" t="str">
        <f>HYPERLINK("http://snap.windin.com/ns/bulletin.php?id=1568933&amp;type=1", "中际装备:首次公开发行股票并在创业板上市招股说明书")</f>
        <v>中际装备:首次公开发行股票并在创业板上市招股说明书</v>
      </c>
      <c r="F770" t="s">
        <v>1652</v>
      </c>
    </row>
    <row r="771" spans="1:6" x14ac:dyDescent="0.15">
      <c r="A771" s="1">
        <v>40991</v>
      </c>
      <c r="B771" t="s">
        <v>157</v>
      </c>
      <c r="C771" t="s">
        <v>611</v>
      </c>
      <c r="D771" t="s">
        <v>465</v>
      </c>
      <c r="E771" s="4" t="str">
        <f>HYPERLINK("http://snap.windin.com/ns/bulletin.php?id=211329&amp;type=1", "华声股份:首次公开发行股票招股意向书")</f>
        <v>华声股份:首次公开发行股票招股意向书</v>
      </c>
      <c r="F771" t="s">
        <v>1653</v>
      </c>
    </row>
    <row r="772" spans="1:6" x14ac:dyDescent="0.15">
      <c r="A772" s="1">
        <v>40991</v>
      </c>
      <c r="B772" t="s">
        <v>157</v>
      </c>
      <c r="C772" t="s">
        <v>611</v>
      </c>
      <c r="D772" t="s">
        <v>506</v>
      </c>
      <c r="E772" s="4" t="str">
        <f>HYPERLINK("http://snap.windin.com/ns/bulletin.php?id=2066791&amp;type=1", "华声股份:首次公开发行股票招股意向书（更新后）")</f>
        <v>华声股份:首次公开发行股票招股意向书（更新后）</v>
      </c>
      <c r="F772" t="s">
        <v>1654</v>
      </c>
    </row>
    <row r="773" spans="1:6" x14ac:dyDescent="0.15">
      <c r="A773" s="1">
        <v>40991</v>
      </c>
      <c r="B773" t="s">
        <v>157</v>
      </c>
      <c r="C773" t="s">
        <v>611</v>
      </c>
      <c r="D773" t="s">
        <v>466</v>
      </c>
      <c r="E773" s="4" t="str">
        <f>HYPERLINK("http://snap.windin.com/ns/bulletin.php?id=771743&amp;type=1", "华声股份:首次公开发行股票招股意向书摘要")</f>
        <v>华声股份:首次公开发行股票招股意向书摘要</v>
      </c>
      <c r="F773" t="s">
        <v>1655</v>
      </c>
    </row>
    <row r="774" spans="1:6" x14ac:dyDescent="0.15">
      <c r="A774" s="1">
        <v>40991</v>
      </c>
      <c r="B774" t="s">
        <v>157</v>
      </c>
      <c r="C774" t="s">
        <v>611</v>
      </c>
      <c r="D774" t="s">
        <v>505</v>
      </c>
      <c r="E774" s="4" t="str">
        <f>HYPERLINK("http://snap.windin.com/ns/bulletin.php?id=1078538&amp;type=1", "华声股份:首次公开发行股票招股意向书摘要（更新后）")</f>
        <v>华声股份:首次公开发行股票招股意向书摘要（更新后）</v>
      </c>
      <c r="F774" t="s">
        <v>1656</v>
      </c>
    </row>
    <row r="775" spans="1:6" x14ac:dyDescent="0.15">
      <c r="A775" s="1">
        <v>40988</v>
      </c>
      <c r="B775" t="s">
        <v>164</v>
      </c>
      <c r="C775" t="s">
        <v>622</v>
      </c>
      <c r="D775" t="s">
        <v>455</v>
      </c>
      <c r="E775" s="4" t="str">
        <f>HYPERLINK("http://snap.windin.com/ns/bulletin.php?id=517883&amp;type=1", "远方光电:首次公开发行股票并在创业板上市招股说明书")</f>
        <v>远方光电:首次公开发行股票并在创业板上市招股说明书</v>
      </c>
      <c r="F775" t="s">
        <v>1657</v>
      </c>
    </row>
    <row r="776" spans="1:6" x14ac:dyDescent="0.15">
      <c r="A776" s="1">
        <v>40988</v>
      </c>
      <c r="B776" t="s">
        <v>172</v>
      </c>
      <c r="C776" t="s">
        <v>634</v>
      </c>
      <c r="D776" t="s">
        <v>417</v>
      </c>
      <c r="E776" s="4" t="str">
        <f>HYPERLINK("http://snap.windin.com/ns/bulletin.php?id=1687107&amp;type=1", "云意电气:首次公开发行股票并在创业板上市公告书")</f>
        <v>云意电气:首次公开发行股票并在创业板上市公告书</v>
      </c>
      <c r="F776" t="s">
        <v>1658</v>
      </c>
    </row>
    <row r="777" spans="1:6" x14ac:dyDescent="0.15">
      <c r="A777" s="1">
        <v>40988</v>
      </c>
      <c r="B777" t="s">
        <v>172</v>
      </c>
      <c r="C777" t="s">
        <v>634</v>
      </c>
      <c r="D777" t="s">
        <v>449</v>
      </c>
      <c r="E777" s="4" t="str">
        <f>HYPERLINK("http://snap.windin.com/ns/bulletin.php?id=1758090&amp;type=1", "云意电气:首次公开发行股票并在创业板上市上市公告书提示公告")</f>
        <v>云意电气:首次公开发行股票并在创业板上市上市公告书提示公告</v>
      </c>
      <c r="F777" t="s">
        <v>1659</v>
      </c>
    </row>
    <row r="778" spans="1:6" x14ac:dyDescent="0.15">
      <c r="A778" s="1">
        <v>40988</v>
      </c>
      <c r="B778" t="s">
        <v>170</v>
      </c>
      <c r="C778" t="s">
        <v>632</v>
      </c>
      <c r="D778" t="s">
        <v>417</v>
      </c>
      <c r="E778" s="4" t="str">
        <f>HYPERLINK("http://snap.windin.com/ns/bulletin.php?id=418069&amp;type=1", "同有科技:首次公开发行股票并在创业板上市公告书")</f>
        <v>同有科技:首次公开发行股票并在创业板上市公告书</v>
      </c>
      <c r="F778" t="s">
        <v>1660</v>
      </c>
    </row>
    <row r="779" spans="1:6" x14ac:dyDescent="0.15">
      <c r="A779" s="1">
        <v>40988</v>
      </c>
      <c r="B779" t="s">
        <v>170</v>
      </c>
      <c r="C779" t="s">
        <v>632</v>
      </c>
      <c r="D779" t="s">
        <v>407</v>
      </c>
      <c r="E779" s="4" t="str">
        <f>HYPERLINK("http://snap.windin.com/ns/bulletin.php?id=1910652&amp;type=1", "同有科技:首次公开发行股票并在创业板上市公告书提示性公告")</f>
        <v>同有科技:首次公开发行股票并在创业板上市公告书提示性公告</v>
      </c>
      <c r="F779" t="s">
        <v>1661</v>
      </c>
    </row>
    <row r="780" spans="1:6" x14ac:dyDescent="0.15">
      <c r="A780" s="1">
        <v>40988</v>
      </c>
      <c r="B780" t="s">
        <v>171</v>
      </c>
      <c r="C780" t="s">
        <v>633</v>
      </c>
      <c r="D780" t="s">
        <v>383</v>
      </c>
      <c r="E780" s="4" t="str">
        <f>HYPERLINK("http://snap.windin.com/ns/bulletin.php?id=1767873&amp;type=1", "长方照明:首次公开发行股票并在创业板上市上市公告书提示性公告")</f>
        <v>长方照明:首次公开发行股票并在创业板上市上市公告书提示性公告</v>
      </c>
      <c r="F780" t="s">
        <v>1662</v>
      </c>
    </row>
    <row r="781" spans="1:6" x14ac:dyDescent="0.15">
      <c r="A781" s="1">
        <v>40988</v>
      </c>
      <c r="B781" t="s">
        <v>171</v>
      </c>
      <c r="C781" t="s">
        <v>633</v>
      </c>
      <c r="D781" t="s">
        <v>408</v>
      </c>
      <c r="E781" s="4" t="str">
        <f>HYPERLINK("http://snap.windin.com/ns/bulletin.php?id=1333612&amp;type=1", "长方照明:首次公开发行股票并在创业板上市之上市公告书")</f>
        <v>长方照明:首次公开发行股票并在创业板上市之上市公告书</v>
      </c>
      <c r="F781" t="s">
        <v>1663</v>
      </c>
    </row>
    <row r="782" spans="1:6" x14ac:dyDescent="0.15">
      <c r="A782" s="1">
        <v>40988</v>
      </c>
      <c r="B782" t="s">
        <v>158</v>
      </c>
      <c r="C782" t="s">
        <v>613</v>
      </c>
      <c r="D782" t="s">
        <v>465</v>
      </c>
      <c r="E782" s="4" t="str">
        <f>HYPERLINK("http://snap.windin.com/ns/bulletin.php?id=1312354&amp;type=1", "康达新材:首次公开发行股票招股意向书")</f>
        <v>康达新材:首次公开发行股票招股意向书</v>
      </c>
      <c r="F782" t="s">
        <v>1664</v>
      </c>
    </row>
    <row r="783" spans="1:6" x14ac:dyDescent="0.15">
      <c r="A783" s="1">
        <v>40988</v>
      </c>
      <c r="B783" t="s">
        <v>158</v>
      </c>
      <c r="C783" t="s">
        <v>613</v>
      </c>
      <c r="D783" t="s">
        <v>506</v>
      </c>
      <c r="E783" s="4" t="str">
        <f>HYPERLINK("http://snap.windin.com/ns/bulletin.php?id=2112950&amp;type=1", "康达新材:首次公开发行股票招股意向书（更新后）")</f>
        <v>康达新材:首次公开发行股票招股意向书（更新后）</v>
      </c>
      <c r="F783" t="s">
        <v>1665</v>
      </c>
    </row>
    <row r="784" spans="1:6" x14ac:dyDescent="0.15">
      <c r="A784" s="1">
        <v>40988</v>
      </c>
      <c r="B784" t="s">
        <v>158</v>
      </c>
      <c r="C784" t="s">
        <v>613</v>
      </c>
      <c r="D784" t="s">
        <v>466</v>
      </c>
      <c r="E784" s="4" t="str">
        <f>HYPERLINK("http://snap.windin.com/ns/bulletin.php?id=1949764&amp;type=1", "康达新材:首次公开发行股票招股意向书摘要")</f>
        <v>康达新材:首次公开发行股票招股意向书摘要</v>
      </c>
      <c r="F784" t="s">
        <v>1666</v>
      </c>
    </row>
    <row r="785" spans="1:6" x14ac:dyDescent="0.15">
      <c r="A785" s="1">
        <v>40988</v>
      </c>
      <c r="B785" t="s">
        <v>166</v>
      </c>
      <c r="C785" t="s">
        <v>624</v>
      </c>
      <c r="D785" t="s">
        <v>399</v>
      </c>
      <c r="E785" s="4" t="str">
        <f>HYPERLINK("http://snap.windin.com/ns/bulletin.php?id=798147&amp;type=1", "鞍重股份:首次公开发行股票招股说明书")</f>
        <v>鞍重股份:首次公开发行股票招股说明书</v>
      </c>
      <c r="F785" t="s">
        <v>1667</v>
      </c>
    </row>
    <row r="786" spans="1:6" x14ac:dyDescent="0.15">
      <c r="A786" s="1">
        <v>40988</v>
      </c>
      <c r="B786" t="s">
        <v>166</v>
      </c>
      <c r="C786" t="s">
        <v>624</v>
      </c>
      <c r="D786" t="s">
        <v>400</v>
      </c>
      <c r="E786" s="4" t="str">
        <f>HYPERLINK("http://snap.windin.com/ns/bulletin.php?id=1137988&amp;type=1", "鞍重股份:首次公开发行股票招股说明书摘要")</f>
        <v>鞍重股份:首次公开发行股票招股说明书摘要</v>
      </c>
      <c r="F786" t="s">
        <v>1668</v>
      </c>
    </row>
    <row r="787" spans="1:6" x14ac:dyDescent="0.15">
      <c r="A787" s="1">
        <v>40987</v>
      </c>
      <c r="B787" t="s">
        <v>160</v>
      </c>
      <c r="C787" t="s">
        <v>619</v>
      </c>
      <c r="D787" t="s">
        <v>471</v>
      </c>
      <c r="E787" s="4" t="str">
        <f>HYPERLINK("http://snap.windin.com/ns/bulletin.php?id=943442&amp;type=1", "吉艾科技:首次公开发行股票并在创业板上市招股意向书")</f>
        <v>吉艾科技:首次公开发行股票并在创业板上市招股意向书</v>
      </c>
      <c r="F787" t="s">
        <v>1669</v>
      </c>
    </row>
    <row r="788" spans="1:6" x14ac:dyDescent="0.15">
      <c r="A788" s="1">
        <v>40987</v>
      </c>
      <c r="B788" t="s">
        <v>163</v>
      </c>
      <c r="C788" t="s">
        <v>621</v>
      </c>
      <c r="D788" t="s">
        <v>455</v>
      </c>
      <c r="E788" s="4" t="str">
        <f>HYPERLINK("http://snap.windin.com/ns/bulletin.php?id=95685&amp;type=1", "慈星股份:首次公开发行股票并在创业板上市招股说明书")</f>
        <v>慈星股份:首次公开发行股票并在创业板上市招股说明书</v>
      </c>
      <c r="F788" t="s">
        <v>1670</v>
      </c>
    </row>
    <row r="789" spans="1:6" x14ac:dyDescent="0.15">
      <c r="A789" s="1">
        <v>40986</v>
      </c>
      <c r="B789" t="s">
        <v>172</v>
      </c>
      <c r="C789" t="s">
        <v>634</v>
      </c>
      <c r="D789" t="s">
        <v>626</v>
      </c>
      <c r="E789" s="4" t="str">
        <f>HYPERLINK("http://snap.windin.com/ns/bulletin.php?id=1835225&amp;type=1", "云意电气:首次公开发行股票并在创业板上市招股说明书（更新后）")</f>
        <v>云意电气:首次公开发行股票并在创业板上市招股说明书（更新后）</v>
      </c>
      <c r="F789" t="s">
        <v>1671</v>
      </c>
    </row>
    <row r="790" spans="1:6" x14ac:dyDescent="0.15">
      <c r="A790" s="1">
        <v>40984</v>
      </c>
      <c r="B790" t="s">
        <v>161</v>
      </c>
      <c r="C790" t="s">
        <v>617</v>
      </c>
      <c r="D790" t="s">
        <v>638</v>
      </c>
      <c r="E790" s="4" t="str">
        <f>HYPERLINK("http://snap.windin.com/ns/bulletin.php?id=1877438&amp;type=1", "隆基股份:首次公开发行股票并上市招股意向书附录")</f>
        <v>隆基股份:首次公开发行股票并上市招股意向书附录</v>
      </c>
      <c r="F790" t="s">
        <v>1672</v>
      </c>
    </row>
    <row r="791" spans="1:6" x14ac:dyDescent="0.15">
      <c r="A791" s="1">
        <v>40984</v>
      </c>
      <c r="B791" t="s">
        <v>161</v>
      </c>
      <c r="C791" t="s">
        <v>617</v>
      </c>
      <c r="D791" t="s">
        <v>465</v>
      </c>
      <c r="E791" s="4" t="str">
        <f>HYPERLINK("http://snap.windin.com/ns/bulletin.php?id=795832&amp;type=1", "隆基股份:首次公开发行股票招股意向书")</f>
        <v>隆基股份:首次公开发行股票招股意向书</v>
      </c>
      <c r="F791" t="s">
        <v>1673</v>
      </c>
    </row>
    <row r="792" spans="1:6" x14ac:dyDescent="0.15">
      <c r="A792" s="1">
        <v>40984</v>
      </c>
      <c r="B792" t="s">
        <v>161</v>
      </c>
      <c r="C792" t="s">
        <v>617</v>
      </c>
      <c r="D792" t="s">
        <v>466</v>
      </c>
      <c r="E792" s="4" t="str">
        <f>HYPERLINK("http://snap.windin.com/ns/bulletin.php?id=899324&amp;type=1", "隆基股份:首次公开发行股票招股意向书摘要")</f>
        <v>隆基股份:首次公开发行股票招股意向书摘要</v>
      </c>
      <c r="F792" t="s">
        <v>1674</v>
      </c>
    </row>
    <row r="793" spans="1:6" x14ac:dyDescent="0.15">
      <c r="A793" s="1">
        <v>40984</v>
      </c>
      <c r="B793" t="s">
        <v>162</v>
      </c>
      <c r="C793" t="s">
        <v>620</v>
      </c>
      <c r="D793" t="s">
        <v>471</v>
      </c>
      <c r="E793" s="4" t="str">
        <f>HYPERLINK("http://snap.windin.com/ns/bulletin.php?id=438790&amp;type=1", "中际装备:首次公开发行股票并在创业板上市招股意向书")</f>
        <v>中际装备:首次公开发行股票并在创业板上市招股意向书</v>
      </c>
      <c r="F793" t="s">
        <v>1675</v>
      </c>
    </row>
    <row r="794" spans="1:6" x14ac:dyDescent="0.15">
      <c r="A794" s="1">
        <v>40984</v>
      </c>
      <c r="B794" t="s">
        <v>165</v>
      </c>
      <c r="C794" t="s">
        <v>623</v>
      </c>
      <c r="D794" t="s">
        <v>455</v>
      </c>
      <c r="E794" s="4" t="str">
        <f>HYPERLINK("http://snap.windin.com/ns/bulletin.php?id=2040084&amp;type=1", "裕兴股份:首次公开发行股票并在创业板上市招股说明书")</f>
        <v>裕兴股份:首次公开发行股票并在创业板上市招股说明书</v>
      </c>
      <c r="F794" t="s">
        <v>1676</v>
      </c>
    </row>
    <row r="795" spans="1:6" x14ac:dyDescent="0.15">
      <c r="A795" s="1">
        <v>40984</v>
      </c>
      <c r="B795" t="s">
        <v>173</v>
      </c>
      <c r="C795" t="s">
        <v>635</v>
      </c>
      <c r="D795" t="s">
        <v>383</v>
      </c>
      <c r="E795" s="4" t="str">
        <f>HYPERLINK("http://snap.windin.com/ns/bulletin.php?id=2050736&amp;type=1", "聚飞光电:首次公开发行股票并在创业板上市上市公告书提示性公告")</f>
        <v>聚飞光电:首次公开发行股票并在创业板上市上市公告书提示性公告</v>
      </c>
      <c r="F795" t="s">
        <v>1677</v>
      </c>
    </row>
    <row r="796" spans="1:6" x14ac:dyDescent="0.15">
      <c r="A796" s="1">
        <v>40984</v>
      </c>
      <c r="B796" t="s">
        <v>173</v>
      </c>
      <c r="C796" t="s">
        <v>635</v>
      </c>
      <c r="D796" t="s">
        <v>408</v>
      </c>
      <c r="E796" s="4" t="str">
        <f>HYPERLINK("http://snap.windin.com/ns/bulletin.php?id=1743000&amp;type=1", "聚飞光电:首次公开发行股票并在创业板上市之上市公告书")</f>
        <v>聚飞光电:首次公开发行股票并在创业板上市之上市公告书</v>
      </c>
      <c r="F796" t="s">
        <v>1678</v>
      </c>
    </row>
    <row r="797" spans="1:6" x14ac:dyDescent="0.15">
      <c r="A797" s="1">
        <v>40984</v>
      </c>
      <c r="B797" t="s">
        <v>175</v>
      </c>
      <c r="C797" t="s">
        <v>637</v>
      </c>
      <c r="D797" t="s">
        <v>412</v>
      </c>
      <c r="E797" s="4" t="str">
        <f>HYPERLINK("http://snap.windin.com/ns/bulletin.php?id=1988196&amp;type=1", "汉鼎股份:首次公开发行股票并在创业板上市上市公告书")</f>
        <v>汉鼎股份:首次公开发行股票并在创业板上市上市公告书</v>
      </c>
      <c r="F797" t="s">
        <v>1679</v>
      </c>
    </row>
    <row r="798" spans="1:6" x14ac:dyDescent="0.15">
      <c r="A798" s="1">
        <v>40984</v>
      </c>
      <c r="B798" t="s">
        <v>175</v>
      </c>
      <c r="C798" t="s">
        <v>637</v>
      </c>
      <c r="D798" t="s">
        <v>383</v>
      </c>
      <c r="E798" s="4" t="str">
        <f>HYPERLINK("http://snap.windin.com/ns/bulletin.php?id=1309508&amp;type=1", "汉鼎股份:首次公开发行股票并在创业板上市上市公告书提示性公告")</f>
        <v>汉鼎股份:首次公开发行股票并在创业板上市上市公告书提示性公告</v>
      </c>
      <c r="F798" t="s">
        <v>1680</v>
      </c>
    </row>
    <row r="799" spans="1:6" x14ac:dyDescent="0.15">
      <c r="A799" s="1">
        <v>40984</v>
      </c>
      <c r="B799" t="s">
        <v>176</v>
      </c>
      <c r="C799" t="s">
        <v>639</v>
      </c>
      <c r="D799" t="s">
        <v>408</v>
      </c>
      <c r="E799" s="4" t="str">
        <f>HYPERLINK("http://snap.windin.com/ns/bulletin.php?id=1869459&amp;type=1", "富春通信:首次公开发行股票并在创业板上市之上市公告书")</f>
        <v>富春通信:首次公开发行股票并在创业板上市之上市公告书</v>
      </c>
      <c r="F799" t="s">
        <v>1681</v>
      </c>
    </row>
    <row r="800" spans="1:6" x14ac:dyDescent="0.15">
      <c r="A800" s="1">
        <v>40984</v>
      </c>
      <c r="B800" t="s">
        <v>176</v>
      </c>
      <c r="C800" t="s">
        <v>639</v>
      </c>
      <c r="D800" t="s">
        <v>410</v>
      </c>
      <c r="E800" s="4" t="str">
        <f>HYPERLINK("http://snap.windin.com/ns/bulletin.php?id=1773091&amp;type=1", "富春通信:首次公开发行股票并在创业板上市之上市公告书提示性公告")</f>
        <v>富春通信:首次公开发行股票并在创业板上市之上市公告书提示性公告</v>
      </c>
      <c r="F800" t="s">
        <v>1682</v>
      </c>
    </row>
    <row r="801" spans="1:6" x14ac:dyDescent="0.15">
      <c r="A801" s="1">
        <v>40984</v>
      </c>
      <c r="B801" t="s">
        <v>174</v>
      </c>
      <c r="C801" t="s">
        <v>636</v>
      </c>
      <c r="D801" t="s">
        <v>417</v>
      </c>
      <c r="E801" s="4" t="str">
        <f>HYPERLINK("http://snap.windin.com/ns/bulletin.php?id=200130&amp;type=1", "三诺生物:首次公开发行股票并在创业板上市公告书")</f>
        <v>三诺生物:首次公开发行股票并在创业板上市公告书</v>
      </c>
      <c r="F801" t="s">
        <v>1683</v>
      </c>
    </row>
    <row r="802" spans="1:6" x14ac:dyDescent="0.15">
      <c r="A802" s="1">
        <v>40984</v>
      </c>
      <c r="B802" t="s">
        <v>174</v>
      </c>
      <c r="C802" t="s">
        <v>636</v>
      </c>
      <c r="D802" t="s">
        <v>383</v>
      </c>
      <c r="E802" s="4" t="str">
        <f>HYPERLINK("http://snap.windin.com/ns/bulletin.php?id=1993097&amp;type=1", "三诺生物:首次公开发行股票并在创业板上市上市公告书提示性公告")</f>
        <v>三诺生物:首次公开发行股票并在创业板上市上市公告书提示性公告</v>
      </c>
      <c r="F802" t="s">
        <v>1684</v>
      </c>
    </row>
    <row r="803" spans="1:6" x14ac:dyDescent="0.15">
      <c r="A803" s="1">
        <v>40984</v>
      </c>
      <c r="B803" t="s">
        <v>159</v>
      </c>
      <c r="C803" t="s">
        <v>614</v>
      </c>
      <c r="D803" t="s">
        <v>465</v>
      </c>
      <c r="E803" s="4" t="str">
        <f>HYPERLINK("http://snap.windin.com/ns/bulletin.php?id=1498537&amp;type=1", "奥马电器:首次公开发行股票招股意向书")</f>
        <v>奥马电器:首次公开发行股票招股意向书</v>
      </c>
      <c r="F803" t="s">
        <v>1685</v>
      </c>
    </row>
    <row r="804" spans="1:6" x14ac:dyDescent="0.15">
      <c r="A804" s="1">
        <v>40984</v>
      </c>
      <c r="B804" t="s">
        <v>159</v>
      </c>
      <c r="C804" t="s">
        <v>614</v>
      </c>
      <c r="D804" t="s">
        <v>466</v>
      </c>
      <c r="E804" s="4" t="str">
        <f>HYPERLINK("http://snap.windin.com/ns/bulletin.php?id=920613&amp;type=1", "奥马电器:首次公开发行股票招股意向书摘要")</f>
        <v>奥马电器:首次公开发行股票招股意向书摘要</v>
      </c>
      <c r="F804" t="s">
        <v>1686</v>
      </c>
    </row>
    <row r="805" spans="1:6" x14ac:dyDescent="0.15">
      <c r="A805" s="1">
        <v>40983</v>
      </c>
      <c r="B805" t="s">
        <v>179</v>
      </c>
      <c r="C805" t="s">
        <v>642</v>
      </c>
      <c r="D805" t="s">
        <v>389</v>
      </c>
      <c r="E805" s="4" t="str">
        <f>HYPERLINK("http://snap.windin.com/ns/bulletin.php?id=577567&amp;type=1", "信质电机:首次公开发行股票上市公告书")</f>
        <v>信质电机:首次公开发行股票上市公告书</v>
      </c>
      <c r="F805" t="s">
        <v>1687</v>
      </c>
    </row>
    <row r="806" spans="1:6" x14ac:dyDescent="0.15">
      <c r="A806" s="1">
        <v>40983</v>
      </c>
      <c r="B806" t="s">
        <v>178</v>
      </c>
      <c r="C806" t="s">
        <v>641</v>
      </c>
      <c r="D806" t="s">
        <v>389</v>
      </c>
      <c r="E806" s="4" t="str">
        <f>HYPERLINK("http://snap.windin.com/ns/bulletin.php?id=645778&amp;type=1", "普邦园林:首次公开发行股票上市公告书")</f>
        <v>普邦园林:首次公开发行股票上市公告书</v>
      </c>
      <c r="F806" t="s">
        <v>1688</v>
      </c>
    </row>
    <row r="807" spans="1:6" x14ac:dyDescent="0.15">
      <c r="A807" s="1">
        <v>40983</v>
      </c>
      <c r="B807" t="s">
        <v>180</v>
      </c>
      <c r="C807" t="s">
        <v>643</v>
      </c>
      <c r="D807" t="s">
        <v>389</v>
      </c>
      <c r="E807" s="4" t="str">
        <f>HYPERLINK("http://snap.windin.com/ns/bulletin.php?id=566447&amp;type=1", "克明面业:首次公开发行股票上市公告书")</f>
        <v>克明面业:首次公开发行股票上市公告书</v>
      </c>
      <c r="F807" t="s">
        <v>1689</v>
      </c>
    </row>
    <row r="808" spans="1:6" x14ac:dyDescent="0.15">
      <c r="A808" s="1">
        <v>40983</v>
      </c>
      <c r="B808" t="s">
        <v>177</v>
      </c>
      <c r="C808" t="s">
        <v>640</v>
      </c>
      <c r="D808" t="s">
        <v>389</v>
      </c>
      <c r="E808" s="4" t="str">
        <f>HYPERLINK("http://snap.windin.com/ns/bulletin.php?id=1508349&amp;type=1", "茂硕电源:首次公开发行股票上市公告书")</f>
        <v>茂硕电源:首次公开发行股票上市公告书</v>
      </c>
      <c r="F808" t="s">
        <v>1690</v>
      </c>
    </row>
    <row r="809" spans="1:6" x14ac:dyDescent="0.15">
      <c r="A809" s="1">
        <v>40982</v>
      </c>
      <c r="B809" t="s">
        <v>183</v>
      </c>
      <c r="C809" t="s">
        <v>646</v>
      </c>
      <c r="D809" t="s">
        <v>647</v>
      </c>
      <c r="E809" s="4" t="str">
        <f>HYPERLINK("http://snap.windin.com/ns/bulletin.php?id=905550&amp;type=1", "N蓝盾:关于《蓝盾信息安全技术股份有限公司首次公开发行股票并在创业板上市公告书》更正公告")</f>
        <v>N蓝盾:关于《蓝盾信息安全技术股份有限公司首次公开发行股票并在创业板上市公告书》更正公告</v>
      </c>
      <c r="F809" t="s">
        <v>1691</v>
      </c>
    </row>
    <row r="810" spans="1:6" x14ac:dyDescent="0.15">
      <c r="A810" s="1">
        <v>40982</v>
      </c>
      <c r="B810" t="s">
        <v>183</v>
      </c>
      <c r="C810" t="s">
        <v>648</v>
      </c>
      <c r="D810" t="s">
        <v>417</v>
      </c>
      <c r="E810" s="4" t="str">
        <f>HYPERLINK("http://snap.windin.com/ns/bulletin.php?id=198758&amp;type=1", "蓝盾股份:首次公开发行股票并在创业板上市公告书")</f>
        <v>蓝盾股份:首次公开发行股票并在创业板上市公告书</v>
      </c>
      <c r="F810" t="s">
        <v>1692</v>
      </c>
    </row>
    <row r="811" spans="1:6" x14ac:dyDescent="0.15">
      <c r="A811" s="1">
        <v>40982</v>
      </c>
      <c r="B811" t="s">
        <v>183</v>
      </c>
      <c r="C811" t="s">
        <v>646</v>
      </c>
      <c r="D811" t="s">
        <v>551</v>
      </c>
      <c r="E811" s="4" t="str">
        <f>HYPERLINK("http://snap.windin.com/ns/bulletin.php?id=710181&amp;type=1", "N蓝盾:首次公开发行股票并在创业板上市公告书（更新后）")</f>
        <v>N蓝盾:首次公开发行股票并在创业板上市公告书（更新后）</v>
      </c>
      <c r="F811" t="s">
        <v>1693</v>
      </c>
    </row>
    <row r="812" spans="1:6" x14ac:dyDescent="0.15">
      <c r="A812" s="1">
        <v>40982</v>
      </c>
      <c r="B812" t="s">
        <v>183</v>
      </c>
      <c r="C812" t="s">
        <v>648</v>
      </c>
      <c r="D812" t="s">
        <v>410</v>
      </c>
      <c r="E812" s="4" t="str">
        <f>HYPERLINK("http://snap.windin.com/ns/bulletin.php?id=131753&amp;type=1", "蓝盾股份:首次公开发行股票并在创业板上市之上市公告书提示性公告")</f>
        <v>蓝盾股份:首次公开发行股票并在创业板上市之上市公告书提示性公告</v>
      </c>
      <c r="F812" t="s">
        <v>1694</v>
      </c>
    </row>
    <row r="813" spans="1:6" x14ac:dyDescent="0.15">
      <c r="A813" s="1">
        <v>40982</v>
      </c>
      <c r="B813" t="s">
        <v>182</v>
      </c>
      <c r="C813" t="s">
        <v>645</v>
      </c>
      <c r="D813" t="s">
        <v>412</v>
      </c>
      <c r="E813" s="4" t="str">
        <f>HYPERLINK("http://snap.windin.com/ns/bulletin.php?id=901768&amp;type=1", "利亚德:首次公开发行股票并在创业板上市上市公告书")</f>
        <v>利亚德:首次公开发行股票并在创业板上市上市公告书</v>
      </c>
      <c r="F813" t="s">
        <v>1695</v>
      </c>
    </row>
    <row r="814" spans="1:6" x14ac:dyDescent="0.15">
      <c r="A814" s="1">
        <v>40982</v>
      </c>
      <c r="B814" t="s">
        <v>182</v>
      </c>
      <c r="C814" t="s">
        <v>645</v>
      </c>
      <c r="D814" t="s">
        <v>383</v>
      </c>
      <c r="E814" s="4" t="str">
        <f>HYPERLINK("http://snap.windin.com/ns/bulletin.php?id=966529&amp;type=1", "利亚德:首次公开发行股票并在创业板上市上市公告书提示性公告")</f>
        <v>利亚德:首次公开发行股票并在创业板上市上市公告书提示性公告</v>
      </c>
      <c r="F814" t="s">
        <v>1696</v>
      </c>
    </row>
    <row r="815" spans="1:6" x14ac:dyDescent="0.15">
      <c r="A815" s="1">
        <v>40982</v>
      </c>
      <c r="B815" t="s">
        <v>181</v>
      </c>
      <c r="C815" t="s">
        <v>644</v>
      </c>
      <c r="D815" t="s">
        <v>412</v>
      </c>
      <c r="E815" s="4" t="str">
        <f>HYPERLINK("http://snap.windin.com/ns/bulletin.php?id=813325&amp;type=1", "三六五网:首次公开发行股票并在创业板上市上市公告书")</f>
        <v>三六五网:首次公开发行股票并在创业板上市上市公告书</v>
      </c>
      <c r="F815" t="s">
        <v>1697</v>
      </c>
    </row>
    <row r="816" spans="1:6" x14ac:dyDescent="0.15">
      <c r="A816" s="1">
        <v>40982</v>
      </c>
      <c r="B816" t="s">
        <v>181</v>
      </c>
      <c r="C816" t="s">
        <v>644</v>
      </c>
      <c r="D816" t="s">
        <v>383</v>
      </c>
      <c r="E816" s="4" t="str">
        <f>HYPERLINK("http://snap.windin.com/ns/bulletin.php?id=1853386&amp;type=1", "三六五网:首次公开发行股票并在创业板上市上市公告书提示性公告")</f>
        <v>三六五网:首次公开发行股票并在创业板上市上市公告书提示性公告</v>
      </c>
      <c r="F816" t="s">
        <v>1698</v>
      </c>
    </row>
    <row r="817" spans="1:6" x14ac:dyDescent="0.15">
      <c r="A817" s="1">
        <v>40982</v>
      </c>
      <c r="B817" t="s">
        <v>167</v>
      </c>
      <c r="C817" t="s">
        <v>630</v>
      </c>
      <c r="D817" t="s">
        <v>399</v>
      </c>
      <c r="E817" s="4" t="str">
        <f>HYPERLINK("http://snap.windin.com/ns/bulletin.php?id=1249606&amp;type=1", "首航节能:首次公开发行股票招股说明书")</f>
        <v>首航节能:首次公开发行股票招股说明书</v>
      </c>
      <c r="F817" t="s">
        <v>1699</v>
      </c>
    </row>
    <row r="818" spans="1:6" x14ac:dyDescent="0.15">
      <c r="A818" s="1">
        <v>40982</v>
      </c>
      <c r="B818" t="s">
        <v>167</v>
      </c>
      <c r="C818" t="s">
        <v>630</v>
      </c>
      <c r="D818" t="s">
        <v>400</v>
      </c>
      <c r="E818" s="4" t="str">
        <f>HYPERLINK("http://snap.windin.com/ns/bulletin.php?id=1971984&amp;type=1", "首航节能:首次公开发行股票招股说明书摘要")</f>
        <v>首航节能:首次公开发行股票招股说明书摘要</v>
      </c>
      <c r="F818" t="s">
        <v>1700</v>
      </c>
    </row>
    <row r="819" spans="1:6" x14ac:dyDescent="0.15">
      <c r="A819" s="1">
        <v>40981</v>
      </c>
      <c r="B819" t="s">
        <v>166</v>
      </c>
      <c r="C819" t="s">
        <v>624</v>
      </c>
      <c r="D819" t="s">
        <v>465</v>
      </c>
      <c r="E819" s="4" t="str">
        <f>HYPERLINK("http://snap.windin.com/ns/bulletin.php?id=222040&amp;type=1", "鞍重股份:首次公开发行股票招股意向书")</f>
        <v>鞍重股份:首次公开发行股票招股意向书</v>
      </c>
      <c r="F819" t="s">
        <v>1701</v>
      </c>
    </row>
    <row r="820" spans="1:6" x14ac:dyDescent="0.15">
      <c r="A820" s="1">
        <v>40981</v>
      </c>
      <c r="B820" t="s">
        <v>166</v>
      </c>
      <c r="C820" t="s">
        <v>624</v>
      </c>
      <c r="D820" t="s">
        <v>466</v>
      </c>
      <c r="E820" s="4" t="str">
        <f>HYPERLINK("http://snap.windin.com/ns/bulletin.php?id=1964750&amp;type=1", "鞍重股份:首次公开发行股票招股意向书摘要")</f>
        <v>鞍重股份:首次公开发行股票招股意向书摘要</v>
      </c>
      <c r="F820" t="s">
        <v>1702</v>
      </c>
    </row>
    <row r="821" spans="1:6" x14ac:dyDescent="0.15">
      <c r="A821" s="1">
        <v>40981</v>
      </c>
      <c r="B821" t="s">
        <v>169</v>
      </c>
      <c r="C821" t="s">
        <v>631</v>
      </c>
      <c r="D821" t="s">
        <v>399</v>
      </c>
      <c r="E821" s="4" t="str">
        <f>HYPERLINK("http://snap.windin.com/ns/bulletin.php?id=1047204&amp;type=1", "德联集团:首次公开发行股票招股说明书")</f>
        <v>德联集团:首次公开发行股票招股说明书</v>
      </c>
      <c r="F821" t="s">
        <v>1703</v>
      </c>
    </row>
    <row r="822" spans="1:6" x14ac:dyDescent="0.15">
      <c r="A822" s="1">
        <v>40981</v>
      </c>
      <c r="B822" t="s">
        <v>169</v>
      </c>
      <c r="C822" t="s">
        <v>631</v>
      </c>
      <c r="D822" t="s">
        <v>400</v>
      </c>
      <c r="E822" s="4" t="str">
        <f>HYPERLINK("http://snap.windin.com/ns/bulletin.php?id=1197774&amp;type=1", "德联集团:首次公开发行股票招股说明书摘要")</f>
        <v>德联集团:首次公开发行股票招股说明书摘要</v>
      </c>
      <c r="F822" t="s">
        <v>1704</v>
      </c>
    </row>
    <row r="823" spans="1:6" x14ac:dyDescent="0.15">
      <c r="A823" s="1">
        <v>40980</v>
      </c>
      <c r="B823" t="s">
        <v>163</v>
      </c>
      <c r="C823" t="s">
        <v>621</v>
      </c>
      <c r="D823" t="s">
        <v>471</v>
      </c>
      <c r="E823" s="4" t="str">
        <f>HYPERLINK("http://snap.windin.com/ns/bulletin.php?id=522579&amp;type=1", "慈星股份:首次公开发行股票并在创业板上市招股意向书")</f>
        <v>慈星股份:首次公开发行股票并在创业板上市招股意向书</v>
      </c>
      <c r="F823" t="s">
        <v>1705</v>
      </c>
    </row>
    <row r="824" spans="1:6" x14ac:dyDescent="0.15">
      <c r="A824" s="1">
        <v>40980</v>
      </c>
      <c r="B824" t="s">
        <v>164</v>
      </c>
      <c r="C824" t="s">
        <v>622</v>
      </c>
      <c r="D824" t="s">
        <v>471</v>
      </c>
      <c r="E824" s="4" t="str">
        <f>HYPERLINK("http://snap.windin.com/ns/bulletin.php?id=2067749&amp;type=1", "远方光电:首次公开发行股票并在创业板上市招股意向书")</f>
        <v>远方光电:首次公开发行股票并在创业板上市招股意向书</v>
      </c>
      <c r="F824" t="s">
        <v>1706</v>
      </c>
    </row>
    <row r="825" spans="1:6" x14ac:dyDescent="0.15">
      <c r="A825" s="1">
        <v>40980</v>
      </c>
      <c r="B825" t="s">
        <v>172</v>
      </c>
      <c r="C825" t="s">
        <v>634</v>
      </c>
      <c r="D825" t="s">
        <v>455</v>
      </c>
      <c r="E825" s="4" t="str">
        <f>HYPERLINK("http://snap.windin.com/ns/bulletin.php?id=1690613&amp;type=1", "云意电气:首次公开发行股票并在创业板上市招股说明书")</f>
        <v>云意电气:首次公开发行股票并在创业板上市招股说明书</v>
      </c>
      <c r="F825" t="s">
        <v>1707</v>
      </c>
    </row>
    <row r="826" spans="1:6" x14ac:dyDescent="0.15">
      <c r="A826" s="1">
        <v>40980</v>
      </c>
      <c r="B826" t="s">
        <v>170</v>
      </c>
      <c r="C826" t="s">
        <v>632</v>
      </c>
      <c r="D826" t="s">
        <v>455</v>
      </c>
      <c r="E826" s="4" t="str">
        <f>HYPERLINK("http://snap.windin.com/ns/bulletin.php?id=1595228&amp;type=1", "同有科技:首次公开发行股票并在创业板上市招股说明书")</f>
        <v>同有科技:首次公开发行股票并在创业板上市招股说明书</v>
      </c>
      <c r="F826" t="s">
        <v>1708</v>
      </c>
    </row>
    <row r="827" spans="1:6" x14ac:dyDescent="0.15">
      <c r="A827" s="1">
        <v>40977</v>
      </c>
      <c r="B827" t="s">
        <v>165</v>
      </c>
      <c r="C827" t="s">
        <v>623</v>
      </c>
      <c r="D827" t="s">
        <v>471</v>
      </c>
      <c r="E827" s="4" t="str">
        <f>HYPERLINK("http://snap.windin.com/ns/bulletin.php?id=124037&amp;type=1", "裕兴股份:首次公开发行股票并在创业板上市招股意向书")</f>
        <v>裕兴股份:首次公开发行股票并在创业板上市招股意向书</v>
      </c>
      <c r="F827" t="s">
        <v>1709</v>
      </c>
    </row>
    <row r="828" spans="1:6" x14ac:dyDescent="0.15">
      <c r="A828" s="1">
        <v>40977</v>
      </c>
      <c r="B828" t="s">
        <v>171</v>
      </c>
      <c r="C828" t="s">
        <v>633</v>
      </c>
      <c r="D828" t="s">
        <v>455</v>
      </c>
      <c r="E828" s="4" t="str">
        <f>HYPERLINK("http://snap.windin.com/ns/bulletin.php?id=1693066&amp;type=1", "长方照明:首次公开发行股票并在创业板上市招股说明书")</f>
        <v>长方照明:首次公开发行股票并在创业板上市招股说明书</v>
      </c>
      <c r="F828" t="s">
        <v>1710</v>
      </c>
    </row>
    <row r="829" spans="1:6" x14ac:dyDescent="0.15">
      <c r="A829" s="1">
        <v>40976</v>
      </c>
      <c r="B829" t="s">
        <v>185</v>
      </c>
      <c r="C829" t="s">
        <v>650</v>
      </c>
      <c r="D829" t="s">
        <v>402</v>
      </c>
      <c r="E829" s="4" t="str">
        <f>HYPERLINK("http://snap.windin.com/ns/bulletin.php?id=1591260&amp;type=1", "中国交建:首次公开发行A股股票上市公告书")</f>
        <v>中国交建:首次公开发行A股股票上市公告书</v>
      </c>
      <c r="F829" t="s">
        <v>1711</v>
      </c>
    </row>
    <row r="830" spans="1:6" x14ac:dyDescent="0.15">
      <c r="A830" s="1">
        <v>40976</v>
      </c>
      <c r="B830" t="s">
        <v>185</v>
      </c>
      <c r="C830" t="s">
        <v>650</v>
      </c>
      <c r="D830" t="s">
        <v>462</v>
      </c>
      <c r="E830" s="4" t="str">
        <f>HYPERLINK("http://snap.windin.com/ns/bulletin.php?id=140589&amp;type=1", "中国交建:首次公开发行A股股票招股说明书")</f>
        <v>中国交建:首次公开发行A股股票招股说明书</v>
      </c>
      <c r="F830" t="s">
        <v>1712</v>
      </c>
    </row>
    <row r="831" spans="1:6" x14ac:dyDescent="0.15">
      <c r="A831" s="1">
        <v>40976</v>
      </c>
      <c r="B831" t="s">
        <v>173</v>
      </c>
      <c r="C831" t="s">
        <v>635</v>
      </c>
      <c r="D831" t="s">
        <v>455</v>
      </c>
      <c r="E831" s="4" t="str">
        <f>HYPERLINK("http://snap.windin.com/ns/bulletin.php?id=1587453&amp;type=1", "聚飞光电:首次公开发行股票并在创业板上市招股说明书")</f>
        <v>聚飞光电:首次公开发行股票并在创业板上市招股说明书</v>
      </c>
      <c r="F831" t="s">
        <v>1713</v>
      </c>
    </row>
    <row r="832" spans="1:6" x14ac:dyDescent="0.15">
      <c r="A832" s="1">
        <v>40976</v>
      </c>
      <c r="B832" t="s">
        <v>184</v>
      </c>
      <c r="C832" t="s">
        <v>649</v>
      </c>
      <c r="D832" t="s">
        <v>389</v>
      </c>
      <c r="E832" s="4" t="str">
        <f>HYPERLINK("http://snap.windin.com/ns/bulletin.php?id=1660314&amp;type=1", "京威股份:首次公开发行股票上市公告书")</f>
        <v>京威股份:首次公开发行股票上市公告书</v>
      </c>
      <c r="F832" t="s">
        <v>1714</v>
      </c>
    </row>
    <row r="833" spans="1:6" x14ac:dyDescent="0.15">
      <c r="A833" s="1">
        <v>40976</v>
      </c>
      <c r="B833" t="s">
        <v>187</v>
      </c>
      <c r="C833" t="s">
        <v>652</v>
      </c>
      <c r="D833" t="s">
        <v>389</v>
      </c>
      <c r="E833" s="4" t="str">
        <f>HYPERLINK("http://snap.windin.com/ns/bulletin.php?id=107815&amp;type=1", "中泰桥梁:首次公开发行股票上市公告书")</f>
        <v>中泰桥梁:首次公开发行股票上市公告书</v>
      </c>
      <c r="F833" t="s">
        <v>1715</v>
      </c>
    </row>
    <row r="834" spans="1:6" x14ac:dyDescent="0.15">
      <c r="A834" s="1">
        <v>40976</v>
      </c>
      <c r="B834" t="s">
        <v>186</v>
      </c>
      <c r="C834" t="s">
        <v>651</v>
      </c>
      <c r="D834" t="s">
        <v>389</v>
      </c>
      <c r="E834" s="4" t="str">
        <f>HYPERLINK("http://snap.windin.com/ns/bulletin.php?id=701334&amp;type=1", "雪迪龙:首次公开发行股票上市公告书")</f>
        <v>雪迪龙:首次公开发行股票上市公告书</v>
      </c>
      <c r="F834" t="s">
        <v>1716</v>
      </c>
    </row>
    <row r="835" spans="1:6" x14ac:dyDescent="0.15">
      <c r="A835" s="1">
        <v>40975</v>
      </c>
      <c r="B835" t="s">
        <v>176</v>
      </c>
      <c r="C835" t="s">
        <v>639</v>
      </c>
      <c r="D835" t="s">
        <v>455</v>
      </c>
      <c r="E835" s="4" t="str">
        <f>HYPERLINK("http://snap.windin.com/ns/bulletin.php?id=1927910&amp;type=1", "富春通信:首次公开发行股票并在创业板上市招股说明书")</f>
        <v>富春通信:首次公开发行股票并在创业板上市招股说明书</v>
      </c>
      <c r="F835" t="s">
        <v>1717</v>
      </c>
    </row>
    <row r="836" spans="1:6" x14ac:dyDescent="0.15">
      <c r="A836" s="1">
        <v>40975</v>
      </c>
      <c r="B836" t="s">
        <v>189</v>
      </c>
      <c r="C836" t="s">
        <v>654</v>
      </c>
      <c r="D836" t="s">
        <v>407</v>
      </c>
      <c r="E836" s="4" t="str">
        <f>HYPERLINK("http://snap.windin.com/ns/bulletin.php?id=1195872&amp;type=1", "博雅生物:首次公开发行股票并在创业板上市公告书提示性公告")</f>
        <v>博雅生物:首次公开发行股票并在创业板上市公告书提示性公告</v>
      </c>
      <c r="F836" t="s">
        <v>1718</v>
      </c>
    </row>
    <row r="837" spans="1:6" x14ac:dyDescent="0.15">
      <c r="A837" s="1">
        <v>40975</v>
      </c>
      <c r="B837" t="s">
        <v>189</v>
      </c>
      <c r="C837" t="s">
        <v>654</v>
      </c>
      <c r="D837" t="s">
        <v>412</v>
      </c>
      <c r="E837" s="4" t="str">
        <f>HYPERLINK("http://snap.windin.com/ns/bulletin.php?id=1735832&amp;type=1", "博雅生物:首次公开发行股票并在创业板上市上市公告书")</f>
        <v>博雅生物:首次公开发行股票并在创业板上市上市公告书</v>
      </c>
      <c r="F837" t="s">
        <v>1719</v>
      </c>
    </row>
    <row r="838" spans="1:6" x14ac:dyDescent="0.15">
      <c r="A838" s="1">
        <v>40975</v>
      </c>
      <c r="B838" t="s">
        <v>188</v>
      </c>
      <c r="C838" t="s">
        <v>653</v>
      </c>
      <c r="D838" t="s">
        <v>407</v>
      </c>
      <c r="E838" s="4" t="str">
        <f>HYPERLINK("http://snap.windin.com/ns/bulletin.php?id=2116234&amp;type=1", "蓝英装备:首次公开发行股票并在创业板上市公告书提示性公告")</f>
        <v>蓝英装备:首次公开发行股票并在创业板上市公告书提示性公告</v>
      </c>
      <c r="F838" t="s">
        <v>1720</v>
      </c>
    </row>
    <row r="839" spans="1:6" x14ac:dyDescent="0.15">
      <c r="A839" s="1">
        <v>40975</v>
      </c>
      <c r="B839" t="s">
        <v>188</v>
      </c>
      <c r="C839" t="s">
        <v>653</v>
      </c>
      <c r="D839" t="s">
        <v>408</v>
      </c>
      <c r="E839" s="4" t="str">
        <f>HYPERLINK("http://snap.windin.com/ns/bulletin.php?id=1599269&amp;type=1", "蓝英装备:首次公开发行股票并在创业板上市之上市公告书")</f>
        <v>蓝英装备:首次公开发行股票并在创业板上市之上市公告书</v>
      </c>
      <c r="F839" t="s">
        <v>1721</v>
      </c>
    </row>
    <row r="840" spans="1:6" x14ac:dyDescent="0.15">
      <c r="A840" s="1">
        <v>40975</v>
      </c>
      <c r="B840" t="s">
        <v>167</v>
      </c>
      <c r="C840" t="s">
        <v>630</v>
      </c>
      <c r="D840" t="s">
        <v>465</v>
      </c>
      <c r="E840" s="4" t="str">
        <f>HYPERLINK("http://snap.windin.com/ns/bulletin.php?id=1808594&amp;type=1", "首航节能:首次公开发行股票招股意向书")</f>
        <v>首航节能:首次公开发行股票招股意向书</v>
      </c>
      <c r="F840" t="s">
        <v>1722</v>
      </c>
    </row>
    <row r="841" spans="1:6" x14ac:dyDescent="0.15">
      <c r="A841" s="1">
        <v>40975</v>
      </c>
      <c r="B841" t="s">
        <v>167</v>
      </c>
      <c r="C841" t="s">
        <v>630</v>
      </c>
      <c r="D841" t="s">
        <v>466</v>
      </c>
      <c r="E841" s="4" t="str">
        <f>HYPERLINK("http://snap.windin.com/ns/bulletin.php?id=2069131&amp;type=1", "首航节能:首次公开发行股票招股意向书摘要")</f>
        <v>首航节能:首次公开发行股票招股意向书摘要</v>
      </c>
      <c r="F841" t="s">
        <v>1723</v>
      </c>
    </row>
    <row r="842" spans="1:6" x14ac:dyDescent="0.15">
      <c r="A842" s="1">
        <v>40974</v>
      </c>
      <c r="B842" t="s">
        <v>175</v>
      </c>
      <c r="C842" t="s">
        <v>637</v>
      </c>
      <c r="D842" t="s">
        <v>455</v>
      </c>
      <c r="E842" s="4" t="str">
        <f>HYPERLINK("http://snap.windin.com/ns/bulletin.php?id=1722103&amp;type=1", "汉鼎股份:首次公开发行股票并在创业板上市招股说明书")</f>
        <v>汉鼎股份:首次公开发行股票并在创业板上市招股说明书</v>
      </c>
      <c r="F842" t="s">
        <v>1724</v>
      </c>
    </row>
    <row r="843" spans="1:6" x14ac:dyDescent="0.15">
      <c r="A843" s="1">
        <v>40974</v>
      </c>
      <c r="B843" t="s">
        <v>169</v>
      </c>
      <c r="C843" t="s">
        <v>631</v>
      </c>
      <c r="D843" t="s">
        <v>465</v>
      </c>
      <c r="E843" s="4" t="str">
        <f>HYPERLINK("http://snap.windin.com/ns/bulletin.php?id=1626463&amp;type=1", "德联集团:首次公开发行股票招股意向书")</f>
        <v>德联集团:首次公开发行股票招股意向书</v>
      </c>
      <c r="F843" t="s">
        <v>1725</v>
      </c>
    </row>
    <row r="844" spans="1:6" x14ac:dyDescent="0.15">
      <c r="A844" s="1">
        <v>40974</v>
      </c>
      <c r="B844" t="s">
        <v>169</v>
      </c>
      <c r="C844" t="s">
        <v>631</v>
      </c>
      <c r="D844" t="s">
        <v>466</v>
      </c>
      <c r="E844" s="4" t="str">
        <f>HYPERLINK("http://snap.windin.com/ns/bulletin.php?id=1571369&amp;type=1", "德联集团:首次公开发行股票招股意向书摘要")</f>
        <v>德联集团:首次公开发行股票招股意向书摘要</v>
      </c>
      <c r="F844" t="s">
        <v>1726</v>
      </c>
    </row>
    <row r="845" spans="1:6" x14ac:dyDescent="0.15">
      <c r="A845" s="1">
        <v>40974</v>
      </c>
      <c r="B845" t="s">
        <v>177</v>
      </c>
      <c r="C845" t="s">
        <v>640</v>
      </c>
      <c r="D845" t="s">
        <v>399</v>
      </c>
      <c r="E845" s="4" t="str">
        <f>HYPERLINK("http://snap.windin.com/ns/bulletin.php?id=959182&amp;type=1", "茂硕电源:首次公开发行股票招股说明书")</f>
        <v>茂硕电源:首次公开发行股票招股说明书</v>
      </c>
      <c r="F845" t="s">
        <v>1727</v>
      </c>
    </row>
    <row r="846" spans="1:6" x14ac:dyDescent="0.15">
      <c r="A846" s="1">
        <v>40974</v>
      </c>
      <c r="B846" t="s">
        <v>177</v>
      </c>
      <c r="C846" t="s">
        <v>640</v>
      </c>
      <c r="D846" t="s">
        <v>400</v>
      </c>
      <c r="E846" s="4" t="str">
        <f>HYPERLINK("http://snap.windin.com/ns/bulletin.php?id=125948&amp;type=1", "茂硕电源:首次公开发行股票招股说明书摘要")</f>
        <v>茂硕电源:首次公开发行股票招股说明书摘要</v>
      </c>
      <c r="F846" t="s">
        <v>1728</v>
      </c>
    </row>
    <row r="847" spans="1:6" x14ac:dyDescent="0.15">
      <c r="A847" s="1">
        <v>40973</v>
      </c>
      <c r="B847" t="s">
        <v>174</v>
      </c>
      <c r="C847" t="s">
        <v>636</v>
      </c>
      <c r="D847" t="s">
        <v>455</v>
      </c>
      <c r="E847" s="4" t="str">
        <f>HYPERLINK("http://snap.windin.com/ns/bulletin.php?id=955409&amp;type=1", "三诺生物:首次公开发行股票并在创业板上市招股说明书")</f>
        <v>三诺生物:首次公开发行股票并在创业板上市招股说明书</v>
      </c>
      <c r="F847" t="s">
        <v>1729</v>
      </c>
    </row>
    <row r="848" spans="1:6" x14ac:dyDescent="0.15">
      <c r="A848" s="1">
        <v>40973</v>
      </c>
      <c r="B848" t="s">
        <v>178</v>
      </c>
      <c r="C848" t="s">
        <v>641</v>
      </c>
      <c r="D848" t="s">
        <v>399</v>
      </c>
      <c r="E848" s="4" t="str">
        <f>HYPERLINK("http://snap.windin.com/ns/bulletin.php?id=587522&amp;type=1", "普邦园林:首次公开发行股票招股说明书")</f>
        <v>普邦园林:首次公开发行股票招股说明书</v>
      </c>
      <c r="F848" t="s">
        <v>1730</v>
      </c>
    </row>
    <row r="849" spans="1:6" x14ac:dyDescent="0.15">
      <c r="A849" s="1">
        <v>40973</v>
      </c>
      <c r="B849" t="s">
        <v>178</v>
      </c>
      <c r="C849" t="s">
        <v>641</v>
      </c>
      <c r="D849" t="s">
        <v>400</v>
      </c>
      <c r="E849" s="4" t="str">
        <f>HYPERLINK("http://snap.windin.com/ns/bulletin.php?id=626317&amp;type=1", "普邦园林:首次公开发行股票招股说明书摘要")</f>
        <v>普邦园林:首次公开发行股票招股说明书摘要</v>
      </c>
      <c r="F849" t="s">
        <v>1731</v>
      </c>
    </row>
    <row r="850" spans="1:6" x14ac:dyDescent="0.15">
      <c r="A850" s="1">
        <v>40970</v>
      </c>
      <c r="B850" t="s">
        <v>172</v>
      </c>
      <c r="C850" t="s">
        <v>634</v>
      </c>
      <c r="D850" t="s">
        <v>471</v>
      </c>
      <c r="E850" s="4" t="str">
        <f>HYPERLINK("http://snap.windin.com/ns/bulletin.php?id=2005801&amp;type=1", "云意电气:首次公开发行股票并在创业板上市招股意向书")</f>
        <v>云意电气:首次公开发行股票并在创业板上市招股意向书</v>
      </c>
      <c r="F850" t="s">
        <v>1732</v>
      </c>
    </row>
    <row r="851" spans="1:6" x14ac:dyDescent="0.15">
      <c r="A851" s="1">
        <v>40970</v>
      </c>
      <c r="B851" t="s">
        <v>170</v>
      </c>
      <c r="C851" t="s">
        <v>632</v>
      </c>
      <c r="D851" t="s">
        <v>655</v>
      </c>
      <c r="E851" s="4" t="str">
        <f>HYPERLINK("http://snap.windin.com/ns/bulletin.php?id=212225&amp;type=1", "同有科技:首次公开发行股票在创业板上市招股意向书")</f>
        <v>同有科技:首次公开发行股票在创业板上市招股意向书</v>
      </c>
      <c r="F851" t="s">
        <v>1733</v>
      </c>
    </row>
    <row r="852" spans="1:6" x14ac:dyDescent="0.15">
      <c r="A852" s="1">
        <v>40970</v>
      </c>
      <c r="B852" t="s">
        <v>183</v>
      </c>
      <c r="C852" t="s">
        <v>648</v>
      </c>
      <c r="D852" t="s">
        <v>455</v>
      </c>
      <c r="E852" s="4" t="str">
        <f>HYPERLINK("http://snap.windin.com/ns/bulletin.php?id=1315789&amp;type=1", "蓝盾股份:首次公开发行股票并在创业板上市招股说明书")</f>
        <v>蓝盾股份:首次公开发行股票并在创业板上市招股说明书</v>
      </c>
      <c r="F852" t="s">
        <v>1734</v>
      </c>
    </row>
    <row r="853" spans="1:6" x14ac:dyDescent="0.15">
      <c r="A853" s="1">
        <v>40970</v>
      </c>
      <c r="B853" t="s">
        <v>182</v>
      </c>
      <c r="C853" t="s">
        <v>645</v>
      </c>
      <c r="D853" t="s">
        <v>455</v>
      </c>
      <c r="E853" s="4" t="str">
        <f>HYPERLINK("http://snap.windin.com/ns/bulletin.php?id=1619315&amp;type=1", "利亚德:首次公开发行股票并在创业板上市招股说明书")</f>
        <v>利亚德:首次公开发行股票并在创业板上市招股说明书</v>
      </c>
      <c r="F853" t="s">
        <v>1735</v>
      </c>
    </row>
    <row r="854" spans="1:6" x14ac:dyDescent="0.15">
      <c r="A854" s="1">
        <v>40970</v>
      </c>
      <c r="B854" t="s">
        <v>179</v>
      </c>
      <c r="C854" t="s">
        <v>642</v>
      </c>
      <c r="D854" t="s">
        <v>399</v>
      </c>
      <c r="E854" s="4" t="str">
        <f>HYPERLINK("http://snap.windin.com/ns/bulletin.php?id=1426424&amp;type=1", "信质电机:首次公开发行股票招股说明书")</f>
        <v>信质电机:首次公开发行股票招股说明书</v>
      </c>
      <c r="F854" t="s">
        <v>1736</v>
      </c>
    </row>
    <row r="855" spans="1:6" x14ac:dyDescent="0.15">
      <c r="A855" s="1">
        <v>40970</v>
      </c>
      <c r="B855" t="s">
        <v>179</v>
      </c>
      <c r="C855" t="s">
        <v>642</v>
      </c>
      <c r="D855" t="s">
        <v>400</v>
      </c>
      <c r="E855" s="4" t="str">
        <f>HYPERLINK("http://snap.windin.com/ns/bulletin.php?id=1735237&amp;type=1", "信质电机:首次公开发行股票招股说明书摘要")</f>
        <v>信质电机:首次公开发行股票招股说明书摘要</v>
      </c>
      <c r="F855" t="s">
        <v>1737</v>
      </c>
    </row>
    <row r="856" spans="1:6" x14ac:dyDescent="0.15">
      <c r="A856" s="1">
        <v>40970</v>
      </c>
      <c r="B856" t="s">
        <v>180</v>
      </c>
      <c r="C856" t="s">
        <v>643</v>
      </c>
      <c r="D856" t="s">
        <v>399</v>
      </c>
      <c r="E856" s="4" t="str">
        <f>HYPERLINK("http://snap.windin.com/ns/bulletin.php?id=1426090&amp;type=1", "克明面业:首次公开发行股票招股说明书")</f>
        <v>克明面业:首次公开发行股票招股说明书</v>
      </c>
      <c r="F856" t="s">
        <v>1738</v>
      </c>
    </row>
    <row r="857" spans="1:6" x14ac:dyDescent="0.15">
      <c r="A857" s="1">
        <v>40970</v>
      </c>
      <c r="B857" t="s">
        <v>180</v>
      </c>
      <c r="C857" t="s">
        <v>643</v>
      </c>
      <c r="D857" t="s">
        <v>400</v>
      </c>
      <c r="E857" s="4" t="str">
        <f>HYPERLINK("http://snap.windin.com/ns/bulletin.php?id=1761238&amp;type=1", "克明面业:首次公开发行股票招股说明书摘要")</f>
        <v>克明面业:首次公开发行股票招股说明书摘要</v>
      </c>
      <c r="F857" t="s">
        <v>1739</v>
      </c>
    </row>
    <row r="858" spans="1:6" x14ac:dyDescent="0.15">
      <c r="A858" s="1">
        <v>40969</v>
      </c>
      <c r="B858" t="s">
        <v>187</v>
      </c>
      <c r="C858" t="s">
        <v>652</v>
      </c>
      <c r="D858" t="s">
        <v>399</v>
      </c>
      <c r="E858" s="4" t="str">
        <f>HYPERLINK("http://snap.windin.com/ns/bulletin.php?id=410016&amp;type=1", "中泰桥梁:首次公开发行股票招股说明书")</f>
        <v>中泰桥梁:首次公开发行股票招股说明书</v>
      </c>
      <c r="F858" t="s">
        <v>1740</v>
      </c>
    </row>
    <row r="859" spans="1:6" x14ac:dyDescent="0.15">
      <c r="A859" s="1">
        <v>40969</v>
      </c>
      <c r="B859" t="s">
        <v>187</v>
      </c>
      <c r="C859" t="s">
        <v>652</v>
      </c>
      <c r="D859" t="s">
        <v>400</v>
      </c>
      <c r="E859" s="4" t="str">
        <f>HYPERLINK("http://snap.windin.com/ns/bulletin.php?id=1668245&amp;type=1", "中泰桥梁:首次公开发行股票招股说明书摘要")</f>
        <v>中泰桥梁:首次公开发行股票招股说明书摘要</v>
      </c>
      <c r="F859" t="s">
        <v>1741</v>
      </c>
    </row>
    <row r="860" spans="1:6" x14ac:dyDescent="0.15">
      <c r="A860" s="1">
        <v>40968</v>
      </c>
      <c r="B860" t="s">
        <v>173</v>
      </c>
      <c r="C860" t="s">
        <v>635</v>
      </c>
      <c r="D860" t="s">
        <v>471</v>
      </c>
      <c r="E860" s="4" t="str">
        <f>HYPERLINK("http://snap.windin.com/ns/bulletin.php?id=632522&amp;type=1", "聚飞光电:首次公开发行股票并在创业板上市招股意向书")</f>
        <v>聚飞光电:首次公开发行股票并在创业板上市招股意向书</v>
      </c>
      <c r="F860" t="s">
        <v>1742</v>
      </c>
    </row>
    <row r="861" spans="1:6" x14ac:dyDescent="0.15">
      <c r="A861" s="1">
        <v>40968</v>
      </c>
      <c r="B861" t="s">
        <v>176</v>
      </c>
      <c r="C861" t="s">
        <v>639</v>
      </c>
      <c r="D861" t="s">
        <v>471</v>
      </c>
      <c r="E861" s="4" t="str">
        <f>HYPERLINK("http://snap.windin.com/ns/bulletin.php?id=1947992&amp;type=1", "富春通信:首次公开发行股票并在创业板上市招股意向书")</f>
        <v>富春通信:首次公开发行股票并在创业板上市招股意向书</v>
      </c>
      <c r="F861" t="s">
        <v>1743</v>
      </c>
    </row>
    <row r="862" spans="1:6" x14ac:dyDescent="0.15">
      <c r="A862" s="1">
        <v>40968</v>
      </c>
      <c r="B862" t="s">
        <v>181</v>
      </c>
      <c r="C862" t="s">
        <v>644</v>
      </c>
      <c r="D862" t="s">
        <v>455</v>
      </c>
      <c r="E862" s="4" t="str">
        <f>HYPERLINK("http://snap.windin.com/ns/bulletin.php?id=1986848&amp;type=1", "三六五网:首次公开发行股票并在创业板上市招股说明书")</f>
        <v>三六五网:首次公开发行股票并在创业板上市招股说明书</v>
      </c>
      <c r="F862" t="s">
        <v>1744</v>
      </c>
    </row>
    <row r="863" spans="1:6" x14ac:dyDescent="0.15">
      <c r="A863" s="1">
        <v>40967</v>
      </c>
      <c r="B863" t="s">
        <v>171</v>
      </c>
      <c r="C863" t="s">
        <v>633</v>
      </c>
      <c r="D863" t="s">
        <v>471</v>
      </c>
      <c r="E863" s="4" t="str">
        <f>HYPERLINK("http://snap.windin.com/ns/bulletin.php?id=1312048&amp;type=1", "长方照明:首次公开发行股票并在创业板上市招股意向书")</f>
        <v>长方照明:首次公开发行股票并在创业板上市招股意向书</v>
      </c>
      <c r="F863" t="s">
        <v>1745</v>
      </c>
    </row>
    <row r="864" spans="1:6" x14ac:dyDescent="0.15">
      <c r="A864" s="1">
        <v>40967</v>
      </c>
      <c r="B864" t="s">
        <v>175</v>
      </c>
      <c r="C864" t="s">
        <v>637</v>
      </c>
      <c r="D864" t="s">
        <v>471</v>
      </c>
      <c r="E864" s="4" t="str">
        <f>HYPERLINK("http://snap.windin.com/ns/bulletin.php?id=1794178&amp;type=1", "汉鼎股份:首次公开发行股票并在创业板上市招股意向书")</f>
        <v>汉鼎股份:首次公开发行股票并在创业板上市招股意向书</v>
      </c>
      <c r="F864" t="s">
        <v>1746</v>
      </c>
    </row>
    <row r="865" spans="1:6" x14ac:dyDescent="0.15">
      <c r="A865" s="1">
        <v>40967</v>
      </c>
      <c r="B865" t="s">
        <v>189</v>
      </c>
      <c r="C865" t="s">
        <v>654</v>
      </c>
      <c r="D865" t="s">
        <v>455</v>
      </c>
      <c r="E865" s="4" t="str">
        <f>HYPERLINK("http://snap.windin.com/ns/bulletin.php?id=415575&amp;type=1", "博雅生物:首次公开发行股票并在创业板上市招股说明书")</f>
        <v>博雅生物:首次公开发行股票并在创业板上市招股说明书</v>
      </c>
      <c r="F865" t="s">
        <v>1747</v>
      </c>
    </row>
    <row r="866" spans="1:6" x14ac:dyDescent="0.15">
      <c r="A866" s="1">
        <v>40967</v>
      </c>
      <c r="B866" t="s">
        <v>190</v>
      </c>
      <c r="C866" t="s">
        <v>656</v>
      </c>
      <c r="D866" t="s">
        <v>417</v>
      </c>
      <c r="E866" s="4" t="str">
        <f>HYPERLINK("http://snap.windin.com/ns/bulletin.php?id=955278&amp;type=1", "吴通通讯:首次公开发行股票并在创业板上市公告书")</f>
        <v>吴通通讯:首次公开发行股票并在创业板上市公告书</v>
      </c>
      <c r="F866" t="s">
        <v>1748</v>
      </c>
    </row>
    <row r="867" spans="1:6" x14ac:dyDescent="0.15">
      <c r="A867" s="1">
        <v>40967</v>
      </c>
      <c r="B867" t="s">
        <v>190</v>
      </c>
      <c r="C867" t="s">
        <v>656</v>
      </c>
      <c r="D867" t="s">
        <v>410</v>
      </c>
      <c r="E867" s="4" t="str">
        <f>HYPERLINK("http://snap.windin.com/ns/bulletin.php?id=1106102&amp;type=1", "吴通通讯:首次公开发行股票并在创业板上市之上市公告书提示性公告")</f>
        <v>吴通通讯:首次公开发行股票并在创业板上市之上市公告书提示性公告</v>
      </c>
      <c r="F867" t="s">
        <v>1749</v>
      </c>
    </row>
    <row r="868" spans="1:6" x14ac:dyDescent="0.15">
      <c r="A868" s="1">
        <v>40967</v>
      </c>
      <c r="B868" t="s">
        <v>184</v>
      </c>
      <c r="C868" t="s">
        <v>649</v>
      </c>
      <c r="D868" t="s">
        <v>399</v>
      </c>
      <c r="E868" s="4" t="str">
        <f>HYPERLINK("http://snap.windin.com/ns/bulletin.php?id=1868865&amp;type=1", "京威股份:首次公开发行股票招股说明书")</f>
        <v>京威股份:首次公开发行股票招股说明书</v>
      </c>
      <c r="F868" t="s">
        <v>1750</v>
      </c>
    </row>
    <row r="869" spans="1:6" x14ac:dyDescent="0.15">
      <c r="A869" s="1">
        <v>40967</v>
      </c>
      <c r="B869" t="s">
        <v>184</v>
      </c>
      <c r="C869" t="s">
        <v>649</v>
      </c>
      <c r="D869" t="s">
        <v>400</v>
      </c>
      <c r="E869" s="4" t="str">
        <f>HYPERLINK("http://snap.windin.com/ns/bulletin.php?id=1505115&amp;type=1", "京威股份:首次公开发行股票招股说明书摘要")</f>
        <v>京威股份:首次公开发行股票招股说明书摘要</v>
      </c>
      <c r="F869" t="s">
        <v>1751</v>
      </c>
    </row>
    <row r="870" spans="1:6" x14ac:dyDescent="0.15">
      <c r="A870" s="1">
        <v>40967</v>
      </c>
      <c r="B870" t="s">
        <v>186</v>
      </c>
      <c r="C870" t="s">
        <v>651</v>
      </c>
      <c r="D870" t="s">
        <v>399</v>
      </c>
      <c r="E870" s="4" t="str">
        <f>HYPERLINK("http://snap.windin.com/ns/bulletin.php?id=96466&amp;type=1", "雪迪龙:首次公开发行股票招股说明书")</f>
        <v>雪迪龙:首次公开发行股票招股说明书</v>
      </c>
      <c r="F870" t="s">
        <v>1752</v>
      </c>
    </row>
    <row r="871" spans="1:6" x14ac:dyDescent="0.15">
      <c r="A871" s="1">
        <v>40967</v>
      </c>
      <c r="B871" t="s">
        <v>186</v>
      </c>
      <c r="C871" t="s">
        <v>651</v>
      </c>
      <c r="D871" t="s">
        <v>400</v>
      </c>
      <c r="E871" s="4" t="str">
        <f>HYPERLINK("http://snap.windin.com/ns/bulletin.php?id=1919638&amp;type=1", "雪迪龙:首次公开发行股票招股说明书摘要")</f>
        <v>雪迪龙:首次公开发行股票招股说明书摘要</v>
      </c>
      <c r="F871" t="s">
        <v>1753</v>
      </c>
    </row>
    <row r="872" spans="1:6" x14ac:dyDescent="0.15">
      <c r="A872" s="1">
        <v>40966</v>
      </c>
      <c r="B872" t="s">
        <v>188</v>
      </c>
      <c r="C872" t="s">
        <v>653</v>
      </c>
      <c r="D872" t="s">
        <v>455</v>
      </c>
      <c r="E872" s="4" t="str">
        <f>HYPERLINK("http://snap.windin.com/ns/bulletin.php?id=2080367&amp;type=1", "蓝英装备:首次公开发行股票并在创业板上市招股说明书")</f>
        <v>蓝英装备:首次公开发行股票并在创业板上市招股说明书</v>
      </c>
      <c r="F872" t="s">
        <v>1754</v>
      </c>
    </row>
    <row r="873" spans="1:6" x14ac:dyDescent="0.15">
      <c r="A873" s="1">
        <v>40966</v>
      </c>
      <c r="B873" t="s">
        <v>177</v>
      </c>
      <c r="C873" t="s">
        <v>640</v>
      </c>
      <c r="D873" t="s">
        <v>465</v>
      </c>
      <c r="E873" s="4" t="str">
        <f>HYPERLINK("http://snap.windin.com/ns/bulletin.php?id=185052&amp;type=1", "茂硕电源:首次公开发行股票招股意向书")</f>
        <v>茂硕电源:首次公开发行股票招股意向书</v>
      </c>
      <c r="F873" t="s">
        <v>1755</v>
      </c>
    </row>
    <row r="874" spans="1:6" x14ac:dyDescent="0.15">
      <c r="A874" s="1">
        <v>40966</v>
      </c>
      <c r="B874" t="s">
        <v>177</v>
      </c>
      <c r="C874" t="s">
        <v>640</v>
      </c>
      <c r="D874" t="s">
        <v>466</v>
      </c>
      <c r="E874" s="4" t="str">
        <f>HYPERLINK("http://snap.windin.com/ns/bulletin.php?id=1410079&amp;type=1", "茂硕电源:首次公开发行股票招股意向书摘要")</f>
        <v>茂硕电源:首次公开发行股票招股意向书摘要</v>
      </c>
      <c r="F874" t="s">
        <v>1756</v>
      </c>
    </row>
    <row r="875" spans="1:6" x14ac:dyDescent="0.15">
      <c r="A875" s="1">
        <v>40966</v>
      </c>
      <c r="B875" t="s">
        <v>191</v>
      </c>
      <c r="C875" t="s">
        <v>657</v>
      </c>
      <c r="D875" t="s">
        <v>389</v>
      </c>
      <c r="E875" s="4" t="str">
        <f>HYPERLINK("http://snap.windin.com/ns/bulletin.php?id=1952470&amp;type=1", "中科金财:首次公开发行股票上市公告书")</f>
        <v>中科金财:首次公开发行股票上市公告书</v>
      </c>
      <c r="F875" t="s">
        <v>1757</v>
      </c>
    </row>
    <row r="876" spans="1:6" x14ac:dyDescent="0.15">
      <c r="A876" s="1">
        <v>40966</v>
      </c>
      <c r="B876" t="s">
        <v>192</v>
      </c>
      <c r="C876" t="s">
        <v>658</v>
      </c>
      <c r="D876" t="s">
        <v>389</v>
      </c>
      <c r="E876" s="4" t="str">
        <f>HYPERLINK("http://snap.windin.com/ns/bulletin.php?id=1616942&amp;type=1", "卡奴迪路:首次公开发行股票上市公告书")</f>
        <v>卡奴迪路:首次公开发行股票上市公告书</v>
      </c>
      <c r="F876" t="s">
        <v>1758</v>
      </c>
    </row>
    <row r="877" spans="1:6" x14ac:dyDescent="0.15">
      <c r="A877" s="1">
        <v>40963</v>
      </c>
      <c r="B877" t="s">
        <v>174</v>
      </c>
      <c r="C877" t="s">
        <v>636</v>
      </c>
      <c r="D877" t="s">
        <v>471</v>
      </c>
      <c r="E877" s="4" t="str">
        <f>HYPERLINK("http://snap.windin.com/ns/bulletin.php?id=758834&amp;type=1", "三诺生物:首次公开发行股票并在创业板上市招股意向书")</f>
        <v>三诺生物:首次公开发行股票并在创业板上市招股意向书</v>
      </c>
      <c r="F877" t="s">
        <v>1759</v>
      </c>
    </row>
    <row r="878" spans="1:6" x14ac:dyDescent="0.15">
      <c r="A878" s="1">
        <v>40963</v>
      </c>
      <c r="B878" t="s">
        <v>179</v>
      </c>
      <c r="C878" t="s">
        <v>642</v>
      </c>
      <c r="D878" t="s">
        <v>465</v>
      </c>
      <c r="E878" s="4" t="str">
        <f>HYPERLINK("http://snap.windin.com/ns/bulletin.php?id=463850&amp;type=1", "信质电机:首次公开发行股票招股意向书")</f>
        <v>信质电机:首次公开发行股票招股意向书</v>
      </c>
      <c r="F878" t="s">
        <v>1760</v>
      </c>
    </row>
    <row r="879" spans="1:6" x14ac:dyDescent="0.15">
      <c r="A879" s="1">
        <v>40963</v>
      </c>
      <c r="B879" t="s">
        <v>179</v>
      </c>
      <c r="C879" t="s">
        <v>642</v>
      </c>
      <c r="D879" t="s">
        <v>466</v>
      </c>
      <c r="E879" s="4" t="str">
        <f>HYPERLINK("http://snap.windin.com/ns/bulletin.php?id=984053&amp;type=1", "信质电机:首次公开发行股票招股意向书摘要")</f>
        <v>信质电机:首次公开发行股票招股意向书摘要</v>
      </c>
      <c r="F879" t="s">
        <v>1761</v>
      </c>
    </row>
    <row r="880" spans="1:6" x14ac:dyDescent="0.15">
      <c r="A880" s="1">
        <v>40963</v>
      </c>
      <c r="B880" t="s">
        <v>178</v>
      </c>
      <c r="C880" t="s">
        <v>641</v>
      </c>
      <c r="D880" t="s">
        <v>465</v>
      </c>
      <c r="E880" s="4" t="str">
        <f>HYPERLINK("http://snap.windin.com/ns/bulletin.php?id=2036918&amp;type=1", "普邦园林:首次公开发行股票招股意向书")</f>
        <v>普邦园林:首次公开发行股票招股意向书</v>
      </c>
      <c r="F880" t="s">
        <v>1762</v>
      </c>
    </row>
    <row r="881" spans="1:6" x14ac:dyDescent="0.15">
      <c r="A881" s="1">
        <v>40963</v>
      </c>
      <c r="B881" t="s">
        <v>178</v>
      </c>
      <c r="C881" t="s">
        <v>641</v>
      </c>
      <c r="D881" t="s">
        <v>466</v>
      </c>
      <c r="E881" s="4" t="str">
        <f>HYPERLINK("http://snap.windin.com/ns/bulletin.php?id=588532&amp;type=1", "普邦园林:首次公开发行股票招股意向书摘要")</f>
        <v>普邦园林:首次公开发行股票招股意向书摘要</v>
      </c>
      <c r="F881" t="s">
        <v>1763</v>
      </c>
    </row>
    <row r="882" spans="1:6" x14ac:dyDescent="0.15">
      <c r="A882" s="1">
        <v>40962</v>
      </c>
      <c r="B882" t="s">
        <v>183</v>
      </c>
      <c r="C882" t="s">
        <v>648</v>
      </c>
      <c r="D882" t="s">
        <v>471</v>
      </c>
      <c r="E882" s="4" t="str">
        <f>HYPERLINK("http://snap.windin.com/ns/bulletin.php?id=1707287&amp;type=1", "蓝盾股份:首次公开发行股票并在创业板上市招股意向书")</f>
        <v>蓝盾股份:首次公开发行股票并在创业板上市招股意向书</v>
      </c>
      <c r="F882" t="s">
        <v>1764</v>
      </c>
    </row>
    <row r="883" spans="1:6" x14ac:dyDescent="0.15">
      <c r="A883" s="1">
        <v>40962</v>
      </c>
      <c r="B883" t="s">
        <v>180</v>
      </c>
      <c r="C883" t="s">
        <v>643</v>
      </c>
      <c r="D883" t="s">
        <v>465</v>
      </c>
      <c r="E883" s="4" t="str">
        <f>HYPERLINK("http://snap.windin.com/ns/bulletin.php?id=1733963&amp;type=1", "克明面业:首次公开发行股票招股意向书")</f>
        <v>克明面业:首次公开发行股票招股意向书</v>
      </c>
      <c r="F883" t="s">
        <v>1765</v>
      </c>
    </row>
    <row r="884" spans="1:6" x14ac:dyDescent="0.15">
      <c r="A884" s="1">
        <v>40962</v>
      </c>
      <c r="B884" t="s">
        <v>180</v>
      </c>
      <c r="C884" t="s">
        <v>643</v>
      </c>
      <c r="D884" t="s">
        <v>466</v>
      </c>
      <c r="E884" s="4" t="str">
        <f>HYPERLINK("http://snap.windin.com/ns/bulletin.php?id=2103150&amp;type=1", "克明面业:首次公开发行股票招股意向书摘要")</f>
        <v>克明面业:首次公开发行股票招股意向书摘要</v>
      </c>
      <c r="F884" t="s">
        <v>1766</v>
      </c>
    </row>
    <row r="885" spans="1:6" x14ac:dyDescent="0.15">
      <c r="A885" s="1">
        <v>40961</v>
      </c>
      <c r="B885" t="s">
        <v>193</v>
      </c>
      <c r="C885" t="s">
        <v>659</v>
      </c>
      <c r="D885" t="s">
        <v>660</v>
      </c>
      <c r="E885" s="4" t="str">
        <f>HYPERLINK("http://snap.windin.com/ns/bulletin.php?id=1589909&amp;type=1", "吉视传媒:首次公开发行股票（A股）上市公告书")</f>
        <v>吉视传媒:首次公开发行股票（A股）上市公告书</v>
      </c>
      <c r="F885" t="s">
        <v>1767</v>
      </c>
    </row>
    <row r="886" spans="1:6" x14ac:dyDescent="0.15">
      <c r="A886" s="1">
        <v>40961</v>
      </c>
      <c r="B886" t="s">
        <v>193</v>
      </c>
      <c r="C886" t="s">
        <v>659</v>
      </c>
      <c r="D886" t="s">
        <v>661</v>
      </c>
      <c r="E886" s="4" t="str">
        <f>HYPERLINK("http://snap.windin.com/ns/bulletin.php?id=1104507&amp;type=1", "吉视传媒:首次公开发行股票（A股）招股说明书")</f>
        <v>吉视传媒:首次公开发行股票（A股）招股说明书</v>
      </c>
      <c r="F886" t="s">
        <v>1768</v>
      </c>
    </row>
    <row r="887" spans="1:6" x14ac:dyDescent="0.15">
      <c r="A887" s="1">
        <v>40961</v>
      </c>
      <c r="B887" t="s">
        <v>182</v>
      </c>
      <c r="C887" t="s">
        <v>645</v>
      </c>
      <c r="D887" t="s">
        <v>471</v>
      </c>
      <c r="E887" s="4" t="str">
        <f>HYPERLINK("http://snap.windin.com/ns/bulletin.php?id=1170456&amp;type=1", "利亚德:首次公开发行股票并在创业板上市招股意向书")</f>
        <v>利亚德:首次公开发行股票并在创业板上市招股意向书</v>
      </c>
      <c r="F887" t="s">
        <v>1769</v>
      </c>
    </row>
    <row r="888" spans="1:6" x14ac:dyDescent="0.15">
      <c r="A888" s="1">
        <v>40961</v>
      </c>
      <c r="B888" t="s">
        <v>181</v>
      </c>
      <c r="C888" t="s">
        <v>644</v>
      </c>
      <c r="D888" t="s">
        <v>471</v>
      </c>
      <c r="E888" s="4" t="str">
        <f>HYPERLINK("http://snap.windin.com/ns/bulletin.php?id=1720764&amp;type=1", "三六五网:首次公开发行股票并在创业板上市招股意向书")</f>
        <v>三六五网:首次公开发行股票并在创业板上市招股意向书</v>
      </c>
      <c r="F888" t="s">
        <v>1770</v>
      </c>
    </row>
    <row r="889" spans="1:6" x14ac:dyDescent="0.15">
      <c r="A889" s="1">
        <v>40959</v>
      </c>
      <c r="B889" t="s">
        <v>190</v>
      </c>
      <c r="C889" t="s">
        <v>656</v>
      </c>
      <c r="D889" t="s">
        <v>455</v>
      </c>
      <c r="E889" s="4" t="str">
        <f>HYPERLINK("http://snap.windin.com/ns/bulletin.php?id=961376&amp;type=1", "吴通通讯:首次公开发行股票并在创业板上市招股说明书")</f>
        <v>吴通通讯:首次公开发行股票并在创业板上市招股说明书</v>
      </c>
      <c r="F889" t="s">
        <v>1771</v>
      </c>
    </row>
    <row r="890" spans="1:6" x14ac:dyDescent="0.15">
      <c r="A890" s="1">
        <v>40959</v>
      </c>
      <c r="B890" t="s">
        <v>184</v>
      </c>
      <c r="C890" t="s">
        <v>649</v>
      </c>
      <c r="D890" t="s">
        <v>465</v>
      </c>
      <c r="E890" s="4" t="str">
        <f>HYPERLINK("http://snap.windin.com/ns/bulletin.php?id=1758192&amp;type=1", "京威股份:首次公开发行股票招股意向书")</f>
        <v>京威股份:首次公开发行股票招股意向书</v>
      </c>
      <c r="F890" t="s">
        <v>1772</v>
      </c>
    </row>
    <row r="891" spans="1:6" x14ac:dyDescent="0.15">
      <c r="A891" s="1">
        <v>40959</v>
      </c>
      <c r="B891" t="s">
        <v>184</v>
      </c>
      <c r="C891" t="s">
        <v>649</v>
      </c>
      <c r="D891" t="s">
        <v>466</v>
      </c>
      <c r="E891" s="4" t="str">
        <f>HYPERLINK("http://snap.windin.com/ns/bulletin.php?id=456555&amp;type=1", "京威股份:首次公开发行股票招股意向书摘要")</f>
        <v>京威股份:首次公开发行股票招股意向书摘要</v>
      </c>
      <c r="F891" t="s">
        <v>1773</v>
      </c>
    </row>
    <row r="892" spans="1:6" x14ac:dyDescent="0.15">
      <c r="A892" s="1">
        <v>40959</v>
      </c>
      <c r="B892" t="s">
        <v>187</v>
      </c>
      <c r="C892" t="s">
        <v>652</v>
      </c>
      <c r="D892" t="s">
        <v>465</v>
      </c>
      <c r="E892" s="4" t="str">
        <f>HYPERLINK("http://snap.windin.com/ns/bulletin.php?id=1210478&amp;type=1", "中泰桥梁:首次公开发行股票招股意向书")</f>
        <v>中泰桥梁:首次公开发行股票招股意向书</v>
      </c>
      <c r="F892" t="s">
        <v>1774</v>
      </c>
    </row>
    <row r="893" spans="1:6" x14ac:dyDescent="0.15">
      <c r="A893" s="1">
        <v>40959</v>
      </c>
      <c r="B893" t="s">
        <v>187</v>
      </c>
      <c r="C893" t="s">
        <v>652</v>
      </c>
      <c r="D893" t="s">
        <v>466</v>
      </c>
      <c r="E893" s="4" t="str">
        <f>HYPERLINK("http://snap.windin.com/ns/bulletin.php?id=1685491&amp;type=1", "中泰桥梁:首次公开发行股票招股意向书摘要")</f>
        <v>中泰桥梁:首次公开发行股票招股意向书摘要</v>
      </c>
      <c r="F893" t="s">
        <v>1775</v>
      </c>
    </row>
    <row r="894" spans="1:6" x14ac:dyDescent="0.15">
      <c r="A894" s="1">
        <v>40959</v>
      </c>
      <c r="B894" t="s">
        <v>186</v>
      </c>
      <c r="C894" t="s">
        <v>651</v>
      </c>
      <c r="D894" t="s">
        <v>465</v>
      </c>
      <c r="E894" s="4" t="str">
        <f>HYPERLINK("http://snap.windin.com/ns/bulletin.php?id=1452264&amp;type=1", "雪迪龙:首次公开发行股票招股意向书")</f>
        <v>雪迪龙:首次公开发行股票招股意向书</v>
      </c>
      <c r="F894" t="s">
        <v>1776</v>
      </c>
    </row>
    <row r="895" spans="1:6" x14ac:dyDescent="0.15">
      <c r="A895" s="1">
        <v>40959</v>
      </c>
      <c r="B895" t="s">
        <v>186</v>
      </c>
      <c r="C895" t="s">
        <v>651</v>
      </c>
      <c r="D895" t="s">
        <v>466</v>
      </c>
      <c r="E895" s="4" t="str">
        <f>HYPERLINK("http://snap.windin.com/ns/bulletin.php?id=1545031&amp;type=1", "雪迪龙:首次公开发行股票招股意向书摘要")</f>
        <v>雪迪龙:首次公开发行股票招股意向书摘要</v>
      </c>
      <c r="F895" t="s">
        <v>1777</v>
      </c>
    </row>
    <row r="896" spans="1:6" x14ac:dyDescent="0.15">
      <c r="A896" s="1">
        <v>40956</v>
      </c>
      <c r="B896" t="s">
        <v>194</v>
      </c>
      <c r="C896" t="s">
        <v>662</v>
      </c>
      <c r="D896" t="s">
        <v>402</v>
      </c>
      <c r="E896" s="4" t="str">
        <f>HYPERLINK("http://snap.windin.com/ns/bulletin.php?id=1901813&amp;type=1", "环旭电子:首次公开发行A股股票上市公告书")</f>
        <v>环旭电子:首次公开发行A股股票上市公告书</v>
      </c>
      <c r="F896" t="s">
        <v>1778</v>
      </c>
    </row>
    <row r="897" spans="1:6" x14ac:dyDescent="0.15">
      <c r="A897" s="1">
        <v>40956</v>
      </c>
      <c r="B897" t="s">
        <v>194</v>
      </c>
      <c r="C897" t="s">
        <v>662</v>
      </c>
      <c r="D897" t="s">
        <v>399</v>
      </c>
      <c r="E897" s="4" t="str">
        <f>HYPERLINK("http://snap.windin.com/ns/bulletin.php?id=782973&amp;type=1", "环旭电子:首次公开发行股票招股说明书")</f>
        <v>环旭电子:首次公开发行股票招股说明书</v>
      </c>
      <c r="F897" t="s">
        <v>1779</v>
      </c>
    </row>
    <row r="898" spans="1:6" x14ac:dyDescent="0.15">
      <c r="A898" s="1">
        <v>40956</v>
      </c>
      <c r="B898" t="s">
        <v>189</v>
      </c>
      <c r="C898" t="s">
        <v>654</v>
      </c>
      <c r="D898" t="s">
        <v>471</v>
      </c>
      <c r="E898" s="4" t="str">
        <f>HYPERLINK("http://snap.windin.com/ns/bulletin.php?id=766025&amp;type=1", "博雅生物:首次公开发行股票并在创业板上市招股意向书")</f>
        <v>博雅生物:首次公开发行股票并在创业板上市招股意向书</v>
      </c>
      <c r="F898" t="s">
        <v>1780</v>
      </c>
    </row>
    <row r="899" spans="1:6" x14ac:dyDescent="0.15">
      <c r="A899" s="1">
        <v>40956</v>
      </c>
      <c r="B899" t="s">
        <v>191</v>
      </c>
      <c r="C899" t="s">
        <v>657</v>
      </c>
      <c r="D899" t="s">
        <v>399</v>
      </c>
      <c r="E899" s="4" t="str">
        <f>HYPERLINK("http://snap.windin.com/ns/bulletin.php?id=1660331&amp;type=1", "中科金财:首次公开发行股票招股说明书")</f>
        <v>中科金财:首次公开发行股票招股说明书</v>
      </c>
      <c r="F899" t="s">
        <v>1781</v>
      </c>
    </row>
    <row r="900" spans="1:6" x14ac:dyDescent="0.15">
      <c r="A900" s="1">
        <v>40956</v>
      </c>
      <c r="B900" t="s">
        <v>191</v>
      </c>
      <c r="C900" t="s">
        <v>657</v>
      </c>
      <c r="D900" t="s">
        <v>400</v>
      </c>
      <c r="E900" s="4" t="str">
        <f>HYPERLINK("http://snap.windin.com/ns/bulletin.php?id=1580343&amp;type=1", "中科金财:首次公开发行股票招股说明书摘要")</f>
        <v>中科金财:首次公开发行股票招股说明书摘要</v>
      </c>
      <c r="F900" t="s">
        <v>1782</v>
      </c>
    </row>
    <row r="901" spans="1:6" x14ac:dyDescent="0.15">
      <c r="A901" s="1">
        <v>40955</v>
      </c>
      <c r="B901" t="s">
        <v>188</v>
      </c>
      <c r="C901" t="s">
        <v>653</v>
      </c>
      <c r="D901" t="s">
        <v>471</v>
      </c>
      <c r="E901" s="4" t="str">
        <f>HYPERLINK("http://snap.windin.com/ns/bulletin.php?id=993513&amp;type=1", "蓝英装备:首次公开发行股票并在创业板上市招股意向书")</f>
        <v>蓝英装备:首次公开发行股票并在创业板上市招股意向书</v>
      </c>
      <c r="F901" t="s">
        <v>1783</v>
      </c>
    </row>
    <row r="902" spans="1:6" x14ac:dyDescent="0.15">
      <c r="A902" s="1">
        <v>40955</v>
      </c>
      <c r="B902" t="s">
        <v>192</v>
      </c>
      <c r="C902" t="s">
        <v>658</v>
      </c>
      <c r="D902" t="s">
        <v>399</v>
      </c>
      <c r="E902" s="4" t="str">
        <f>HYPERLINK("http://snap.windin.com/ns/bulletin.php?id=2071928&amp;type=1", "卡奴迪路:首次公开发行股票招股说明书")</f>
        <v>卡奴迪路:首次公开发行股票招股说明书</v>
      </c>
      <c r="F902" t="s">
        <v>1784</v>
      </c>
    </row>
    <row r="903" spans="1:6" x14ac:dyDescent="0.15">
      <c r="A903" s="1">
        <v>40955</v>
      </c>
      <c r="B903" t="s">
        <v>192</v>
      </c>
      <c r="C903" t="s">
        <v>658</v>
      </c>
      <c r="D903" t="s">
        <v>400</v>
      </c>
      <c r="E903" s="4" t="str">
        <f>HYPERLINK("http://snap.windin.com/ns/bulletin.php?id=1910377&amp;type=1", "卡奴迪路:首次公开发行股票招股说明书摘要")</f>
        <v>卡奴迪路:首次公开发行股票招股说明书摘要</v>
      </c>
      <c r="F903" t="s">
        <v>1785</v>
      </c>
    </row>
    <row r="904" spans="1:6" x14ac:dyDescent="0.15">
      <c r="A904" s="1">
        <v>40955</v>
      </c>
      <c r="B904" t="s">
        <v>195</v>
      </c>
      <c r="C904" t="s">
        <v>663</v>
      </c>
      <c r="D904" t="s">
        <v>389</v>
      </c>
      <c r="E904" s="4" t="str">
        <f>HYPERLINK("http://snap.windin.com/ns/bulletin.php?id=1162823&amp;type=1", "共达电声:首次公开发行股票上市公告书")</f>
        <v>共达电声:首次公开发行股票上市公告书</v>
      </c>
      <c r="F904" t="s">
        <v>1786</v>
      </c>
    </row>
    <row r="905" spans="1:6" x14ac:dyDescent="0.15">
      <c r="A905" s="1">
        <v>40955</v>
      </c>
      <c r="B905" t="s">
        <v>196</v>
      </c>
      <c r="C905" t="s">
        <v>664</v>
      </c>
      <c r="D905" t="s">
        <v>389</v>
      </c>
      <c r="E905" s="4" t="str">
        <f>HYPERLINK("http://snap.windin.com/ns/bulletin.php?id=1058858&amp;type=1", "万润科技:首次公开发行股票上市公告书")</f>
        <v>万润科技:首次公开发行股票上市公告书</v>
      </c>
      <c r="F905" t="s">
        <v>1787</v>
      </c>
    </row>
    <row r="906" spans="1:6" x14ac:dyDescent="0.15">
      <c r="A906" s="1">
        <v>40954</v>
      </c>
      <c r="B906" t="s">
        <v>198</v>
      </c>
      <c r="C906" t="s">
        <v>666</v>
      </c>
      <c r="D906" t="s">
        <v>402</v>
      </c>
      <c r="E906" s="4" t="str">
        <f>HYPERLINK("http://snap.windin.com/ns/bulletin.php?id=1259369&amp;type=1", "东风股份:首次公开发行A股股票上市公告书")</f>
        <v>东风股份:首次公开发行A股股票上市公告书</v>
      </c>
      <c r="F906" t="s">
        <v>1788</v>
      </c>
    </row>
    <row r="907" spans="1:6" x14ac:dyDescent="0.15">
      <c r="A907" s="1">
        <v>40954</v>
      </c>
      <c r="B907" t="s">
        <v>198</v>
      </c>
      <c r="C907" t="s">
        <v>666</v>
      </c>
      <c r="D907" t="s">
        <v>399</v>
      </c>
      <c r="E907" s="4" t="str">
        <f>HYPERLINK("http://snap.windin.com/ns/bulletin.php?id=594797&amp;type=1", "东风股份:首次公开发行股票招股说明书")</f>
        <v>东风股份:首次公开发行股票招股说明书</v>
      </c>
      <c r="F907" t="s">
        <v>1789</v>
      </c>
    </row>
    <row r="908" spans="1:6" x14ac:dyDescent="0.15">
      <c r="A908" s="1">
        <v>40954</v>
      </c>
      <c r="B908" t="s">
        <v>197</v>
      </c>
      <c r="C908" t="s">
        <v>665</v>
      </c>
      <c r="D908" t="s">
        <v>417</v>
      </c>
      <c r="E908" s="4" t="str">
        <f>HYPERLINK("http://snap.windin.com/ns/bulletin.php?id=941104&amp;type=1", "荣科科技:首次公开发行股票并在创业板上市公告书")</f>
        <v>荣科科技:首次公开发行股票并在创业板上市公告书</v>
      </c>
      <c r="F908" t="s">
        <v>1790</v>
      </c>
    </row>
    <row r="909" spans="1:6" x14ac:dyDescent="0.15">
      <c r="A909" s="1">
        <v>40954</v>
      </c>
      <c r="B909" t="s">
        <v>197</v>
      </c>
      <c r="C909" t="s">
        <v>665</v>
      </c>
      <c r="D909" t="s">
        <v>407</v>
      </c>
      <c r="E909" s="4" t="str">
        <f>HYPERLINK("http://snap.windin.com/ns/bulletin.php?id=1764024&amp;type=1", "荣科科技:首次公开发行股票并在创业板上市公告书提示性公告")</f>
        <v>荣科科技:首次公开发行股票并在创业板上市公告书提示性公告</v>
      </c>
      <c r="F909" t="s">
        <v>1791</v>
      </c>
    </row>
    <row r="910" spans="1:6" x14ac:dyDescent="0.15">
      <c r="A910" s="1">
        <v>40954</v>
      </c>
      <c r="B910" t="s">
        <v>200</v>
      </c>
      <c r="C910" t="s">
        <v>668</v>
      </c>
      <c r="D910" t="s">
        <v>408</v>
      </c>
      <c r="E910" s="4" t="str">
        <f>HYPERLINK("http://snap.windin.com/ns/bulletin.php?id=774634&amp;type=1", "利德曼:首次公开发行股票并在创业板上市之上市公告书")</f>
        <v>利德曼:首次公开发行股票并在创业板上市之上市公告书</v>
      </c>
      <c r="F910" t="s">
        <v>1792</v>
      </c>
    </row>
    <row r="911" spans="1:6" x14ac:dyDescent="0.15">
      <c r="A911" s="1">
        <v>40954</v>
      </c>
      <c r="B911" t="s">
        <v>199</v>
      </c>
      <c r="C911" t="s">
        <v>667</v>
      </c>
      <c r="D911" t="s">
        <v>407</v>
      </c>
      <c r="E911" s="4" t="str">
        <f>HYPERLINK("http://snap.windin.com/ns/bulletin.php?id=959114&amp;type=1", "朗玛信息:首次公开发行股票并在创业板上市公告书提示性公告")</f>
        <v>朗玛信息:首次公开发行股票并在创业板上市公告书提示性公告</v>
      </c>
      <c r="F911" t="s">
        <v>1793</v>
      </c>
    </row>
    <row r="912" spans="1:6" x14ac:dyDescent="0.15">
      <c r="A912" s="1">
        <v>40954</v>
      </c>
      <c r="B912" t="s">
        <v>199</v>
      </c>
      <c r="C912" t="s">
        <v>667</v>
      </c>
      <c r="D912" t="s">
        <v>389</v>
      </c>
      <c r="E912" s="4" t="str">
        <f>HYPERLINK("http://snap.windin.com/ns/bulletin.php?id=408058&amp;type=1", "朗玛信息:首次公开发行股票上市公告书")</f>
        <v>朗玛信息:首次公开发行股票上市公告书</v>
      </c>
      <c r="F912" t="s">
        <v>1794</v>
      </c>
    </row>
    <row r="913" spans="1:6" x14ac:dyDescent="0.15">
      <c r="A913" s="1">
        <v>40949</v>
      </c>
      <c r="B913" t="s">
        <v>190</v>
      </c>
      <c r="C913" t="s">
        <v>656</v>
      </c>
      <c r="D913" t="s">
        <v>471</v>
      </c>
      <c r="E913" s="4" t="str">
        <f>HYPERLINK("http://snap.windin.com/ns/bulletin.php?id=1246470&amp;type=1", "吴通通讯:首次公开发行股票并在创业板上市招股意向书")</f>
        <v>吴通通讯:首次公开发行股票并在创业板上市招股意向书</v>
      </c>
      <c r="F913" t="s">
        <v>1795</v>
      </c>
    </row>
    <row r="914" spans="1:6" x14ac:dyDescent="0.15">
      <c r="A914" s="1">
        <v>40947</v>
      </c>
      <c r="B914" t="s">
        <v>201</v>
      </c>
      <c r="C914" t="s">
        <v>669</v>
      </c>
      <c r="D914" t="s">
        <v>408</v>
      </c>
      <c r="E914" s="4" t="str">
        <f>HYPERLINK("http://snap.windin.com/ns/bulletin.php?id=2091862&amp;type=1", "华录百纳:首次公开发行股票并在创业板上市之上市公告书")</f>
        <v>华录百纳:首次公开发行股票并在创业板上市之上市公告书</v>
      </c>
      <c r="F914" t="s">
        <v>1796</v>
      </c>
    </row>
    <row r="915" spans="1:6" x14ac:dyDescent="0.15">
      <c r="A915" s="1">
        <v>40947</v>
      </c>
      <c r="B915" t="s">
        <v>201</v>
      </c>
      <c r="C915" t="s">
        <v>669</v>
      </c>
      <c r="D915" t="s">
        <v>410</v>
      </c>
      <c r="E915" s="4" t="str">
        <f>HYPERLINK("http://snap.windin.com/ns/bulletin.php?id=1538077&amp;type=1", "华录百纳:首次公开发行股票并在创业板上市之上市公告书提示性公告")</f>
        <v>华录百纳:首次公开发行股票并在创业板上市之上市公告书提示性公告</v>
      </c>
      <c r="F915" t="s">
        <v>1797</v>
      </c>
    </row>
    <row r="916" spans="1:6" x14ac:dyDescent="0.15">
      <c r="A916" s="1">
        <v>40947</v>
      </c>
      <c r="B916" t="s">
        <v>191</v>
      </c>
      <c r="C916" t="s">
        <v>657</v>
      </c>
      <c r="D916" t="s">
        <v>465</v>
      </c>
      <c r="E916" s="4" t="str">
        <f>HYPERLINK("http://snap.windin.com/ns/bulletin.php?id=1609938&amp;type=1", "中科金财:首次公开发行股票招股意向书")</f>
        <v>中科金财:首次公开发行股票招股意向书</v>
      </c>
      <c r="F916" t="s">
        <v>1798</v>
      </c>
    </row>
    <row r="917" spans="1:6" x14ac:dyDescent="0.15">
      <c r="A917" s="1">
        <v>40947</v>
      </c>
      <c r="B917" t="s">
        <v>191</v>
      </c>
      <c r="C917" t="s">
        <v>657</v>
      </c>
      <c r="D917" t="s">
        <v>466</v>
      </c>
      <c r="E917" s="4" t="str">
        <f>HYPERLINK("http://snap.windin.com/ns/bulletin.php?id=2108015&amp;type=1", "中科金财:首次公开发行股票招股意向书摘要")</f>
        <v>中科金财:首次公开发行股票招股意向书摘要</v>
      </c>
      <c r="F917" t="s">
        <v>1799</v>
      </c>
    </row>
    <row r="918" spans="1:6" x14ac:dyDescent="0.15">
      <c r="A918" s="1">
        <v>40947</v>
      </c>
      <c r="B918" t="s">
        <v>195</v>
      </c>
      <c r="C918" t="s">
        <v>663</v>
      </c>
      <c r="D918" t="s">
        <v>399</v>
      </c>
      <c r="E918" s="4" t="str">
        <f>HYPERLINK("http://snap.windin.com/ns/bulletin.php?id=219030&amp;type=1", "共达电声:首次公开发行股票招股说明书")</f>
        <v>共达电声:首次公开发行股票招股说明书</v>
      </c>
      <c r="F918" t="s">
        <v>1800</v>
      </c>
    </row>
    <row r="919" spans="1:6" x14ac:dyDescent="0.15">
      <c r="A919" s="1">
        <v>40947</v>
      </c>
      <c r="B919" t="s">
        <v>195</v>
      </c>
      <c r="C919" t="s">
        <v>663</v>
      </c>
      <c r="D919" t="s">
        <v>573</v>
      </c>
      <c r="E919" s="4" t="str">
        <f>HYPERLINK("http://snap.windin.com/ns/bulletin.php?id=720646&amp;type=1", "共达电声:首次公开发行股票招股说明书（更新后）")</f>
        <v>共达电声:首次公开发行股票招股说明书（更新后）</v>
      </c>
      <c r="F919" t="s">
        <v>1801</v>
      </c>
    </row>
    <row r="920" spans="1:6" x14ac:dyDescent="0.15">
      <c r="A920" s="1">
        <v>40947</v>
      </c>
      <c r="B920" t="s">
        <v>195</v>
      </c>
      <c r="C920" t="s">
        <v>663</v>
      </c>
      <c r="D920" t="s">
        <v>400</v>
      </c>
      <c r="E920" s="4" t="str">
        <f>HYPERLINK("http://snap.windin.com/ns/bulletin.php?id=1350277&amp;type=1", "共达电声:首次公开发行股票招股说明书摘要")</f>
        <v>共达电声:首次公开发行股票招股说明书摘要</v>
      </c>
      <c r="F920" t="s">
        <v>1802</v>
      </c>
    </row>
    <row r="921" spans="1:6" x14ac:dyDescent="0.15">
      <c r="A921" s="1">
        <v>40947</v>
      </c>
      <c r="B921" t="s">
        <v>195</v>
      </c>
      <c r="C921" t="s">
        <v>663</v>
      </c>
      <c r="D921" t="s">
        <v>571</v>
      </c>
      <c r="E921" s="4" t="str">
        <f>HYPERLINK("http://snap.windin.com/ns/bulletin.php?id=1258801&amp;type=1", "共达电声:首次公开发行股票招股说明书摘要（更新后）")</f>
        <v>共达电声:首次公开发行股票招股说明书摘要（更新后）</v>
      </c>
      <c r="F921" t="s">
        <v>1803</v>
      </c>
    </row>
    <row r="922" spans="1:6" x14ac:dyDescent="0.15">
      <c r="A922" s="1">
        <v>40946</v>
      </c>
      <c r="B922" t="s">
        <v>197</v>
      </c>
      <c r="C922" t="s">
        <v>665</v>
      </c>
      <c r="D922" t="s">
        <v>455</v>
      </c>
      <c r="E922" s="4" t="str">
        <f>HYPERLINK("http://snap.windin.com/ns/bulletin.php?id=743175&amp;type=1", "荣科科技:首次公开发行股票并在创业板上市招股说明书")</f>
        <v>荣科科技:首次公开发行股票并在创业板上市招股说明书</v>
      </c>
      <c r="F922" t="s">
        <v>1804</v>
      </c>
    </row>
    <row r="923" spans="1:6" x14ac:dyDescent="0.15">
      <c r="A923" s="1">
        <v>40946</v>
      </c>
      <c r="B923" t="s">
        <v>200</v>
      </c>
      <c r="C923" t="s">
        <v>668</v>
      </c>
      <c r="D923" t="s">
        <v>455</v>
      </c>
      <c r="E923" s="4" t="str">
        <f>HYPERLINK("http://snap.windin.com/ns/bulletin.php?id=1031907&amp;type=1", "利德曼:首次公开发行股票并在创业板上市招股说明书")</f>
        <v>利德曼:首次公开发行股票并在创业板上市招股说明书</v>
      </c>
      <c r="F923" t="s">
        <v>1805</v>
      </c>
    </row>
    <row r="924" spans="1:6" x14ac:dyDescent="0.15">
      <c r="A924" s="1">
        <v>40946</v>
      </c>
      <c r="B924" t="s">
        <v>199</v>
      </c>
      <c r="C924" t="s">
        <v>667</v>
      </c>
      <c r="D924" t="s">
        <v>455</v>
      </c>
      <c r="E924" s="4" t="str">
        <f>HYPERLINK("http://snap.windin.com/ns/bulletin.php?id=2002321&amp;type=1", "朗玛信息:首次公开发行股票并在创业板上市招股说明书")</f>
        <v>朗玛信息:首次公开发行股票并在创业板上市招股说明书</v>
      </c>
      <c r="F924" t="s">
        <v>1806</v>
      </c>
    </row>
    <row r="925" spans="1:6" x14ac:dyDescent="0.15">
      <c r="A925" s="1">
        <v>40945</v>
      </c>
      <c r="B925" t="s">
        <v>192</v>
      </c>
      <c r="C925" t="s">
        <v>658</v>
      </c>
      <c r="D925" t="s">
        <v>465</v>
      </c>
      <c r="E925" s="4" t="str">
        <f>HYPERLINK("http://snap.windin.com/ns/bulletin.php?id=1400084&amp;type=1", "卡奴迪路:首次公开发行股票招股意向书")</f>
        <v>卡奴迪路:首次公开发行股票招股意向书</v>
      </c>
      <c r="F925" t="s">
        <v>1807</v>
      </c>
    </row>
    <row r="926" spans="1:6" x14ac:dyDescent="0.15">
      <c r="A926" s="1">
        <v>40945</v>
      </c>
      <c r="B926" t="s">
        <v>192</v>
      </c>
      <c r="C926" t="s">
        <v>658</v>
      </c>
      <c r="D926" t="s">
        <v>466</v>
      </c>
      <c r="E926" s="4" t="str">
        <f>HYPERLINK("http://snap.windin.com/ns/bulletin.php?id=579985&amp;type=1", "卡奴迪路:首次公开发行股票招股意向书摘要")</f>
        <v>卡奴迪路:首次公开发行股票招股意向书摘要</v>
      </c>
      <c r="F926" t="s">
        <v>1808</v>
      </c>
    </row>
    <row r="927" spans="1:6" x14ac:dyDescent="0.15">
      <c r="A927" s="1">
        <v>40942</v>
      </c>
      <c r="B927" t="s">
        <v>196</v>
      </c>
      <c r="C927" t="s">
        <v>664</v>
      </c>
      <c r="D927" t="s">
        <v>399</v>
      </c>
      <c r="E927" s="4" t="str">
        <f>HYPERLINK("http://snap.windin.com/ns/bulletin.php?id=2126116&amp;type=1", "万润科技:首次公开发行股票招股说明书")</f>
        <v>万润科技:首次公开发行股票招股说明书</v>
      </c>
      <c r="F927" t="s">
        <v>1809</v>
      </c>
    </row>
    <row r="928" spans="1:6" x14ac:dyDescent="0.15">
      <c r="A928" s="1">
        <v>40942</v>
      </c>
      <c r="B928" t="s">
        <v>196</v>
      </c>
      <c r="C928" t="s">
        <v>664</v>
      </c>
      <c r="D928" t="s">
        <v>573</v>
      </c>
      <c r="E928" s="4" t="str">
        <f>HYPERLINK("http://snap.windin.com/ns/bulletin.php?id=2114514&amp;type=1", "万润科技:首次公开发行股票招股说明书（更新后）")</f>
        <v>万润科技:首次公开发行股票招股说明书（更新后）</v>
      </c>
      <c r="F928" t="s">
        <v>1810</v>
      </c>
    </row>
    <row r="929" spans="1:6" x14ac:dyDescent="0.15">
      <c r="A929" s="1">
        <v>40942</v>
      </c>
      <c r="B929" t="s">
        <v>196</v>
      </c>
      <c r="C929" t="s">
        <v>664</v>
      </c>
      <c r="D929" t="s">
        <v>400</v>
      </c>
      <c r="E929" s="4" t="str">
        <f>HYPERLINK("http://snap.windin.com/ns/bulletin.php?id=865947&amp;type=1", "万润科技:首次公开发行股票招股说明书摘要")</f>
        <v>万润科技:首次公开发行股票招股说明书摘要</v>
      </c>
      <c r="F929" t="s">
        <v>1811</v>
      </c>
    </row>
    <row r="930" spans="1:6" x14ac:dyDescent="0.15">
      <c r="A930" s="1">
        <v>40942</v>
      </c>
      <c r="B930" t="s">
        <v>196</v>
      </c>
      <c r="C930" t="s">
        <v>664</v>
      </c>
      <c r="D930" t="s">
        <v>571</v>
      </c>
      <c r="E930" s="4" t="str">
        <f>HYPERLINK("http://snap.windin.com/ns/bulletin.php?id=446282&amp;type=1", "万润科技:首次公开发行股票招股说明书摘要（更新后）")</f>
        <v>万润科技:首次公开发行股票招股说明书摘要（更新后）</v>
      </c>
      <c r="F930" t="s">
        <v>1812</v>
      </c>
    </row>
    <row r="931" spans="1:6" x14ac:dyDescent="0.15">
      <c r="A931" s="1">
        <v>40939</v>
      </c>
      <c r="B931" t="s">
        <v>185</v>
      </c>
      <c r="C931" t="s">
        <v>650</v>
      </c>
      <c r="D931" t="s">
        <v>475</v>
      </c>
      <c r="E931" s="4" t="str">
        <f>HYPERLINK("http://snap.windin.com/ns/bulletin.php?id=908298&amp;type=1", "中国交建:首次公开发行A股股票招股意向书")</f>
        <v>中国交建:首次公开发行A股股票招股意向书</v>
      </c>
      <c r="F931" t="s">
        <v>1813</v>
      </c>
    </row>
    <row r="932" spans="1:6" x14ac:dyDescent="0.15">
      <c r="A932" s="1">
        <v>40939</v>
      </c>
      <c r="B932" t="s">
        <v>185</v>
      </c>
      <c r="C932" t="s">
        <v>650</v>
      </c>
      <c r="D932" t="s">
        <v>495</v>
      </c>
      <c r="E932" s="4" t="str">
        <f>HYPERLINK("http://snap.windin.com/ns/bulletin.php?id=1200694&amp;type=1", "中国交建:首次公开发行A股股票招股意向书附录二")</f>
        <v>中国交建:首次公开发行A股股票招股意向书附录二</v>
      </c>
      <c r="F932" t="s">
        <v>1814</v>
      </c>
    </row>
    <row r="933" spans="1:6" x14ac:dyDescent="0.15">
      <c r="A933" s="1">
        <v>40939</v>
      </c>
      <c r="B933" t="s">
        <v>185</v>
      </c>
      <c r="C933" t="s">
        <v>650</v>
      </c>
      <c r="D933" t="s">
        <v>496</v>
      </c>
      <c r="E933" s="4" t="str">
        <f>HYPERLINK("http://snap.windin.com/ns/bulletin.php?id=1638064&amp;type=1", "中国交建:首次公开发行A股股票招股意向书附录一")</f>
        <v>中国交建:首次公开发行A股股票招股意向书附录一</v>
      </c>
      <c r="F933" t="s">
        <v>1815</v>
      </c>
    </row>
    <row r="934" spans="1:6" x14ac:dyDescent="0.15">
      <c r="A934" s="1">
        <v>40939</v>
      </c>
      <c r="B934" t="s">
        <v>185</v>
      </c>
      <c r="C934" t="s">
        <v>650</v>
      </c>
      <c r="D934" t="s">
        <v>476</v>
      </c>
      <c r="E934" s="4" t="str">
        <f>HYPERLINK("http://snap.windin.com/ns/bulletin.php?id=796506&amp;type=1", "中国交建:首次公开发行A股股票招股意向书摘要")</f>
        <v>中国交建:首次公开发行A股股票招股意向书摘要</v>
      </c>
      <c r="F934" t="s">
        <v>1816</v>
      </c>
    </row>
    <row r="935" spans="1:6" x14ac:dyDescent="0.15">
      <c r="A935" s="1">
        <v>40939</v>
      </c>
      <c r="B935" t="s">
        <v>185</v>
      </c>
      <c r="C935" t="s">
        <v>650</v>
      </c>
      <c r="D935" t="s">
        <v>671</v>
      </c>
      <c r="E935" s="4" t="str">
        <f>HYPERLINK("http://snap.windin.com/ns/bulletin.php?id=416852&amp;type=1", "中国交建:中国交建首次公开发行A股股票招股意向书附录三")</f>
        <v>中国交建:中国交建首次公开发行A股股票招股意向书附录三</v>
      </c>
      <c r="F935" t="s">
        <v>1817</v>
      </c>
    </row>
    <row r="936" spans="1:6" x14ac:dyDescent="0.15">
      <c r="A936" s="1">
        <v>40939</v>
      </c>
      <c r="B936" t="s">
        <v>201</v>
      </c>
      <c r="C936" t="s">
        <v>669</v>
      </c>
      <c r="D936" t="s">
        <v>455</v>
      </c>
      <c r="E936" s="4" t="str">
        <f>HYPERLINK("http://snap.windin.com/ns/bulletin.php?id=405030&amp;type=1", "华录百纳:首次公开发行股票并在创业板上市招股说明书")</f>
        <v>华录百纳:首次公开发行股票并在创业板上市招股说明书</v>
      </c>
      <c r="F936" t="s">
        <v>1818</v>
      </c>
    </row>
    <row r="937" spans="1:6" x14ac:dyDescent="0.15">
      <c r="A937" s="1">
        <v>40939</v>
      </c>
      <c r="B937" t="s">
        <v>202</v>
      </c>
      <c r="C937" t="s">
        <v>670</v>
      </c>
      <c r="D937" t="s">
        <v>383</v>
      </c>
      <c r="E937" s="4" t="str">
        <f>HYPERLINK("http://snap.windin.com/ns/bulletin.php?id=556073&amp;type=1", "飞利信:首次公开发行股票并在创业板上市上市公告书提示性公告")</f>
        <v>飞利信:首次公开发行股票并在创业板上市上市公告书提示性公告</v>
      </c>
      <c r="F937" t="s">
        <v>1819</v>
      </c>
    </row>
    <row r="938" spans="1:6" x14ac:dyDescent="0.15">
      <c r="A938" s="1">
        <v>40939</v>
      </c>
      <c r="B938" t="s">
        <v>202</v>
      </c>
      <c r="C938" t="s">
        <v>670</v>
      </c>
      <c r="D938" t="s">
        <v>408</v>
      </c>
      <c r="E938" s="4" t="str">
        <f>HYPERLINK("http://snap.windin.com/ns/bulletin.php?id=1629707&amp;type=1", "飞利信:首次公开发行股票并在创业板上市之上市公告书")</f>
        <v>飞利信:首次公开发行股票并在创业板上市之上市公告书</v>
      </c>
      <c r="F938" t="s">
        <v>1820</v>
      </c>
    </row>
    <row r="939" spans="1:6" x14ac:dyDescent="0.15">
      <c r="A939" s="1">
        <v>40939</v>
      </c>
      <c r="B939" t="s">
        <v>195</v>
      </c>
      <c r="C939" t="s">
        <v>663</v>
      </c>
      <c r="D939" t="s">
        <v>465</v>
      </c>
      <c r="E939" s="4" t="str">
        <f>HYPERLINK("http://snap.windin.com/ns/bulletin.php?id=183871&amp;type=1", "共达电声:首次公开发行股票招股意向书")</f>
        <v>共达电声:首次公开发行股票招股意向书</v>
      </c>
      <c r="F939" t="s">
        <v>1821</v>
      </c>
    </row>
    <row r="940" spans="1:6" x14ac:dyDescent="0.15">
      <c r="A940" s="1">
        <v>40939</v>
      </c>
      <c r="B940" t="s">
        <v>195</v>
      </c>
      <c r="C940" t="s">
        <v>663</v>
      </c>
      <c r="D940" t="s">
        <v>466</v>
      </c>
      <c r="E940" s="4" t="str">
        <f>HYPERLINK("http://snap.windin.com/ns/bulletin.php?id=578672&amp;type=1", "共达电声:首次公开发行股票招股意向书摘要")</f>
        <v>共达电声:首次公开发行股票招股意向书摘要</v>
      </c>
      <c r="F940" t="s">
        <v>1822</v>
      </c>
    </row>
    <row r="941" spans="1:6" x14ac:dyDescent="0.15">
      <c r="A941" s="1">
        <v>40938</v>
      </c>
      <c r="B941" t="s">
        <v>193</v>
      </c>
      <c r="C941" t="s">
        <v>659</v>
      </c>
      <c r="D941" t="s">
        <v>673</v>
      </c>
      <c r="E941" s="4" t="str">
        <f>HYPERLINK("http://snap.windin.com/ns/bulletin.php?id=1523870&amp;type=1", "吉视传媒:首次公开发行股票（A股）招股意向书")</f>
        <v>吉视传媒:首次公开发行股票（A股）招股意向书</v>
      </c>
      <c r="F941" t="s">
        <v>1823</v>
      </c>
    </row>
    <row r="942" spans="1:6" x14ac:dyDescent="0.15">
      <c r="A942" s="1">
        <v>40938</v>
      </c>
      <c r="B942" t="s">
        <v>193</v>
      </c>
      <c r="C942" t="s">
        <v>659</v>
      </c>
      <c r="D942" t="s">
        <v>674</v>
      </c>
      <c r="E942" s="4" t="str">
        <f>HYPERLINK("http://snap.windin.com/ns/bulletin.php?id=805072&amp;type=1", "吉视传媒:首次公开发行股票（A股）招股意向书附录")</f>
        <v>吉视传媒:首次公开发行股票（A股）招股意向书附录</v>
      </c>
      <c r="F942" t="s">
        <v>1824</v>
      </c>
    </row>
    <row r="943" spans="1:6" x14ac:dyDescent="0.15">
      <c r="A943" s="1">
        <v>40938</v>
      </c>
      <c r="B943" t="s">
        <v>193</v>
      </c>
      <c r="C943" t="s">
        <v>659</v>
      </c>
      <c r="D943" t="s">
        <v>672</v>
      </c>
      <c r="E943" s="4" t="str">
        <f>HYPERLINK("http://snap.windin.com/ns/bulletin.php?id=1895490&amp;type=1", "吉视传媒:首次公开发行股票（A股）招股意向书摘要")</f>
        <v>吉视传媒:首次公开发行股票（A股）招股意向书摘要</v>
      </c>
      <c r="F943" t="s">
        <v>1825</v>
      </c>
    </row>
    <row r="944" spans="1:6" x14ac:dyDescent="0.15">
      <c r="A944" s="1">
        <v>40938</v>
      </c>
      <c r="B944" t="s">
        <v>197</v>
      </c>
      <c r="C944" t="s">
        <v>665</v>
      </c>
      <c r="D944" t="s">
        <v>471</v>
      </c>
      <c r="E944" s="4" t="str">
        <f>HYPERLINK("http://snap.windin.com/ns/bulletin.php?id=1771087&amp;type=1", "荣科科技:首次公开发行股票并在创业板上市招股意向书")</f>
        <v>荣科科技:首次公开发行股票并在创业板上市招股意向书</v>
      </c>
      <c r="F944" t="s">
        <v>1826</v>
      </c>
    </row>
    <row r="945" spans="1:6" x14ac:dyDescent="0.15">
      <c r="A945" s="1">
        <v>40938</v>
      </c>
      <c r="B945" t="s">
        <v>200</v>
      </c>
      <c r="C945" t="s">
        <v>668</v>
      </c>
      <c r="D945" t="s">
        <v>471</v>
      </c>
      <c r="E945" s="4" t="str">
        <f>HYPERLINK("http://snap.windin.com/ns/bulletin.php?id=1637477&amp;type=1", "利德曼:首次公开发行股票并在创业板上市招股意向书")</f>
        <v>利德曼:首次公开发行股票并在创业板上市招股意向书</v>
      </c>
      <c r="F945" t="s">
        <v>1827</v>
      </c>
    </row>
    <row r="946" spans="1:6" x14ac:dyDescent="0.15">
      <c r="A946" s="1">
        <v>40928</v>
      </c>
      <c r="B946" t="s">
        <v>198</v>
      </c>
      <c r="C946" t="s">
        <v>666</v>
      </c>
      <c r="D946" t="s">
        <v>465</v>
      </c>
      <c r="E946" s="4" t="str">
        <f>HYPERLINK("http://snap.windin.com/ns/bulletin.php?id=1831128&amp;type=1", "东风股份:首次公开发行股票招股意向书")</f>
        <v>东风股份:首次公开发行股票招股意向书</v>
      </c>
      <c r="F946" t="s">
        <v>1828</v>
      </c>
    </row>
    <row r="947" spans="1:6" x14ac:dyDescent="0.15">
      <c r="A947" s="1">
        <v>40928</v>
      </c>
      <c r="B947" t="s">
        <v>198</v>
      </c>
      <c r="C947" t="s">
        <v>666</v>
      </c>
      <c r="D947" t="s">
        <v>522</v>
      </c>
      <c r="E947" s="4" t="str">
        <f>HYPERLINK("http://snap.windin.com/ns/bulletin.php?id=949278&amp;type=1", "东风股份:首次公开发行股票招股意向书附录二")</f>
        <v>东风股份:首次公开发行股票招股意向书附录二</v>
      </c>
      <c r="F947" t="s">
        <v>1829</v>
      </c>
    </row>
    <row r="948" spans="1:6" x14ac:dyDescent="0.15">
      <c r="A948" s="1">
        <v>40928</v>
      </c>
      <c r="B948" t="s">
        <v>198</v>
      </c>
      <c r="C948" t="s">
        <v>666</v>
      </c>
      <c r="D948" t="s">
        <v>521</v>
      </c>
      <c r="E948" s="4" t="str">
        <f>HYPERLINK("http://snap.windin.com/ns/bulletin.php?id=1584686&amp;type=1", "东风股份:首次公开发行股票招股意向书附录三")</f>
        <v>东风股份:首次公开发行股票招股意向书附录三</v>
      </c>
      <c r="F948" t="s">
        <v>1830</v>
      </c>
    </row>
    <row r="949" spans="1:6" x14ac:dyDescent="0.15">
      <c r="A949" s="1">
        <v>40928</v>
      </c>
      <c r="B949" t="s">
        <v>198</v>
      </c>
      <c r="C949" t="s">
        <v>666</v>
      </c>
      <c r="D949" t="s">
        <v>523</v>
      </c>
      <c r="E949" s="4" t="str">
        <f>HYPERLINK("http://snap.windin.com/ns/bulletin.php?id=1485622&amp;type=1", "东风股份:首次公开发行股票招股意向书附录四")</f>
        <v>东风股份:首次公开发行股票招股意向书附录四</v>
      </c>
      <c r="F949" t="s">
        <v>1831</v>
      </c>
    </row>
    <row r="950" spans="1:6" x14ac:dyDescent="0.15">
      <c r="A950" s="1">
        <v>40928</v>
      </c>
      <c r="B950" t="s">
        <v>198</v>
      </c>
      <c r="C950" t="s">
        <v>666</v>
      </c>
      <c r="D950" t="s">
        <v>520</v>
      </c>
      <c r="E950" s="4" t="str">
        <f>HYPERLINK("http://snap.windin.com/ns/bulletin.php?id=1726917&amp;type=1", "东风股份:首次公开发行股票招股意向书附录一")</f>
        <v>东风股份:首次公开发行股票招股意向书附录一</v>
      </c>
      <c r="F950" t="s">
        <v>1832</v>
      </c>
    </row>
    <row r="951" spans="1:6" x14ac:dyDescent="0.15">
      <c r="A951" s="1">
        <v>40928</v>
      </c>
      <c r="B951" t="s">
        <v>198</v>
      </c>
      <c r="C951" t="s">
        <v>666</v>
      </c>
      <c r="D951" t="s">
        <v>466</v>
      </c>
      <c r="E951" s="4" t="str">
        <f>HYPERLINK("http://snap.windin.com/ns/bulletin.php?id=1842539&amp;type=1", "东风股份:首次公开发行股票招股意向书摘要")</f>
        <v>东风股份:首次公开发行股票招股意向书摘要</v>
      </c>
      <c r="F951" t="s">
        <v>1833</v>
      </c>
    </row>
    <row r="952" spans="1:6" x14ac:dyDescent="0.15">
      <c r="A952" s="1">
        <v>40927</v>
      </c>
      <c r="B952" t="s">
        <v>194</v>
      </c>
      <c r="C952" t="s">
        <v>662</v>
      </c>
      <c r="D952" t="s">
        <v>465</v>
      </c>
      <c r="E952" s="4" t="str">
        <f>HYPERLINK("http://snap.windin.com/ns/bulletin.php?id=1529043&amp;type=1", "环旭电子:首次公开发行股票招股意向书")</f>
        <v>环旭电子:首次公开发行股票招股意向书</v>
      </c>
      <c r="F952" t="s">
        <v>1834</v>
      </c>
    </row>
    <row r="953" spans="1:6" x14ac:dyDescent="0.15">
      <c r="A953" s="1">
        <v>40927</v>
      </c>
      <c r="B953" t="s">
        <v>194</v>
      </c>
      <c r="C953" t="s">
        <v>662</v>
      </c>
      <c r="D953" t="s">
        <v>522</v>
      </c>
      <c r="E953" s="4" t="str">
        <f>HYPERLINK("http://snap.windin.com/ns/bulletin.php?id=1448773&amp;type=1", "环旭电子:首次公开发行股票招股意向书附录二")</f>
        <v>环旭电子:首次公开发行股票招股意向书附录二</v>
      </c>
      <c r="F953" t="s">
        <v>1835</v>
      </c>
    </row>
    <row r="954" spans="1:6" x14ac:dyDescent="0.15">
      <c r="A954" s="1">
        <v>40927</v>
      </c>
      <c r="B954" t="s">
        <v>194</v>
      </c>
      <c r="C954" t="s">
        <v>662</v>
      </c>
      <c r="D954" t="s">
        <v>521</v>
      </c>
      <c r="E954" s="4" t="str">
        <f>HYPERLINK("http://snap.windin.com/ns/bulletin.php?id=1152585&amp;type=1", "环旭电子:首次公开发行股票招股意向书附录三")</f>
        <v>环旭电子:首次公开发行股票招股意向书附录三</v>
      </c>
      <c r="F954" t="s">
        <v>1836</v>
      </c>
    </row>
    <row r="955" spans="1:6" x14ac:dyDescent="0.15">
      <c r="A955" s="1">
        <v>40927</v>
      </c>
      <c r="B955" t="s">
        <v>194</v>
      </c>
      <c r="C955" t="s">
        <v>662</v>
      </c>
      <c r="D955" t="s">
        <v>523</v>
      </c>
      <c r="E955" s="4" t="str">
        <f>HYPERLINK("http://snap.windin.com/ns/bulletin.php?id=227437&amp;type=1", "环旭电子:首次公开发行股票招股意向书附录四")</f>
        <v>环旭电子:首次公开发行股票招股意向书附录四</v>
      </c>
      <c r="F955" t="s">
        <v>1837</v>
      </c>
    </row>
    <row r="956" spans="1:6" x14ac:dyDescent="0.15">
      <c r="A956" s="1">
        <v>40927</v>
      </c>
      <c r="B956" t="s">
        <v>194</v>
      </c>
      <c r="C956" t="s">
        <v>662</v>
      </c>
      <c r="D956" t="s">
        <v>520</v>
      </c>
      <c r="E956" s="4" t="str">
        <f>HYPERLINK("http://snap.windin.com/ns/bulletin.php?id=1270038&amp;type=1", "环旭电子:首次公开发行股票招股意向书附录一")</f>
        <v>环旭电子:首次公开发行股票招股意向书附录一</v>
      </c>
      <c r="F956" t="s">
        <v>1838</v>
      </c>
    </row>
    <row r="957" spans="1:6" x14ac:dyDescent="0.15">
      <c r="A957" s="1">
        <v>40927</v>
      </c>
      <c r="B957" t="s">
        <v>194</v>
      </c>
      <c r="C957" t="s">
        <v>662</v>
      </c>
      <c r="D957" t="s">
        <v>466</v>
      </c>
      <c r="E957" s="4" t="str">
        <f>HYPERLINK("http://snap.windin.com/ns/bulletin.php?id=444129&amp;type=1", "环旭电子:首次公开发行股票招股意向书摘要")</f>
        <v>环旭电子:首次公开发行股票招股意向书摘要</v>
      </c>
      <c r="F957" t="s">
        <v>1839</v>
      </c>
    </row>
    <row r="958" spans="1:6" x14ac:dyDescent="0.15">
      <c r="A958" s="1">
        <v>40926</v>
      </c>
      <c r="B958" t="s">
        <v>196</v>
      </c>
      <c r="C958" t="s">
        <v>664</v>
      </c>
      <c r="D958" t="s">
        <v>465</v>
      </c>
      <c r="E958" s="4" t="str">
        <f>HYPERLINK("http://snap.windin.com/ns/bulletin.php?id=1808953&amp;type=1", "万润科技:首次公开发行股票招股意向书")</f>
        <v>万润科技:首次公开发行股票招股意向书</v>
      </c>
      <c r="F958" t="s">
        <v>1840</v>
      </c>
    </row>
    <row r="959" spans="1:6" x14ac:dyDescent="0.15">
      <c r="A959" s="1">
        <v>40926</v>
      </c>
      <c r="B959" t="s">
        <v>196</v>
      </c>
      <c r="C959" t="s">
        <v>664</v>
      </c>
      <c r="D959" t="s">
        <v>506</v>
      </c>
      <c r="E959" s="4" t="str">
        <f>HYPERLINK("http://snap.windin.com/ns/bulletin.php?id=1222231&amp;type=1", "万润科技:首次公开发行股票招股意向书（更新后）")</f>
        <v>万润科技:首次公开发行股票招股意向书（更新后）</v>
      </c>
      <c r="F959" t="s">
        <v>1841</v>
      </c>
    </row>
    <row r="960" spans="1:6" x14ac:dyDescent="0.15">
      <c r="A960" s="1">
        <v>40926</v>
      </c>
      <c r="B960" t="s">
        <v>196</v>
      </c>
      <c r="C960" t="s">
        <v>664</v>
      </c>
      <c r="D960" t="s">
        <v>466</v>
      </c>
      <c r="E960" s="4" t="str">
        <f>HYPERLINK("http://snap.windin.com/ns/bulletin.php?id=1980393&amp;type=1", "万润科技:首次公开发行股票招股意向书摘要")</f>
        <v>万润科技:首次公开发行股票招股意向书摘要</v>
      </c>
      <c r="F960" t="s">
        <v>1842</v>
      </c>
    </row>
    <row r="961" spans="1:6" x14ac:dyDescent="0.15">
      <c r="A961" s="1">
        <v>40926</v>
      </c>
      <c r="B961" t="s">
        <v>203</v>
      </c>
      <c r="C961" t="s">
        <v>675</v>
      </c>
      <c r="D961" t="s">
        <v>389</v>
      </c>
      <c r="E961" s="4" t="str">
        <f>HYPERLINK("http://snap.windin.com/ns/bulletin.php?id=199449&amp;type=1", "扬子新材:首次公开发行股票上市公告书")</f>
        <v>扬子新材:首次公开发行股票上市公告书</v>
      </c>
      <c r="F961" t="s">
        <v>1843</v>
      </c>
    </row>
    <row r="962" spans="1:6" x14ac:dyDescent="0.15">
      <c r="A962" s="1">
        <v>40924</v>
      </c>
      <c r="B962" t="s">
        <v>204</v>
      </c>
      <c r="C962" t="s">
        <v>676</v>
      </c>
      <c r="D962" t="s">
        <v>389</v>
      </c>
      <c r="E962" s="4" t="str">
        <f>HYPERLINK("http://snap.windin.com/ns/bulletin.php?id=1408253&amp;type=1", "海思科:首次公开发行股票上市公告书")</f>
        <v>海思科:首次公开发行股票上市公告书</v>
      </c>
      <c r="F962" t="s">
        <v>1844</v>
      </c>
    </row>
    <row r="963" spans="1:6" x14ac:dyDescent="0.15">
      <c r="A963" s="1">
        <v>40921</v>
      </c>
      <c r="B963" t="s">
        <v>205</v>
      </c>
      <c r="C963" t="s">
        <v>677</v>
      </c>
      <c r="D963" t="s">
        <v>402</v>
      </c>
      <c r="E963" s="4" t="str">
        <f>HYPERLINK("http://snap.windin.com/ns/bulletin.php?id=418193&amp;type=1", "江南嘉捷:首次公开发行A股股票上市公告书")</f>
        <v>江南嘉捷:首次公开发行A股股票上市公告书</v>
      </c>
      <c r="F963" t="s">
        <v>1845</v>
      </c>
    </row>
    <row r="964" spans="1:6" x14ac:dyDescent="0.15">
      <c r="A964" s="1">
        <v>40921</v>
      </c>
      <c r="B964" t="s">
        <v>205</v>
      </c>
      <c r="C964" t="s">
        <v>677</v>
      </c>
      <c r="D964" t="s">
        <v>399</v>
      </c>
      <c r="E964" s="4" t="str">
        <f>HYPERLINK("http://snap.windin.com/ns/bulletin.php?id=2075674&amp;type=1", "江南嘉捷:首次公开发行股票招股说明书")</f>
        <v>江南嘉捷:首次公开发行股票招股说明书</v>
      </c>
      <c r="F964" t="s">
        <v>1846</v>
      </c>
    </row>
    <row r="965" spans="1:6" x14ac:dyDescent="0.15">
      <c r="A965" s="1">
        <v>40921</v>
      </c>
      <c r="B965" t="s">
        <v>202</v>
      </c>
      <c r="C965" t="s">
        <v>670</v>
      </c>
      <c r="D965" t="s">
        <v>455</v>
      </c>
      <c r="E965" s="4" t="str">
        <f>HYPERLINK("http://snap.windin.com/ns/bulletin.php?id=221766&amp;type=1", "飞利信:首次公开发行股票并在创业板上市招股说明书")</f>
        <v>飞利信:首次公开发行股票并在创业板上市招股说明书</v>
      </c>
      <c r="F965" t="s">
        <v>1847</v>
      </c>
    </row>
    <row r="966" spans="1:6" x14ac:dyDescent="0.15">
      <c r="A966" s="1">
        <v>40920</v>
      </c>
      <c r="B966" t="s">
        <v>206</v>
      </c>
      <c r="C966" t="s">
        <v>678</v>
      </c>
      <c r="D966" t="s">
        <v>383</v>
      </c>
      <c r="E966" s="4" t="str">
        <f>HYPERLINK("http://snap.windin.com/ns/bulletin.php?id=1018461&amp;type=1", "安科瑞:首次公开发行股票并在创业板上市上市公告书提示性公告")</f>
        <v>安科瑞:首次公开发行股票并在创业板上市上市公告书提示性公告</v>
      </c>
      <c r="F966" t="s">
        <v>1848</v>
      </c>
    </row>
    <row r="967" spans="1:6" x14ac:dyDescent="0.15">
      <c r="A967" s="1">
        <v>40920</v>
      </c>
      <c r="B967" t="s">
        <v>206</v>
      </c>
      <c r="C967" t="s">
        <v>678</v>
      </c>
      <c r="D967" t="s">
        <v>408</v>
      </c>
      <c r="E967" s="4" t="str">
        <f>HYPERLINK("http://snap.windin.com/ns/bulletin.php?id=2012696&amp;type=1", "安科瑞:首次公开发行股票并在创业板上市之上市公告书")</f>
        <v>安科瑞:首次公开发行股票并在创业板上市之上市公告书</v>
      </c>
      <c r="F967" t="s">
        <v>1849</v>
      </c>
    </row>
    <row r="968" spans="1:6" x14ac:dyDescent="0.15">
      <c r="A968" s="1">
        <v>40920</v>
      </c>
      <c r="B968" t="s">
        <v>207</v>
      </c>
      <c r="C968" t="s">
        <v>679</v>
      </c>
      <c r="D968" t="s">
        <v>407</v>
      </c>
      <c r="E968" s="4" t="str">
        <f>HYPERLINK("http://snap.windin.com/ns/bulletin.php?id=1099662&amp;type=1", "国瓷材料:首次公开发行股票并在创业板上市公告书提示性公告")</f>
        <v>国瓷材料:首次公开发行股票并在创业板上市公告书提示性公告</v>
      </c>
      <c r="F968" t="s">
        <v>1850</v>
      </c>
    </row>
    <row r="969" spans="1:6" x14ac:dyDescent="0.15">
      <c r="A969" s="1">
        <v>40920</v>
      </c>
      <c r="B969" t="s">
        <v>207</v>
      </c>
      <c r="C969" t="s">
        <v>679</v>
      </c>
      <c r="D969" t="s">
        <v>408</v>
      </c>
      <c r="E969" s="4" t="str">
        <f>HYPERLINK("http://snap.windin.com/ns/bulletin.php?id=483077&amp;type=1", "国瓷材料:首次公开发行股票并在创业板上市之上市公告书")</f>
        <v>国瓷材料:首次公开发行股票并在创业板上市之上市公告书</v>
      </c>
      <c r="F969" t="s">
        <v>1851</v>
      </c>
    </row>
    <row r="970" spans="1:6" x14ac:dyDescent="0.15">
      <c r="A970" s="1">
        <v>40919</v>
      </c>
      <c r="B970" t="s">
        <v>201</v>
      </c>
      <c r="C970" t="s">
        <v>669</v>
      </c>
      <c r="D970" t="s">
        <v>471</v>
      </c>
      <c r="E970" s="4" t="str">
        <f>HYPERLINK("http://snap.windin.com/ns/bulletin.php?id=142223&amp;type=1", "华录百纳:首次公开发行股票并在创业板上市招股意向书")</f>
        <v>华录百纳:首次公开发行股票并在创业板上市招股意向书</v>
      </c>
      <c r="F970" t="s">
        <v>1852</v>
      </c>
    </row>
    <row r="971" spans="1:6" x14ac:dyDescent="0.15">
      <c r="A971" s="1">
        <v>40918</v>
      </c>
      <c r="B971" t="s">
        <v>203</v>
      </c>
      <c r="C971" t="s">
        <v>675</v>
      </c>
      <c r="D971" t="s">
        <v>399</v>
      </c>
      <c r="E971" s="4" t="str">
        <f>HYPERLINK("http://snap.windin.com/ns/bulletin.php?id=1902215&amp;type=1", "扬子新材:首次公开发行股票招股说明书")</f>
        <v>扬子新材:首次公开发行股票招股说明书</v>
      </c>
      <c r="F971" t="s">
        <v>1853</v>
      </c>
    </row>
    <row r="972" spans="1:6" x14ac:dyDescent="0.15">
      <c r="A972" s="1">
        <v>40918</v>
      </c>
      <c r="B972" t="s">
        <v>203</v>
      </c>
      <c r="C972" t="s">
        <v>675</v>
      </c>
      <c r="D972" t="s">
        <v>400</v>
      </c>
      <c r="E972" s="4" t="str">
        <f>HYPERLINK("http://snap.windin.com/ns/bulletin.php?id=1689605&amp;type=1", "扬子新材:首次公开发行股票招股说明书摘要")</f>
        <v>扬子新材:首次公开发行股票招股说明书摘要</v>
      </c>
      <c r="F972" t="s">
        <v>1854</v>
      </c>
    </row>
    <row r="973" spans="1:6" x14ac:dyDescent="0.15">
      <c r="A973" s="1">
        <v>40917</v>
      </c>
      <c r="B973" t="s">
        <v>209</v>
      </c>
      <c r="C973" t="s">
        <v>681</v>
      </c>
      <c r="D973" t="s">
        <v>417</v>
      </c>
      <c r="E973" s="4" t="str">
        <f>HYPERLINK("http://snap.windin.com/ns/bulletin.php?id=625393&amp;type=1", "苏交科:首次公开发行股票并在创业板上市公告书")</f>
        <v>苏交科:首次公开发行股票并在创业板上市公告书</v>
      </c>
      <c r="F973" t="s">
        <v>1855</v>
      </c>
    </row>
    <row r="974" spans="1:6" x14ac:dyDescent="0.15">
      <c r="A974" s="1">
        <v>40917</v>
      </c>
      <c r="B974" t="s">
        <v>209</v>
      </c>
      <c r="C974" t="s">
        <v>681</v>
      </c>
      <c r="D974" t="s">
        <v>449</v>
      </c>
      <c r="E974" s="4" t="str">
        <f>HYPERLINK("http://snap.windin.com/ns/bulletin.php?id=1206626&amp;type=1", "苏交科:首次公开发行股票并在创业板上市上市公告书提示公告")</f>
        <v>苏交科:首次公开发行股票并在创业板上市上市公告书提示公告</v>
      </c>
      <c r="F974" t="s">
        <v>1856</v>
      </c>
    </row>
    <row r="975" spans="1:6" x14ac:dyDescent="0.15">
      <c r="A975" s="1">
        <v>40917</v>
      </c>
      <c r="B975" t="s">
        <v>208</v>
      </c>
      <c r="C975" t="s">
        <v>680</v>
      </c>
      <c r="D975" t="s">
        <v>383</v>
      </c>
      <c r="E975" s="4" t="str">
        <f>HYPERLINK("http://snap.windin.com/ns/bulletin.php?id=1609215&amp;type=1", "温州宏丰:首次公开发行股票并在创业板上市上市公告书提示性公告")</f>
        <v>温州宏丰:首次公开发行股票并在创业板上市上市公告书提示性公告</v>
      </c>
      <c r="F975" t="s">
        <v>1857</v>
      </c>
    </row>
    <row r="976" spans="1:6" x14ac:dyDescent="0.15">
      <c r="A976" s="1">
        <v>40917</v>
      </c>
      <c r="B976" t="s">
        <v>208</v>
      </c>
      <c r="C976" t="s">
        <v>680</v>
      </c>
      <c r="D976" t="s">
        <v>408</v>
      </c>
      <c r="E976" s="4" t="str">
        <f>HYPERLINK("http://snap.windin.com/ns/bulletin.php?id=685324&amp;type=1", "温州宏丰:首次公开发行股票并在创业板上市之上市公告书")</f>
        <v>温州宏丰:首次公开发行股票并在创业板上市之上市公告书</v>
      </c>
      <c r="F976" t="s">
        <v>1858</v>
      </c>
    </row>
    <row r="977" spans="1:6" x14ac:dyDescent="0.15">
      <c r="A977" s="1">
        <v>40914</v>
      </c>
      <c r="B977" t="s">
        <v>199</v>
      </c>
      <c r="C977" t="s">
        <v>667</v>
      </c>
      <c r="D977" t="s">
        <v>471</v>
      </c>
      <c r="E977" s="4" t="str">
        <f>HYPERLINK("http://snap.windin.com/ns/bulletin.php?id=1557502&amp;type=1", "朗玛信息:首次公开发行股票并在创业板上市招股意向书")</f>
        <v>朗玛信息:首次公开发行股票并在创业板上市招股意向书</v>
      </c>
      <c r="F977" t="s">
        <v>1859</v>
      </c>
    </row>
    <row r="978" spans="1:6" x14ac:dyDescent="0.15">
      <c r="A978" s="1">
        <v>40914</v>
      </c>
      <c r="B978" t="s">
        <v>202</v>
      </c>
      <c r="C978" t="s">
        <v>670</v>
      </c>
      <c r="D978" t="s">
        <v>471</v>
      </c>
      <c r="E978" s="4" t="str">
        <f>HYPERLINK("http://snap.windin.com/ns/bulletin.php?id=594027&amp;type=1", "飞利信:首次公开发行股票并在创业板上市招股意向书")</f>
        <v>飞利信:首次公开发行股票并在创业板上市招股意向书</v>
      </c>
      <c r="F978" t="s">
        <v>1860</v>
      </c>
    </row>
    <row r="979" spans="1:6" x14ac:dyDescent="0.15">
      <c r="A979" s="1">
        <v>40914</v>
      </c>
      <c r="B979" t="s">
        <v>204</v>
      </c>
      <c r="C979" t="s">
        <v>676</v>
      </c>
      <c r="D979" t="s">
        <v>399</v>
      </c>
      <c r="E979" s="4" t="str">
        <f>HYPERLINK("http://snap.windin.com/ns/bulletin.php?id=1177237&amp;type=1", "海思科:首次公开发行股票招股说明书")</f>
        <v>海思科:首次公开发行股票招股说明书</v>
      </c>
      <c r="F979" t="s">
        <v>1861</v>
      </c>
    </row>
    <row r="980" spans="1:6" x14ac:dyDescent="0.15">
      <c r="A980" s="1">
        <v>40914</v>
      </c>
      <c r="B980" t="s">
        <v>204</v>
      </c>
      <c r="C980" t="s">
        <v>676</v>
      </c>
      <c r="D980" t="s">
        <v>400</v>
      </c>
      <c r="E980" s="4" t="str">
        <f>HYPERLINK("http://snap.windin.com/ns/bulletin.php?id=731558&amp;type=1", "海思科:首次公开发行股票招股说明书摘要")</f>
        <v>海思科:首次公开发行股票招股说明书摘要</v>
      </c>
      <c r="F980" t="s">
        <v>1862</v>
      </c>
    </row>
    <row r="981" spans="1:6" x14ac:dyDescent="0.15">
      <c r="A981" s="1">
        <v>40913</v>
      </c>
      <c r="B981" t="s">
        <v>210</v>
      </c>
      <c r="C981" t="s">
        <v>682</v>
      </c>
      <c r="D981" t="s">
        <v>389</v>
      </c>
      <c r="E981" s="4" t="str">
        <f>HYPERLINK("http://snap.windin.com/ns/bulletin.php?id=1695182&amp;type=1", "利君股份:首次公开发行股票上市公告书")</f>
        <v>利君股份:首次公开发行股票上市公告书</v>
      </c>
      <c r="F981" t="s">
        <v>1863</v>
      </c>
    </row>
    <row r="982" spans="1:6" x14ac:dyDescent="0.15">
      <c r="A982" s="1">
        <v>40913</v>
      </c>
      <c r="B982" t="s">
        <v>211</v>
      </c>
      <c r="C982" t="s">
        <v>683</v>
      </c>
      <c r="D982" t="s">
        <v>389</v>
      </c>
      <c r="E982" s="4" t="str">
        <f>HYPERLINK("http://snap.windin.com/ns/bulletin.php?id=1527100&amp;type=1", "加加食品:首次公开发行股票上市公告书")</f>
        <v>加加食品:首次公开发行股票上市公告书</v>
      </c>
      <c r="F982" t="s">
        <v>1864</v>
      </c>
    </row>
    <row r="983" spans="1:6" x14ac:dyDescent="0.15">
      <c r="A983" s="1">
        <v>40913</v>
      </c>
      <c r="B983" t="s">
        <v>212</v>
      </c>
      <c r="C983" t="s">
        <v>684</v>
      </c>
      <c r="D983" t="s">
        <v>389</v>
      </c>
      <c r="E983" s="4" t="str">
        <f>HYPERLINK("http://snap.windin.com/ns/bulletin.php?id=1423370&amp;type=1", "博彦科技:首次公开发行股票上市公告书")</f>
        <v>博彦科技:首次公开发行股票上市公告书</v>
      </c>
      <c r="F983" t="s">
        <v>1865</v>
      </c>
    </row>
    <row r="984" spans="1:6" x14ac:dyDescent="0.15">
      <c r="A984" s="1">
        <v>40907</v>
      </c>
      <c r="B984" t="s">
        <v>206</v>
      </c>
      <c r="C984" t="s">
        <v>678</v>
      </c>
      <c r="D984" t="s">
        <v>455</v>
      </c>
      <c r="E984" s="4" t="str">
        <f>HYPERLINK("http://snap.windin.com/ns/bulletin.php?id=1557274&amp;type=1", "安科瑞:首次公开发行股票并在创业板上市招股说明书")</f>
        <v>安科瑞:首次公开发行股票并在创业板上市招股说明书</v>
      </c>
      <c r="F984" t="s">
        <v>1866</v>
      </c>
    </row>
    <row r="985" spans="1:6" x14ac:dyDescent="0.15">
      <c r="A985" s="1">
        <v>40907</v>
      </c>
      <c r="B985" t="s">
        <v>207</v>
      </c>
      <c r="C985" t="s">
        <v>679</v>
      </c>
      <c r="D985" t="s">
        <v>455</v>
      </c>
      <c r="E985" s="4" t="str">
        <f>HYPERLINK("http://snap.windin.com/ns/bulletin.php?id=1891649&amp;type=1", "国瓷材料:首次公开发行股票并在创业板上市招股说明书")</f>
        <v>国瓷材料:首次公开发行股票并在创业板上市招股说明书</v>
      </c>
      <c r="F985" t="s">
        <v>1867</v>
      </c>
    </row>
    <row r="986" spans="1:6" x14ac:dyDescent="0.15">
      <c r="A986" s="1">
        <v>40907</v>
      </c>
      <c r="B986" t="s">
        <v>203</v>
      </c>
      <c r="C986" t="s">
        <v>675</v>
      </c>
      <c r="D986" t="s">
        <v>465</v>
      </c>
      <c r="E986" s="4" t="str">
        <f>HYPERLINK("http://snap.windin.com/ns/bulletin.php?id=2024476&amp;type=1", "扬子新材:首次公开发行股票招股意向书")</f>
        <v>扬子新材:首次公开发行股票招股意向书</v>
      </c>
      <c r="F986" t="s">
        <v>1868</v>
      </c>
    </row>
    <row r="987" spans="1:6" x14ac:dyDescent="0.15">
      <c r="A987" s="1">
        <v>40907</v>
      </c>
      <c r="B987" t="s">
        <v>203</v>
      </c>
      <c r="C987" t="s">
        <v>675</v>
      </c>
      <c r="D987" t="s">
        <v>466</v>
      </c>
      <c r="E987" s="4" t="str">
        <f>HYPERLINK("http://snap.windin.com/ns/bulletin.php?id=987445&amp;type=1", "扬子新材:首次公开发行股票招股意向书摘要")</f>
        <v>扬子新材:首次公开发行股票招股意向书摘要</v>
      </c>
      <c r="F987" t="s">
        <v>1869</v>
      </c>
    </row>
    <row r="988" spans="1:6" x14ac:dyDescent="0.15">
      <c r="A988" s="1">
        <v>40905</v>
      </c>
      <c r="B988" t="s">
        <v>214</v>
      </c>
      <c r="C988" t="s">
        <v>686</v>
      </c>
      <c r="D988" t="s">
        <v>412</v>
      </c>
      <c r="E988" s="4" t="str">
        <f>HYPERLINK("http://snap.windin.com/ns/bulletin.php?id=1553936&amp;type=1", "汇冠股份:首次公开发行股票并在创业板上市上市公告书")</f>
        <v>汇冠股份:首次公开发行股票并在创业板上市上市公告书</v>
      </c>
      <c r="F988" t="s">
        <v>1870</v>
      </c>
    </row>
    <row r="989" spans="1:6" x14ac:dyDescent="0.15">
      <c r="A989" s="1">
        <v>40905</v>
      </c>
      <c r="B989" t="s">
        <v>214</v>
      </c>
      <c r="C989" t="s">
        <v>686</v>
      </c>
      <c r="D989" t="s">
        <v>383</v>
      </c>
      <c r="E989" s="4" t="str">
        <f>HYPERLINK("http://snap.windin.com/ns/bulletin.php?id=172158&amp;type=1", "汇冠股份:首次公开发行股票并在创业板上市上市公告书提示性公告")</f>
        <v>汇冠股份:首次公开发行股票并在创业板上市上市公告书提示性公告</v>
      </c>
      <c r="F989" t="s">
        <v>1871</v>
      </c>
    </row>
    <row r="990" spans="1:6" x14ac:dyDescent="0.15">
      <c r="A990" s="1">
        <v>40905</v>
      </c>
      <c r="B990" t="s">
        <v>213</v>
      </c>
      <c r="C990" t="s">
        <v>685</v>
      </c>
      <c r="D990" t="s">
        <v>417</v>
      </c>
      <c r="E990" s="4" t="str">
        <f>HYPERLINK("http://snap.windin.com/ns/bulletin.php?id=1755755&amp;type=1", "金明精机:首次公开发行股票并在创业板上市公告书")</f>
        <v>金明精机:首次公开发行股票并在创业板上市公告书</v>
      </c>
      <c r="F990" t="s">
        <v>1872</v>
      </c>
    </row>
    <row r="991" spans="1:6" x14ac:dyDescent="0.15">
      <c r="A991" s="1">
        <v>40905</v>
      </c>
      <c r="B991" t="s">
        <v>213</v>
      </c>
      <c r="C991" t="s">
        <v>685</v>
      </c>
      <c r="D991" t="s">
        <v>449</v>
      </c>
      <c r="E991" s="4" t="str">
        <f>HYPERLINK("http://snap.windin.com/ns/bulletin.php?id=545053&amp;type=1", "金明精机:首次公开发行股票并在创业板上市上市公告书提示公告")</f>
        <v>金明精机:首次公开发行股票并在创业板上市上市公告书提示公告</v>
      </c>
      <c r="F991" t="s">
        <v>1873</v>
      </c>
    </row>
    <row r="992" spans="1:6" x14ac:dyDescent="0.15">
      <c r="A992" s="1">
        <v>40905</v>
      </c>
      <c r="B992" t="s">
        <v>215</v>
      </c>
      <c r="C992" t="s">
        <v>687</v>
      </c>
      <c r="D992" t="s">
        <v>408</v>
      </c>
      <c r="E992" s="4" t="str">
        <f>HYPERLINK("http://snap.windin.com/ns/bulletin.php?id=1506378&amp;type=1", "南通锻压:首次公开发行股票并在创业板上市之上市公告书")</f>
        <v>南通锻压:首次公开发行股票并在创业板上市之上市公告书</v>
      </c>
      <c r="F992" t="s">
        <v>1874</v>
      </c>
    </row>
    <row r="993" spans="1:6" x14ac:dyDescent="0.15">
      <c r="A993" s="1">
        <v>40905</v>
      </c>
      <c r="B993" t="s">
        <v>216</v>
      </c>
      <c r="C993" t="s">
        <v>688</v>
      </c>
      <c r="D993" t="s">
        <v>412</v>
      </c>
      <c r="E993" s="4" t="str">
        <f>HYPERLINK("http://snap.windin.com/ns/bulletin.php?id=1418989&amp;type=1", "和晶科技:首次公开发行股票并在创业板上市上市公告书")</f>
        <v>和晶科技:首次公开发行股票并在创业板上市上市公告书</v>
      </c>
      <c r="F993" t="s">
        <v>1875</v>
      </c>
    </row>
    <row r="994" spans="1:6" x14ac:dyDescent="0.15">
      <c r="A994" s="1">
        <v>40905</v>
      </c>
      <c r="B994" t="s">
        <v>216</v>
      </c>
      <c r="C994" t="s">
        <v>688</v>
      </c>
      <c r="D994" t="s">
        <v>383</v>
      </c>
      <c r="E994" s="4" t="str">
        <f>HYPERLINK("http://snap.windin.com/ns/bulletin.php?id=454129&amp;type=1", "和晶科技:首次公开发行股票并在创业板上市上市公告书提示性公告")</f>
        <v>和晶科技:首次公开发行股票并在创业板上市上市公告书提示性公告</v>
      </c>
      <c r="F994" t="s">
        <v>1876</v>
      </c>
    </row>
    <row r="995" spans="1:6" x14ac:dyDescent="0.15">
      <c r="A995" s="1">
        <v>40904</v>
      </c>
      <c r="B995" t="s">
        <v>205</v>
      </c>
      <c r="C995" t="s">
        <v>677</v>
      </c>
      <c r="D995" t="s">
        <v>495</v>
      </c>
      <c r="E995" s="4" t="str">
        <f>HYPERLINK("http://snap.windin.com/ns/bulletin.php?id=1719107&amp;type=1", "江南嘉捷:首次公开发行A股股票招股意向书附录二")</f>
        <v>江南嘉捷:首次公开发行A股股票招股意向书附录二</v>
      </c>
      <c r="F995" t="s">
        <v>1877</v>
      </c>
    </row>
    <row r="996" spans="1:6" x14ac:dyDescent="0.15">
      <c r="A996" s="1">
        <v>40904</v>
      </c>
      <c r="B996" t="s">
        <v>205</v>
      </c>
      <c r="C996" t="s">
        <v>677</v>
      </c>
      <c r="D996" t="s">
        <v>609</v>
      </c>
      <c r="E996" s="4" t="str">
        <f>HYPERLINK("http://snap.windin.com/ns/bulletin.php?id=1905355&amp;type=1", "江南嘉捷:首次公开发行A股股票招股意向书附录三")</f>
        <v>江南嘉捷:首次公开发行A股股票招股意向书附录三</v>
      </c>
      <c r="F996" t="s">
        <v>1878</v>
      </c>
    </row>
    <row r="997" spans="1:6" x14ac:dyDescent="0.15">
      <c r="A997" s="1">
        <v>40904</v>
      </c>
      <c r="B997" t="s">
        <v>205</v>
      </c>
      <c r="C997" t="s">
        <v>677</v>
      </c>
      <c r="D997" t="s">
        <v>610</v>
      </c>
      <c r="E997" s="4" t="str">
        <f>HYPERLINK("http://snap.windin.com/ns/bulletin.php?id=1791051&amp;type=1", "江南嘉捷:首次公开发行A股股票招股意向书附录四")</f>
        <v>江南嘉捷:首次公开发行A股股票招股意向书附录四</v>
      </c>
      <c r="F997" t="s">
        <v>1879</v>
      </c>
    </row>
    <row r="998" spans="1:6" x14ac:dyDescent="0.15">
      <c r="A998" s="1">
        <v>40904</v>
      </c>
      <c r="B998" t="s">
        <v>205</v>
      </c>
      <c r="C998" t="s">
        <v>677</v>
      </c>
      <c r="D998" t="s">
        <v>496</v>
      </c>
      <c r="E998" s="4" t="str">
        <f>HYPERLINK("http://snap.windin.com/ns/bulletin.php?id=1949128&amp;type=1", "江南嘉捷:首次公开发行A股股票招股意向书附录一")</f>
        <v>江南嘉捷:首次公开发行A股股票招股意向书附录一</v>
      </c>
      <c r="F998" t="s">
        <v>1880</v>
      </c>
    </row>
    <row r="999" spans="1:6" x14ac:dyDescent="0.15">
      <c r="A999" s="1">
        <v>40904</v>
      </c>
      <c r="B999" t="s">
        <v>205</v>
      </c>
      <c r="C999" t="s">
        <v>677</v>
      </c>
      <c r="D999" t="s">
        <v>465</v>
      </c>
      <c r="E999" s="4" t="str">
        <f>HYPERLINK("http://snap.windin.com/ns/bulletin.php?id=1580860&amp;type=1", "江南嘉捷:首次公开发行股票招股意向书")</f>
        <v>江南嘉捷:首次公开发行股票招股意向书</v>
      </c>
      <c r="F999" t="s">
        <v>1881</v>
      </c>
    </row>
    <row r="1000" spans="1:6" x14ac:dyDescent="0.15">
      <c r="A1000" s="1">
        <v>40904</v>
      </c>
      <c r="B1000" t="s">
        <v>205</v>
      </c>
      <c r="C1000" t="s">
        <v>677</v>
      </c>
      <c r="D1000" t="s">
        <v>466</v>
      </c>
      <c r="E1000" s="4" t="str">
        <f>HYPERLINK("http://snap.windin.com/ns/bulletin.php?id=1022479&amp;type=1", "江南嘉捷:首次公开发行股票招股意向书摘要")</f>
        <v>江南嘉捷:首次公开发行股票招股意向书摘要</v>
      </c>
      <c r="F1000" t="s">
        <v>1882</v>
      </c>
    </row>
    <row r="1001" spans="1:6" x14ac:dyDescent="0.15">
      <c r="A1001" s="1">
        <v>40904</v>
      </c>
      <c r="B1001" t="s">
        <v>208</v>
      </c>
      <c r="C1001" t="s">
        <v>680</v>
      </c>
      <c r="D1001" t="s">
        <v>455</v>
      </c>
      <c r="E1001" s="4" t="str">
        <f>HYPERLINK("http://snap.windin.com/ns/bulletin.php?id=110807&amp;type=1", "温州宏丰:首次公开发行股票并在创业板上市招股说明书")</f>
        <v>温州宏丰:首次公开发行股票并在创业板上市招股说明书</v>
      </c>
      <c r="F1001" t="s">
        <v>1883</v>
      </c>
    </row>
    <row r="1002" spans="1:6" x14ac:dyDescent="0.15">
      <c r="A1002" s="1">
        <v>40904</v>
      </c>
      <c r="B1002" t="s">
        <v>204</v>
      </c>
      <c r="C1002" t="s">
        <v>676</v>
      </c>
      <c r="D1002" t="s">
        <v>465</v>
      </c>
      <c r="E1002" s="4" t="str">
        <f>HYPERLINK("http://snap.windin.com/ns/bulletin.php?id=1579620&amp;type=1", "海思科:首次公开发行股票招股意向书")</f>
        <v>海思科:首次公开发行股票招股意向书</v>
      </c>
      <c r="F1002" t="s">
        <v>1884</v>
      </c>
    </row>
    <row r="1003" spans="1:6" x14ac:dyDescent="0.15">
      <c r="A1003" s="1">
        <v>40904</v>
      </c>
      <c r="B1003" t="s">
        <v>204</v>
      </c>
      <c r="C1003" t="s">
        <v>676</v>
      </c>
      <c r="D1003" t="s">
        <v>466</v>
      </c>
      <c r="E1003" s="4" t="str">
        <f>HYPERLINK("http://snap.windin.com/ns/bulletin.php?id=905620&amp;type=1", "海思科:首次公开发行股票招股意向书摘要")</f>
        <v>海思科:首次公开发行股票招股意向书摘要</v>
      </c>
      <c r="F1003" t="s">
        <v>1885</v>
      </c>
    </row>
    <row r="1004" spans="1:6" x14ac:dyDescent="0.15">
      <c r="A1004" s="1">
        <v>40904</v>
      </c>
      <c r="B1004" t="s">
        <v>217</v>
      </c>
      <c r="C1004" t="s">
        <v>689</v>
      </c>
      <c r="D1004" t="s">
        <v>389</v>
      </c>
      <c r="E1004" s="4" t="str">
        <f>HYPERLINK("http://snap.windin.com/ns/bulletin.php?id=1332226&amp;type=1", "卫星石化:首次公开发行股票上市公告书")</f>
        <v>卫星石化:首次公开发行股票上市公告书</v>
      </c>
      <c r="F1004" t="s">
        <v>1886</v>
      </c>
    </row>
    <row r="1005" spans="1:6" x14ac:dyDescent="0.15">
      <c r="A1005" s="1">
        <v>40904</v>
      </c>
      <c r="B1005" t="s">
        <v>218</v>
      </c>
      <c r="C1005" t="s">
        <v>690</v>
      </c>
      <c r="D1005" t="s">
        <v>691</v>
      </c>
      <c r="E1005" s="4" t="str">
        <f>HYPERLINK("http://snap.windin.com/ns/bulletin.php?id=966585&amp;type=1", "宏磊股份:首次公开发行股票并在中小板上市上市公告书")</f>
        <v>宏磊股份:首次公开发行股票并在中小板上市上市公告书</v>
      </c>
      <c r="F1005" t="s">
        <v>1887</v>
      </c>
    </row>
    <row r="1006" spans="1:6" x14ac:dyDescent="0.15">
      <c r="A1006" s="1">
        <v>40903</v>
      </c>
      <c r="B1006" t="s">
        <v>209</v>
      </c>
      <c r="C1006" t="s">
        <v>681</v>
      </c>
      <c r="D1006" t="s">
        <v>455</v>
      </c>
      <c r="E1006" s="4" t="str">
        <f>HYPERLINK("http://snap.windin.com/ns/bulletin.php?id=204280&amp;type=1", "苏交科:首次公开发行股票并在创业板上市招股说明书")</f>
        <v>苏交科:首次公开发行股票并在创业板上市招股说明书</v>
      </c>
      <c r="F1006" t="s">
        <v>1888</v>
      </c>
    </row>
    <row r="1007" spans="1:6" x14ac:dyDescent="0.15">
      <c r="A1007" s="1">
        <v>40900</v>
      </c>
      <c r="B1007" t="s">
        <v>206</v>
      </c>
      <c r="C1007" t="s">
        <v>678</v>
      </c>
      <c r="D1007" t="s">
        <v>471</v>
      </c>
      <c r="E1007" s="4" t="str">
        <f>HYPERLINK("http://snap.windin.com/ns/bulletin.php?id=2018764&amp;type=1", "安科瑞:首次公开发行股票并在创业板上市招股意向书")</f>
        <v>安科瑞:首次公开发行股票并在创业板上市招股意向书</v>
      </c>
      <c r="F1007" t="s">
        <v>1889</v>
      </c>
    </row>
    <row r="1008" spans="1:6" x14ac:dyDescent="0.15">
      <c r="A1008" s="1">
        <v>40900</v>
      </c>
      <c r="B1008" t="s">
        <v>207</v>
      </c>
      <c r="C1008" t="s">
        <v>679</v>
      </c>
      <c r="D1008" t="s">
        <v>471</v>
      </c>
      <c r="E1008" s="4" t="str">
        <f>HYPERLINK("http://snap.windin.com/ns/bulletin.php?id=83991&amp;type=1", "国瓷材料:首次公开发行股票并在创业板上市招股意向书")</f>
        <v>国瓷材料:首次公开发行股票并在创业板上市招股意向书</v>
      </c>
      <c r="F1008" t="s">
        <v>1890</v>
      </c>
    </row>
    <row r="1009" spans="1:6" x14ac:dyDescent="0.15">
      <c r="A1009" s="1">
        <v>40900</v>
      </c>
      <c r="B1009" t="s">
        <v>210</v>
      </c>
      <c r="C1009" t="s">
        <v>682</v>
      </c>
      <c r="D1009" t="s">
        <v>399</v>
      </c>
      <c r="E1009" s="4" t="str">
        <f>HYPERLINK("http://snap.windin.com/ns/bulletin.php?id=1716166&amp;type=1", "利君股份:首次公开发行股票招股说明书")</f>
        <v>利君股份:首次公开发行股票招股说明书</v>
      </c>
      <c r="F1009" t="s">
        <v>1891</v>
      </c>
    </row>
    <row r="1010" spans="1:6" x14ac:dyDescent="0.15">
      <c r="A1010" s="1">
        <v>40900</v>
      </c>
      <c r="B1010" t="s">
        <v>210</v>
      </c>
      <c r="C1010" t="s">
        <v>682</v>
      </c>
      <c r="D1010" t="s">
        <v>400</v>
      </c>
      <c r="E1010" s="4" t="str">
        <f>HYPERLINK("http://snap.windin.com/ns/bulletin.php?id=480332&amp;type=1", "利君股份:首次公开发行股票招股说明书摘要")</f>
        <v>利君股份:首次公开发行股票招股说明书摘要</v>
      </c>
      <c r="F1010" t="s">
        <v>1892</v>
      </c>
    </row>
    <row r="1011" spans="1:6" x14ac:dyDescent="0.15">
      <c r="A1011" s="1">
        <v>40900</v>
      </c>
      <c r="B1011" t="s">
        <v>211</v>
      </c>
      <c r="C1011" t="s">
        <v>683</v>
      </c>
      <c r="D1011" t="s">
        <v>399</v>
      </c>
      <c r="E1011" s="4" t="str">
        <f>HYPERLINK("http://snap.windin.com/ns/bulletin.php?id=1387274&amp;type=1", "加加食品:首次公开发行股票招股说明书")</f>
        <v>加加食品:首次公开发行股票招股说明书</v>
      </c>
      <c r="F1011" t="s">
        <v>1893</v>
      </c>
    </row>
    <row r="1012" spans="1:6" x14ac:dyDescent="0.15">
      <c r="A1012" s="1">
        <v>40900</v>
      </c>
      <c r="B1012" t="s">
        <v>211</v>
      </c>
      <c r="C1012" t="s">
        <v>683</v>
      </c>
      <c r="D1012" t="s">
        <v>400</v>
      </c>
      <c r="E1012" s="4" t="str">
        <f>HYPERLINK("http://snap.windin.com/ns/bulletin.php?id=1264431&amp;type=1", "加加食品:首次公开发行股票招股说明书摘要")</f>
        <v>加加食品:首次公开发行股票招股说明书摘要</v>
      </c>
      <c r="F1012" t="s">
        <v>1894</v>
      </c>
    </row>
    <row r="1013" spans="1:6" x14ac:dyDescent="0.15">
      <c r="A1013" s="1">
        <v>40900</v>
      </c>
      <c r="B1013" t="s">
        <v>212</v>
      </c>
      <c r="C1013" t="s">
        <v>684</v>
      </c>
      <c r="D1013" t="s">
        <v>399</v>
      </c>
      <c r="E1013" s="4" t="str">
        <f>HYPERLINK("http://snap.windin.com/ns/bulletin.php?id=1131998&amp;type=1", "博彦科技:首次公开发行股票招股说明书")</f>
        <v>博彦科技:首次公开发行股票招股说明书</v>
      </c>
      <c r="F1013" t="s">
        <v>1895</v>
      </c>
    </row>
    <row r="1014" spans="1:6" x14ac:dyDescent="0.15">
      <c r="A1014" s="1">
        <v>40900</v>
      </c>
      <c r="B1014" t="s">
        <v>212</v>
      </c>
      <c r="C1014" t="s">
        <v>684</v>
      </c>
      <c r="D1014" t="s">
        <v>400</v>
      </c>
      <c r="E1014" s="4" t="str">
        <f>HYPERLINK("http://snap.windin.com/ns/bulletin.php?id=1446704&amp;type=1", "博彦科技:首次公开发行股票招股说明书摘要")</f>
        <v>博彦科技:首次公开发行股票招股说明书摘要</v>
      </c>
      <c r="F1014" t="s">
        <v>1896</v>
      </c>
    </row>
    <row r="1015" spans="1:6" x14ac:dyDescent="0.15">
      <c r="A1015" s="1">
        <v>40898</v>
      </c>
      <c r="B1015" t="s">
        <v>219</v>
      </c>
      <c r="C1015" t="s">
        <v>692</v>
      </c>
      <c r="D1015" t="s">
        <v>389</v>
      </c>
      <c r="E1015" s="4" t="str">
        <f>HYPERLINK("http://snap.windin.com/ns/bulletin.php?id=1942780&amp;type=1", "青青稞酒:首次公开发行股票上市公告书")</f>
        <v>青青稞酒:首次公开发行股票上市公告书</v>
      </c>
      <c r="F1015" t="s">
        <v>1897</v>
      </c>
    </row>
    <row r="1016" spans="1:6" x14ac:dyDescent="0.15">
      <c r="A1016" s="1">
        <v>40898</v>
      </c>
      <c r="B1016" t="s">
        <v>220</v>
      </c>
      <c r="C1016" t="s">
        <v>693</v>
      </c>
      <c r="D1016" t="s">
        <v>389</v>
      </c>
      <c r="E1016" s="4" t="str">
        <f>HYPERLINK("http://snap.windin.com/ns/bulletin.php?id=1474369&amp;type=1", "佛慈制药:首次公开发行股票上市公告书")</f>
        <v>佛慈制药:首次公开发行股票上市公告书</v>
      </c>
      <c r="F1016" t="s">
        <v>1898</v>
      </c>
    </row>
    <row r="1017" spans="1:6" x14ac:dyDescent="0.15">
      <c r="A1017" s="1">
        <v>40897</v>
      </c>
      <c r="B1017" t="s">
        <v>209</v>
      </c>
      <c r="C1017" t="s">
        <v>681</v>
      </c>
      <c r="D1017" t="s">
        <v>471</v>
      </c>
      <c r="E1017" s="4" t="str">
        <f>HYPERLINK("http://snap.windin.com/ns/bulletin.php?id=93554&amp;type=1", "苏交科:首次公开发行股票并在创业板上市招股意向书")</f>
        <v>苏交科:首次公开发行股票并在创业板上市招股意向书</v>
      </c>
      <c r="F1017" t="s">
        <v>1899</v>
      </c>
    </row>
    <row r="1018" spans="1:6" x14ac:dyDescent="0.15">
      <c r="A1018" s="1">
        <v>40897</v>
      </c>
      <c r="B1018" t="s">
        <v>208</v>
      </c>
      <c r="C1018" t="s">
        <v>680</v>
      </c>
      <c r="D1018" t="s">
        <v>471</v>
      </c>
      <c r="E1018" s="4" t="str">
        <f>HYPERLINK("http://snap.windin.com/ns/bulletin.php?id=765580&amp;type=1", "温州宏丰:首次公开发行股票并在创业板上市招股意向书")</f>
        <v>温州宏丰:首次公开发行股票并在创业板上市招股意向书</v>
      </c>
      <c r="F1018" t="s">
        <v>1900</v>
      </c>
    </row>
    <row r="1019" spans="1:6" x14ac:dyDescent="0.15">
      <c r="A1019" s="1">
        <v>40897</v>
      </c>
      <c r="B1019" t="s">
        <v>208</v>
      </c>
      <c r="C1019" t="s">
        <v>680</v>
      </c>
      <c r="D1019" t="s">
        <v>694</v>
      </c>
      <c r="E1019" s="4" t="str">
        <f>HYPERLINK("http://snap.windin.com/ns/bulletin.php?id=601650&amp;type=1", "温州宏丰:首次公开发行股票并在创业板上市招股意向书（更新后）")</f>
        <v>温州宏丰:首次公开发行股票并在创业板上市招股意向书（更新后）</v>
      </c>
      <c r="F1019" t="s">
        <v>1901</v>
      </c>
    </row>
    <row r="1020" spans="1:6" x14ac:dyDescent="0.15">
      <c r="A1020" s="1">
        <v>40896</v>
      </c>
      <c r="B1020" t="s">
        <v>216</v>
      </c>
      <c r="C1020" t="s">
        <v>688</v>
      </c>
      <c r="D1020" t="s">
        <v>455</v>
      </c>
      <c r="E1020" s="4" t="str">
        <f>HYPERLINK("http://snap.windin.com/ns/bulletin.php?id=486658&amp;type=1", "和晶科技:首次公开发行股票并在创业板上市招股说明书")</f>
        <v>和晶科技:首次公开发行股票并在创业板上市招股说明书</v>
      </c>
      <c r="F1020" t="s">
        <v>1902</v>
      </c>
    </row>
    <row r="1021" spans="1:6" x14ac:dyDescent="0.15">
      <c r="A1021" s="1">
        <v>40896</v>
      </c>
      <c r="B1021" t="s">
        <v>222</v>
      </c>
      <c r="C1021" t="s">
        <v>696</v>
      </c>
      <c r="D1021" t="s">
        <v>389</v>
      </c>
      <c r="E1021" s="4" t="str">
        <f>HYPERLINK("http://snap.windin.com/ns/bulletin.php?id=1119169&amp;type=1", "华宏科技:首次公开发行股票上市公告书")</f>
        <v>华宏科技:首次公开发行股票上市公告书</v>
      </c>
      <c r="F1021" t="s">
        <v>1903</v>
      </c>
    </row>
    <row r="1022" spans="1:6" x14ac:dyDescent="0.15">
      <c r="A1022" s="1">
        <v>40896</v>
      </c>
      <c r="B1022" t="s">
        <v>223</v>
      </c>
      <c r="C1022" t="s">
        <v>697</v>
      </c>
      <c r="D1022" t="s">
        <v>389</v>
      </c>
      <c r="E1022" s="4" t="str">
        <f>HYPERLINK("http://snap.windin.com/ns/bulletin.php?id=836847&amp;type=1", "烟台万润:首次公开发行股票上市公告书")</f>
        <v>烟台万润:首次公开发行股票上市公告书</v>
      </c>
      <c r="F1022" t="s">
        <v>1904</v>
      </c>
    </row>
    <row r="1023" spans="1:6" x14ac:dyDescent="0.15">
      <c r="A1023" s="1">
        <v>40896</v>
      </c>
      <c r="B1023" t="s">
        <v>221</v>
      </c>
      <c r="C1023" t="s">
        <v>695</v>
      </c>
      <c r="D1023" t="s">
        <v>389</v>
      </c>
      <c r="E1023" s="4" t="str">
        <f>HYPERLINK("http://snap.windin.com/ns/bulletin.php?id=1369920&amp;type=1", "荣之联:首次公开发行股票上市公告书")</f>
        <v>荣之联:首次公开发行股票上市公告书</v>
      </c>
      <c r="F1023" t="s">
        <v>1905</v>
      </c>
    </row>
    <row r="1024" spans="1:6" x14ac:dyDescent="0.15">
      <c r="A1024" s="1">
        <v>40893</v>
      </c>
      <c r="B1024" t="s">
        <v>214</v>
      </c>
      <c r="C1024" t="s">
        <v>686</v>
      </c>
      <c r="D1024" t="s">
        <v>455</v>
      </c>
      <c r="E1024" s="4" t="str">
        <f>HYPERLINK("http://snap.windin.com/ns/bulletin.php?id=1987326&amp;type=1", "汇冠股份:首次公开发行股票并在创业板上市招股说明书")</f>
        <v>汇冠股份:首次公开发行股票并在创业板上市招股说明书</v>
      </c>
      <c r="F1024" t="s">
        <v>1906</v>
      </c>
    </row>
    <row r="1025" spans="1:6" x14ac:dyDescent="0.15">
      <c r="A1025" s="1">
        <v>40893</v>
      </c>
      <c r="B1025" t="s">
        <v>213</v>
      </c>
      <c r="C1025" t="s">
        <v>685</v>
      </c>
      <c r="D1025" t="s">
        <v>455</v>
      </c>
      <c r="E1025" s="4" t="str">
        <f>HYPERLINK("http://snap.windin.com/ns/bulletin.php?id=1113195&amp;type=1", "金明精机:首次公开发行股票并在创业板上市招股说明书")</f>
        <v>金明精机:首次公开发行股票并在创业板上市招股说明书</v>
      </c>
      <c r="F1025" t="s">
        <v>1907</v>
      </c>
    </row>
    <row r="1026" spans="1:6" x14ac:dyDescent="0.15">
      <c r="A1026" s="1">
        <v>40893</v>
      </c>
      <c r="B1026" t="s">
        <v>215</v>
      </c>
      <c r="C1026" t="s">
        <v>687</v>
      </c>
      <c r="D1026" t="s">
        <v>455</v>
      </c>
      <c r="E1026" s="4" t="str">
        <f>HYPERLINK("http://snap.windin.com/ns/bulletin.php?id=466962&amp;type=1", "南通锻压:首次公开发行股票并在创业板上市招股说明书")</f>
        <v>南通锻压:首次公开发行股票并在创业板上市招股说明书</v>
      </c>
      <c r="F1026" t="s">
        <v>1908</v>
      </c>
    </row>
    <row r="1027" spans="1:6" x14ac:dyDescent="0.15">
      <c r="A1027" s="1">
        <v>40893</v>
      </c>
      <c r="B1027" t="s">
        <v>210</v>
      </c>
      <c r="C1027" t="s">
        <v>682</v>
      </c>
      <c r="D1027" t="s">
        <v>465</v>
      </c>
      <c r="E1027" s="4" t="str">
        <f>HYPERLINK("http://snap.windin.com/ns/bulletin.php?id=18458320&amp;type=1", "利君股份:首次公开发行股票招股意向书")</f>
        <v>利君股份:首次公开发行股票招股意向书</v>
      </c>
      <c r="F1027" t="s">
        <v>1909</v>
      </c>
    </row>
    <row r="1028" spans="1:6" x14ac:dyDescent="0.15">
      <c r="A1028" s="1">
        <v>40893</v>
      </c>
      <c r="B1028" t="s">
        <v>210</v>
      </c>
      <c r="C1028" t="s">
        <v>682</v>
      </c>
      <c r="D1028" t="s">
        <v>465</v>
      </c>
      <c r="E1028" s="4" t="str">
        <f>HYPERLINK("http://snap.windin.com/ns/bulletin.php?id=1587575&amp;type=1", "利君股份:首次公开发行股票招股意向书")</f>
        <v>利君股份:首次公开发行股票招股意向书</v>
      </c>
      <c r="F1028" t="s">
        <v>1910</v>
      </c>
    </row>
    <row r="1029" spans="1:6" x14ac:dyDescent="0.15">
      <c r="A1029" s="1">
        <v>40893</v>
      </c>
      <c r="B1029" t="s">
        <v>210</v>
      </c>
      <c r="C1029" t="s">
        <v>682</v>
      </c>
      <c r="D1029" t="s">
        <v>466</v>
      </c>
      <c r="E1029" s="4" t="str">
        <f>HYPERLINK("http://snap.windin.com/ns/bulletin.php?id=97786&amp;type=1", "利君股份:首次公开发行股票招股意向书摘要")</f>
        <v>利君股份:首次公开发行股票招股意向书摘要</v>
      </c>
      <c r="F1029" t="s">
        <v>1911</v>
      </c>
    </row>
    <row r="1030" spans="1:6" x14ac:dyDescent="0.15">
      <c r="A1030" s="1">
        <v>40893</v>
      </c>
      <c r="B1030" t="s">
        <v>218</v>
      </c>
      <c r="C1030" t="s">
        <v>690</v>
      </c>
      <c r="D1030" t="s">
        <v>399</v>
      </c>
      <c r="E1030" s="4" t="str">
        <f>HYPERLINK("http://snap.windin.com/ns/bulletin.php?id=1235639&amp;type=1", "宏磊股份:首次公开发行股票招股说明书")</f>
        <v>宏磊股份:首次公开发行股票招股说明书</v>
      </c>
      <c r="F1030" t="s">
        <v>1912</v>
      </c>
    </row>
    <row r="1031" spans="1:6" x14ac:dyDescent="0.15">
      <c r="A1031" s="1">
        <v>40893</v>
      </c>
      <c r="B1031" t="s">
        <v>218</v>
      </c>
      <c r="C1031" t="s">
        <v>690</v>
      </c>
      <c r="D1031" t="s">
        <v>400</v>
      </c>
      <c r="E1031" s="4" t="str">
        <f>HYPERLINK("http://snap.windin.com/ns/bulletin.php?id=172334&amp;type=1", "宏磊股份:首次公开发行股票招股说明书摘要")</f>
        <v>宏磊股份:首次公开发行股票招股说明书摘要</v>
      </c>
      <c r="F1031" t="s">
        <v>1913</v>
      </c>
    </row>
    <row r="1032" spans="1:6" x14ac:dyDescent="0.15">
      <c r="A1032" s="1">
        <v>40892</v>
      </c>
      <c r="B1032" t="s">
        <v>224</v>
      </c>
      <c r="C1032" t="s">
        <v>698</v>
      </c>
      <c r="D1032" t="s">
        <v>402</v>
      </c>
      <c r="E1032" s="4" t="str">
        <f>HYPERLINK("http://snap.windin.com/ns/bulletin.php?id=1907360&amp;type=1", "新华保险:首次公开发行A股股票上市公告书")</f>
        <v>新华保险:首次公开发行A股股票上市公告书</v>
      </c>
      <c r="F1032" t="s">
        <v>1914</v>
      </c>
    </row>
    <row r="1033" spans="1:6" x14ac:dyDescent="0.15">
      <c r="A1033" s="1">
        <v>40892</v>
      </c>
      <c r="B1033" t="s">
        <v>224</v>
      </c>
      <c r="C1033" t="s">
        <v>698</v>
      </c>
      <c r="D1033" t="s">
        <v>462</v>
      </c>
      <c r="E1033" s="4" t="str">
        <f>HYPERLINK("http://snap.windin.com/ns/bulletin.php?id=439662&amp;type=1", "新华保险:首次公开发行A股股票招股说明书")</f>
        <v>新华保险:首次公开发行A股股票招股说明书</v>
      </c>
      <c r="F1033" t="s">
        <v>1915</v>
      </c>
    </row>
    <row r="1034" spans="1:6" x14ac:dyDescent="0.15">
      <c r="A1034" s="1">
        <v>40892</v>
      </c>
      <c r="B1034" t="s">
        <v>225</v>
      </c>
      <c r="C1034" t="s">
        <v>699</v>
      </c>
      <c r="D1034" t="s">
        <v>407</v>
      </c>
      <c r="E1034" s="4" t="str">
        <f>HYPERLINK("http://snap.windin.com/ns/bulletin.php?id=716758&amp;type=1", "华昌达:首次公开发行股票并在创业板上市公告书提示性公告")</f>
        <v>华昌达:首次公开发行股票并在创业板上市公告书提示性公告</v>
      </c>
      <c r="F1034" t="s">
        <v>1916</v>
      </c>
    </row>
    <row r="1035" spans="1:6" x14ac:dyDescent="0.15">
      <c r="A1035" s="1">
        <v>40892</v>
      </c>
      <c r="B1035" t="s">
        <v>225</v>
      </c>
      <c r="C1035" t="s">
        <v>699</v>
      </c>
      <c r="D1035" t="s">
        <v>408</v>
      </c>
      <c r="E1035" s="4" t="str">
        <f>HYPERLINK("http://snap.windin.com/ns/bulletin.php?id=785586&amp;type=1", "华昌达:首次公开发行股票并在创业板上市之上市公告书")</f>
        <v>华昌达:首次公开发行股票并在创业板上市之上市公告书</v>
      </c>
      <c r="F1035" t="s">
        <v>1917</v>
      </c>
    </row>
    <row r="1036" spans="1:6" x14ac:dyDescent="0.15">
      <c r="A1036" s="1">
        <v>40892</v>
      </c>
      <c r="B1036" t="s">
        <v>211</v>
      </c>
      <c r="C1036" t="s">
        <v>683</v>
      </c>
      <c r="D1036" t="s">
        <v>465</v>
      </c>
      <c r="E1036" s="4" t="str">
        <f>HYPERLINK("http://snap.windin.com/ns/bulletin.php?id=467037&amp;type=1", "加加食品:首次公开发行股票招股意向书")</f>
        <v>加加食品:首次公开发行股票招股意向书</v>
      </c>
      <c r="F1036" t="s">
        <v>1918</v>
      </c>
    </row>
    <row r="1037" spans="1:6" x14ac:dyDescent="0.15">
      <c r="A1037" s="1">
        <v>40892</v>
      </c>
      <c r="B1037" t="s">
        <v>211</v>
      </c>
      <c r="C1037" t="s">
        <v>683</v>
      </c>
      <c r="D1037" t="s">
        <v>466</v>
      </c>
      <c r="E1037" s="4" t="str">
        <f>HYPERLINK("http://snap.windin.com/ns/bulletin.php?id=1121298&amp;type=1", "加加食品:首次公开发行股票招股意向书摘要")</f>
        <v>加加食品:首次公开发行股票招股意向书摘要</v>
      </c>
      <c r="F1037" t="s">
        <v>1919</v>
      </c>
    </row>
    <row r="1038" spans="1:6" x14ac:dyDescent="0.15">
      <c r="A1038" s="1">
        <v>40892</v>
      </c>
      <c r="B1038" t="s">
        <v>212</v>
      </c>
      <c r="C1038" t="s">
        <v>684</v>
      </c>
      <c r="D1038" t="s">
        <v>465</v>
      </c>
      <c r="E1038" s="4" t="str">
        <f>HYPERLINK("http://snap.windin.com/ns/bulletin.php?id=649198&amp;type=1", "博彦科技:首次公开发行股票招股意向书")</f>
        <v>博彦科技:首次公开发行股票招股意向书</v>
      </c>
      <c r="F1038" t="s">
        <v>1920</v>
      </c>
    </row>
    <row r="1039" spans="1:6" x14ac:dyDescent="0.15">
      <c r="A1039" s="1">
        <v>40892</v>
      </c>
      <c r="B1039" t="s">
        <v>212</v>
      </c>
      <c r="C1039" t="s">
        <v>684</v>
      </c>
      <c r="D1039" t="s">
        <v>466</v>
      </c>
      <c r="E1039" s="4" t="str">
        <f>HYPERLINK("http://snap.windin.com/ns/bulletin.php?id=1753132&amp;type=1", "博彦科技:首次公开发行股票招股意向书摘要")</f>
        <v>博彦科技:首次公开发行股票招股意向书摘要</v>
      </c>
      <c r="F1039" t="s">
        <v>1921</v>
      </c>
    </row>
    <row r="1040" spans="1:6" x14ac:dyDescent="0.15">
      <c r="A1040" s="1">
        <v>40892</v>
      </c>
      <c r="B1040" t="s">
        <v>217</v>
      </c>
      <c r="C1040" t="s">
        <v>689</v>
      </c>
      <c r="D1040" t="s">
        <v>399</v>
      </c>
      <c r="E1040" s="4" t="str">
        <f>HYPERLINK("http://snap.windin.com/ns/bulletin.php?id=210321&amp;type=1", "卫星石化:首次公开发行股票招股说明书")</f>
        <v>卫星石化:首次公开发行股票招股说明书</v>
      </c>
      <c r="F1040" t="s">
        <v>1922</v>
      </c>
    </row>
    <row r="1041" spans="1:6" x14ac:dyDescent="0.15">
      <c r="A1041" s="1">
        <v>40892</v>
      </c>
      <c r="B1041" t="s">
        <v>217</v>
      </c>
      <c r="C1041" t="s">
        <v>689</v>
      </c>
      <c r="D1041" t="s">
        <v>400</v>
      </c>
      <c r="E1041" s="4" t="str">
        <f>HYPERLINK("http://snap.windin.com/ns/bulletin.php?id=404886&amp;type=1", "卫星石化:首次公开发行股票招股说明书摘要")</f>
        <v>卫星石化:首次公开发行股票招股说明书摘要</v>
      </c>
      <c r="F1041" t="s">
        <v>1923</v>
      </c>
    </row>
    <row r="1042" spans="1:6" x14ac:dyDescent="0.15">
      <c r="A1042" s="1">
        <v>40889</v>
      </c>
      <c r="B1042" t="s">
        <v>219</v>
      </c>
      <c r="C1042" t="s">
        <v>692</v>
      </c>
      <c r="D1042" t="s">
        <v>399</v>
      </c>
      <c r="E1042" s="4" t="str">
        <f>HYPERLINK("http://snap.windin.com/ns/bulletin.php?id=571469&amp;type=1", "青青稞酒:首次公开发行股票招股说明书")</f>
        <v>青青稞酒:首次公开发行股票招股说明书</v>
      </c>
      <c r="F1042" t="s">
        <v>1924</v>
      </c>
    </row>
    <row r="1043" spans="1:6" x14ac:dyDescent="0.15">
      <c r="A1043" s="1">
        <v>40889</v>
      </c>
      <c r="B1043" t="s">
        <v>219</v>
      </c>
      <c r="C1043" t="s">
        <v>692</v>
      </c>
      <c r="D1043" t="s">
        <v>400</v>
      </c>
      <c r="E1043" s="4" t="str">
        <f>HYPERLINK("http://snap.windin.com/ns/bulletin.php?id=490100&amp;type=1", "青青稞酒:首次公开发行股票招股说明书摘要")</f>
        <v>青青稞酒:首次公开发行股票招股说明书摘要</v>
      </c>
      <c r="F1043" t="s">
        <v>1925</v>
      </c>
    </row>
    <row r="1044" spans="1:6" x14ac:dyDescent="0.15">
      <c r="A1044" s="1">
        <v>40889</v>
      </c>
      <c r="B1044" t="s">
        <v>220</v>
      </c>
      <c r="C1044" t="s">
        <v>693</v>
      </c>
      <c r="D1044" t="s">
        <v>399</v>
      </c>
      <c r="E1044" s="4" t="str">
        <f>HYPERLINK("http://snap.windin.com/ns/bulletin.php?id=1919133&amp;type=1", "佛慈制药:首次公开发行股票招股说明书")</f>
        <v>佛慈制药:首次公开发行股票招股说明书</v>
      </c>
      <c r="F1044" t="s">
        <v>1926</v>
      </c>
    </row>
    <row r="1045" spans="1:6" x14ac:dyDescent="0.15">
      <c r="A1045" s="1">
        <v>40889</v>
      </c>
      <c r="B1045" t="s">
        <v>220</v>
      </c>
      <c r="C1045" t="s">
        <v>693</v>
      </c>
      <c r="D1045" t="s">
        <v>400</v>
      </c>
      <c r="E1045" s="4" t="str">
        <f>HYPERLINK("http://snap.windin.com/ns/bulletin.php?id=1871172&amp;type=1", "佛慈制药:首次公开发行股票招股说明书摘要")</f>
        <v>佛慈制药:首次公开发行股票招股说明书摘要</v>
      </c>
      <c r="F1045" t="s">
        <v>1927</v>
      </c>
    </row>
    <row r="1046" spans="1:6" x14ac:dyDescent="0.15">
      <c r="A1046" s="1">
        <v>40886</v>
      </c>
      <c r="B1046" t="s">
        <v>226</v>
      </c>
      <c r="C1046" t="s">
        <v>700</v>
      </c>
      <c r="D1046" t="s">
        <v>402</v>
      </c>
      <c r="E1046" s="4" t="str">
        <f>HYPERLINK("http://snap.windin.com/ns/bulletin.php?id=76296&amp;type=1", "东吴证券:首次公开发行A股股票上市公告书")</f>
        <v>东吴证券:首次公开发行A股股票上市公告书</v>
      </c>
      <c r="F1046" t="s">
        <v>1928</v>
      </c>
    </row>
    <row r="1047" spans="1:6" x14ac:dyDescent="0.15">
      <c r="A1047" s="1">
        <v>40886</v>
      </c>
      <c r="B1047" t="s">
        <v>226</v>
      </c>
      <c r="C1047" t="s">
        <v>700</v>
      </c>
      <c r="D1047" t="s">
        <v>462</v>
      </c>
      <c r="E1047" s="4" t="str">
        <f>HYPERLINK("http://snap.windin.com/ns/bulletin.php?id=130554&amp;type=1", "东吴证券:首次公开发行A股股票招股说明书")</f>
        <v>东吴证券:首次公开发行A股股票招股说明书</v>
      </c>
      <c r="F1047" t="s">
        <v>1929</v>
      </c>
    </row>
    <row r="1048" spans="1:6" x14ac:dyDescent="0.15">
      <c r="A1048" s="1">
        <v>40886</v>
      </c>
      <c r="B1048" t="s">
        <v>214</v>
      </c>
      <c r="C1048" t="s">
        <v>686</v>
      </c>
      <c r="D1048" t="s">
        <v>471</v>
      </c>
      <c r="E1048" s="4" t="str">
        <f>HYPERLINK("http://snap.windin.com/ns/bulletin.php?id=759004&amp;type=1", "汇冠股份:首次公开发行股票并在创业板上市招股意向书")</f>
        <v>汇冠股份:首次公开发行股票并在创业板上市招股意向书</v>
      </c>
      <c r="F1048" t="s">
        <v>1930</v>
      </c>
    </row>
    <row r="1049" spans="1:6" x14ac:dyDescent="0.15">
      <c r="A1049" s="1">
        <v>40886</v>
      </c>
      <c r="B1049" t="s">
        <v>213</v>
      </c>
      <c r="C1049" t="s">
        <v>685</v>
      </c>
      <c r="D1049" t="s">
        <v>471</v>
      </c>
      <c r="E1049" s="4" t="str">
        <f>HYPERLINK("http://snap.windin.com/ns/bulletin.php?id=228690&amp;type=1", "金明精机:首次公开发行股票并在创业板上市招股意向书")</f>
        <v>金明精机:首次公开发行股票并在创业板上市招股意向书</v>
      </c>
      <c r="F1049" t="s">
        <v>1931</v>
      </c>
    </row>
    <row r="1050" spans="1:6" x14ac:dyDescent="0.15">
      <c r="A1050" s="1">
        <v>40886</v>
      </c>
      <c r="B1050" t="s">
        <v>215</v>
      </c>
      <c r="C1050" t="s">
        <v>687</v>
      </c>
      <c r="D1050" t="s">
        <v>471</v>
      </c>
      <c r="E1050" s="4" t="str">
        <f>HYPERLINK("http://snap.windin.com/ns/bulletin.php?id=1139954&amp;type=1", "南通锻压:首次公开发行股票并在创业板上市招股意向书")</f>
        <v>南通锻压:首次公开发行股票并在创业板上市招股意向书</v>
      </c>
      <c r="F1050" t="s">
        <v>1932</v>
      </c>
    </row>
    <row r="1051" spans="1:6" x14ac:dyDescent="0.15">
      <c r="A1051" s="1">
        <v>40886</v>
      </c>
      <c r="B1051" t="s">
        <v>216</v>
      </c>
      <c r="C1051" t="s">
        <v>688</v>
      </c>
      <c r="D1051" t="s">
        <v>471</v>
      </c>
      <c r="E1051" s="4" t="str">
        <f>HYPERLINK("http://snap.windin.com/ns/bulletin.php?id=18494364&amp;type=1", "和晶科技:首次公开发行股票并在创业板上市招股意向书")</f>
        <v>和晶科技:首次公开发行股票并在创业板上市招股意向书</v>
      </c>
      <c r="F1051" t="s">
        <v>1933</v>
      </c>
    </row>
    <row r="1052" spans="1:6" x14ac:dyDescent="0.15">
      <c r="A1052" s="1">
        <v>40886</v>
      </c>
      <c r="B1052" t="s">
        <v>216</v>
      </c>
      <c r="C1052" t="s">
        <v>688</v>
      </c>
      <c r="D1052" t="s">
        <v>471</v>
      </c>
      <c r="E1052" s="4" t="str">
        <f>HYPERLINK("http://snap.windin.com/ns/bulletin.php?id=1651636&amp;type=1", "和晶科技:首次公开发行股票并在创业板上市招股意向书")</f>
        <v>和晶科技:首次公开发行股票并在创业板上市招股意向书</v>
      </c>
      <c r="F1052" t="s">
        <v>1934</v>
      </c>
    </row>
    <row r="1053" spans="1:6" x14ac:dyDescent="0.15">
      <c r="A1053" s="1">
        <v>40886</v>
      </c>
      <c r="B1053" t="s">
        <v>222</v>
      </c>
      <c r="C1053" t="s">
        <v>696</v>
      </c>
      <c r="D1053" t="s">
        <v>399</v>
      </c>
      <c r="E1053" s="4" t="str">
        <f>HYPERLINK("http://snap.windin.com/ns/bulletin.php?id=152786&amp;type=1", "华宏科技:首次公开发行股票招股说明书")</f>
        <v>华宏科技:首次公开发行股票招股说明书</v>
      </c>
      <c r="F1053" t="s">
        <v>1935</v>
      </c>
    </row>
    <row r="1054" spans="1:6" x14ac:dyDescent="0.15">
      <c r="A1054" s="1">
        <v>40886</v>
      </c>
      <c r="B1054" t="s">
        <v>222</v>
      </c>
      <c r="C1054" t="s">
        <v>696</v>
      </c>
      <c r="D1054" t="s">
        <v>400</v>
      </c>
      <c r="E1054" s="4" t="str">
        <f>HYPERLINK("http://snap.windin.com/ns/bulletin.php?id=1058020&amp;type=1", "华宏科技:首次公开发行股票招股说明书摘要")</f>
        <v>华宏科技:首次公开发行股票招股说明书摘要</v>
      </c>
      <c r="F1054" t="s">
        <v>1936</v>
      </c>
    </row>
    <row r="1055" spans="1:6" x14ac:dyDescent="0.15">
      <c r="A1055" s="1">
        <v>40886</v>
      </c>
      <c r="B1055" t="s">
        <v>223</v>
      </c>
      <c r="C1055" t="s">
        <v>697</v>
      </c>
      <c r="D1055" t="s">
        <v>399</v>
      </c>
      <c r="E1055" s="4" t="str">
        <f>HYPERLINK("http://snap.windin.com/ns/bulletin.php?id=150973&amp;type=1", "烟台万润:首次公开发行股票招股说明书")</f>
        <v>烟台万润:首次公开发行股票招股说明书</v>
      </c>
      <c r="F1055" t="s">
        <v>1937</v>
      </c>
    </row>
    <row r="1056" spans="1:6" x14ac:dyDescent="0.15">
      <c r="A1056" s="1">
        <v>40886</v>
      </c>
      <c r="B1056" t="s">
        <v>223</v>
      </c>
      <c r="C1056" t="s">
        <v>697</v>
      </c>
      <c r="D1056" t="s">
        <v>400</v>
      </c>
      <c r="E1056" s="4" t="str">
        <f>HYPERLINK("http://snap.windin.com/ns/bulletin.php?id=862184&amp;type=1", "烟台万润:首次公开发行股票招股说明书摘要")</f>
        <v>烟台万润:首次公开发行股票招股说明书摘要</v>
      </c>
      <c r="F1056" t="s">
        <v>1938</v>
      </c>
    </row>
    <row r="1057" spans="1:6" x14ac:dyDescent="0.15">
      <c r="A1057" s="1">
        <v>40885</v>
      </c>
      <c r="B1057" t="s">
        <v>217</v>
      </c>
      <c r="C1057" t="s">
        <v>689</v>
      </c>
      <c r="D1057" t="s">
        <v>465</v>
      </c>
      <c r="E1057" s="4" t="str">
        <f>HYPERLINK("http://snap.windin.com/ns/bulletin.php?id=1904214&amp;type=1", "卫星石化:首次公开发行股票招股意向书")</f>
        <v>卫星石化:首次公开发行股票招股意向书</v>
      </c>
      <c r="F1057" t="s">
        <v>1939</v>
      </c>
    </row>
    <row r="1058" spans="1:6" x14ac:dyDescent="0.15">
      <c r="A1058" s="1">
        <v>40885</v>
      </c>
      <c r="B1058" t="s">
        <v>217</v>
      </c>
      <c r="C1058" t="s">
        <v>689</v>
      </c>
      <c r="D1058" t="s">
        <v>506</v>
      </c>
      <c r="E1058" s="4" t="str">
        <f>HYPERLINK("http://snap.windin.com/ns/bulletin.php?id=1909989&amp;type=1", "卫星石化:首次公开发行股票招股意向书（更新后）")</f>
        <v>卫星石化:首次公开发行股票招股意向书（更新后）</v>
      </c>
      <c r="F1058" t="s">
        <v>1940</v>
      </c>
    </row>
    <row r="1059" spans="1:6" x14ac:dyDescent="0.15">
      <c r="A1059" s="1">
        <v>40885</v>
      </c>
      <c r="B1059" t="s">
        <v>217</v>
      </c>
      <c r="C1059" t="s">
        <v>689</v>
      </c>
      <c r="D1059" t="s">
        <v>466</v>
      </c>
      <c r="E1059" s="4" t="str">
        <f>HYPERLINK("http://snap.windin.com/ns/bulletin.php?id=1685005&amp;type=1", "卫星石化:首次公开发行股票招股意向书摘要")</f>
        <v>卫星石化:首次公开发行股票招股意向书摘要</v>
      </c>
      <c r="F1059" t="s">
        <v>1941</v>
      </c>
    </row>
    <row r="1060" spans="1:6" x14ac:dyDescent="0.15">
      <c r="A1060" s="1">
        <v>40885</v>
      </c>
      <c r="B1060" t="s">
        <v>218</v>
      </c>
      <c r="C1060" t="s">
        <v>690</v>
      </c>
      <c r="D1060" t="s">
        <v>465</v>
      </c>
      <c r="E1060" s="4" t="str">
        <f>HYPERLINK("http://snap.windin.com/ns/bulletin.php?id=639486&amp;type=1", "宏磊股份:首次公开发行股票招股意向书")</f>
        <v>宏磊股份:首次公开发行股票招股意向书</v>
      </c>
      <c r="F1060" t="s">
        <v>1942</v>
      </c>
    </row>
    <row r="1061" spans="1:6" x14ac:dyDescent="0.15">
      <c r="A1061" s="1">
        <v>40885</v>
      </c>
      <c r="B1061" t="s">
        <v>218</v>
      </c>
      <c r="C1061" t="s">
        <v>690</v>
      </c>
      <c r="D1061" t="s">
        <v>466</v>
      </c>
      <c r="E1061" s="4" t="str">
        <f>HYPERLINK("http://snap.windin.com/ns/bulletin.php?id=1963799&amp;type=1", "宏磊股份:首次公开发行股票招股意向书摘要")</f>
        <v>宏磊股份:首次公开发行股票招股意向书摘要</v>
      </c>
      <c r="F1061" t="s">
        <v>1943</v>
      </c>
    </row>
    <row r="1062" spans="1:6" x14ac:dyDescent="0.15">
      <c r="A1062" s="1">
        <v>40884</v>
      </c>
      <c r="B1062" t="s">
        <v>221</v>
      </c>
      <c r="C1062" t="s">
        <v>695</v>
      </c>
      <c r="D1062" t="s">
        <v>399</v>
      </c>
      <c r="E1062" s="4" t="str">
        <f>HYPERLINK("http://snap.windin.com/ns/bulletin.php?id=1094065&amp;type=1", "荣之联:首次公开发行股票招股说明书")</f>
        <v>荣之联:首次公开发行股票招股说明书</v>
      </c>
      <c r="F1062" t="s">
        <v>1944</v>
      </c>
    </row>
    <row r="1063" spans="1:6" x14ac:dyDescent="0.15">
      <c r="A1063" s="1">
        <v>40884</v>
      </c>
      <c r="B1063" t="s">
        <v>221</v>
      </c>
      <c r="C1063" t="s">
        <v>695</v>
      </c>
      <c r="D1063" t="s">
        <v>400</v>
      </c>
      <c r="E1063" s="4" t="str">
        <f>HYPERLINK("http://snap.windin.com/ns/bulletin.php?id=1743625&amp;type=1", "荣之联:首次公开发行股票招股说明书摘要")</f>
        <v>荣之联:首次公开发行股票招股说明书摘要</v>
      </c>
      <c r="F1063" t="s">
        <v>1945</v>
      </c>
    </row>
    <row r="1064" spans="1:6" x14ac:dyDescent="0.15">
      <c r="A1064" s="1">
        <v>40884</v>
      </c>
      <c r="B1064" t="s">
        <v>227</v>
      </c>
      <c r="C1064" t="s">
        <v>701</v>
      </c>
      <c r="D1064" t="s">
        <v>389</v>
      </c>
      <c r="E1064" s="4" t="str">
        <f>HYPERLINK("http://snap.windin.com/ns/bulletin.php?id=1820492&amp;type=1", "永高股份:首次公开发行股票上市公告书")</f>
        <v>永高股份:首次公开发行股票上市公告书</v>
      </c>
      <c r="F1064" t="s">
        <v>1946</v>
      </c>
    </row>
    <row r="1065" spans="1:6" x14ac:dyDescent="0.15">
      <c r="A1065" s="1">
        <v>40884</v>
      </c>
      <c r="B1065" t="s">
        <v>228</v>
      </c>
      <c r="C1065" t="s">
        <v>702</v>
      </c>
      <c r="D1065" t="s">
        <v>389</v>
      </c>
      <c r="E1065" s="4" t="str">
        <f>HYPERLINK("http://snap.windin.com/ns/bulletin.php?id=1423273&amp;type=1", "百圆裤业:首次公开发行股票上市公告书")</f>
        <v>百圆裤业:首次公开发行股票上市公告书</v>
      </c>
      <c r="F1065" t="s">
        <v>1947</v>
      </c>
    </row>
    <row r="1066" spans="1:6" x14ac:dyDescent="0.15">
      <c r="A1066" s="1">
        <v>40883</v>
      </c>
      <c r="B1066" t="s">
        <v>156</v>
      </c>
      <c r="C1066" t="s">
        <v>606</v>
      </c>
      <c r="D1066" t="s">
        <v>703</v>
      </c>
      <c r="E1066" s="4" t="str">
        <f>HYPERLINK("http://snap.windin.com/ns/bulletin.php?id=1769069&amp;type=1", "海通证券:H股招股说明书（英文）")</f>
        <v>海通证券:H股招股说明书（英文）</v>
      </c>
      <c r="F1066" t="s">
        <v>1948</v>
      </c>
    </row>
    <row r="1067" spans="1:6" x14ac:dyDescent="0.15">
      <c r="A1067" s="1">
        <v>40883</v>
      </c>
      <c r="B1067" t="s">
        <v>156</v>
      </c>
      <c r="C1067" t="s">
        <v>606</v>
      </c>
      <c r="D1067" t="s">
        <v>704</v>
      </c>
      <c r="E1067" s="4" t="str">
        <f>HYPERLINK("http://snap.windin.com/ns/bulletin.php?id=1160528&amp;type=1", "海通证券:H股招股说明书（中文）")</f>
        <v>海通证券:H股招股说明书（中文）</v>
      </c>
      <c r="F1067" t="s">
        <v>1949</v>
      </c>
    </row>
    <row r="1068" spans="1:6" x14ac:dyDescent="0.15">
      <c r="A1068" s="1">
        <v>40883</v>
      </c>
      <c r="B1068" t="s">
        <v>225</v>
      </c>
      <c r="C1068" t="s">
        <v>699</v>
      </c>
      <c r="D1068" t="s">
        <v>455</v>
      </c>
      <c r="E1068" s="4" t="str">
        <f>HYPERLINK("http://snap.windin.com/ns/bulletin.php?id=2026587&amp;type=1", "华昌达:首次公开发行股票并在创业板上市招股说明书")</f>
        <v>华昌达:首次公开发行股票并在创业板上市招股说明书</v>
      </c>
      <c r="F1068" t="s">
        <v>1950</v>
      </c>
    </row>
    <row r="1069" spans="1:6" x14ac:dyDescent="0.15">
      <c r="A1069" s="1">
        <v>40882</v>
      </c>
      <c r="B1069" t="s">
        <v>220</v>
      </c>
      <c r="C1069" t="s">
        <v>693</v>
      </c>
      <c r="D1069" t="s">
        <v>477</v>
      </c>
      <c r="E1069" s="4" t="str">
        <f>HYPERLINK("http://snap.windin.com/ns/bulletin.php?id=1186395&amp;type=1", "佛慈制药:首次公开发行股票并上市招股意向书摘要")</f>
        <v>佛慈制药:首次公开发行股票并上市招股意向书摘要</v>
      </c>
      <c r="F1069" t="s">
        <v>1951</v>
      </c>
    </row>
    <row r="1070" spans="1:6" x14ac:dyDescent="0.15">
      <c r="A1070" s="1">
        <v>40882</v>
      </c>
      <c r="B1070" t="s">
        <v>220</v>
      </c>
      <c r="C1070" t="s">
        <v>693</v>
      </c>
      <c r="D1070" t="s">
        <v>465</v>
      </c>
      <c r="E1070" s="4" t="str">
        <f>HYPERLINK("http://snap.windin.com/ns/bulletin.php?id=1538305&amp;type=1", "佛慈制药:首次公开发行股票招股意向书")</f>
        <v>佛慈制药:首次公开发行股票招股意向书</v>
      </c>
      <c r="F1070" t="s">
        <v>1952</v>
      </c>
    </row>
    <row r="1071" spans="1:6" x14ac:dyDescent="0.15">
      <c r="A1071" s="1">
        <v>40879</v>
      </c>
      <c r="B1071" t="s">
        <v>219</v>
      </c>
      <c r="C1071" t="s">
        <v>705</v>
      </c>
      <c r="D1071" t="s">
        <v>465</v>
      </c>
      <c r="E1071" s="4" t="str">
        <f>HYPERLINK("http://snap.windin.com/ns/bulletin.php?id=1043351&amp;type=1", "互助青稞:首次公开发行股票招股意向书")</f>
        <v>互助青稞:首次公开发行股票招股意向书</v>
      </c>
      <c r="F1071" t="s">
        <v>1953</v>
      </c>
    </row>
    <row r="1072" spans="1:6" x14ac:dyDescent="0.15">
      <c r="A1072" s="1">
        <v>40879</v>
      </c>
      <c r="B1072" t="s">
        <v>219</v>
      </c>
      <c r="C1072" t="s">
        <v>705</v>
      </c>
      <c r="D1072" t="s">
        <v>466</v>
      </c>
      <c r="E1072" s="4" t="str">
        <f>HYPERLINK("http://snap.windin.com/ns/bulletin.php?id=1796955&amp;type=1", "互助青稞:首次公开发行股票招股意向书摘要")</f>
        <v>互助青稞:首次公开发行股票招股意向书摘要</v>
      </c>
      <c r="F1072" t="s">
        <v>1954</v>
      </c>
    </row>
    <row r="1073" spans="1:6" x14ac:dyDescent="0.15">
      <c r="A1073" s="1">
        <v>40879</v>
      </c>
      <c r="B1073" t="s">
        <v>222</v>
      </c>
      <c r="C1073" t="s">
        <v>696</v>
      </c>
      <c r="D1073" t="s">
        <v>465</v>
      </c>
      <c r="E1073" s="4" t="str">
        <f>HYPERLINK("http://snap.windin.com/ns/bulletin.php?id=978478&amp;type=1", "华宏科技:首次公开发行股票招股意向书")</f>
        <v>华宏科技:首次公开发行股票招股意向书</v>
      </c>
      <c r="F1073" t="s">
        <v>1955</v>
      </c>
    </row>
    <row r="1074" spans="1:6" x14ac:dyDescent="0.15">
      <c r="A1074" s="1">
        <v>40879</v>
      </c>
      <c r="B1074" t="s">
        <v>222</v>
      </c>
      <c r="C1074" t="s">
        <v>696</v>
      </c>
      <c r="D1074" t="s">
        <v>466</v>
      </c>
      <c r="E1074" s="4" t="str">
        <f>HYPERLINK("http://snap.windin.com/ns/bulletin.php?id=1364721&amp;type=1", "华宏科技:首次公开发行股票招股意向书摘要")</f>
        <v>华宏科技:首次公开发行股票招股意向书摘要</v>
      </c>
      <c r="F1074" t="s">
        <v>1956</v>
      </c>
    </row>
    <row r="1075" spans="1:6" x14ac:dyDescent="0.15">
      <c r="A1075" s="1">
        <v>40879</v>
      </c>
      <c r="B1075" t="s">
        <v>230</v>
      </c>
      <c r="C1075" t="s">
        <v>707</v>
      </c>
      <c r="D1075" t="s">
        <v>415</v>
      </c>
      <c r="E1075" s="4" t="str">
        <f>HYPERLINK("http://snap.windin.com/ns/bulletin.php?id=775844&amp;type=1", "雪人股份:首次公开发行股票之上市公告书")</f>
        <v>雪人股份:首次公开发行股票之上市公告书</v>
      </c>
      <c r="F1075" t="s">
        <v>1957</v>
      </c>
    </row>
    <row r="1076" spans="1:6" x14ac:dyDescent="0.15">
      <c r="A1076" s="1">
        <v>40879</v>
      </c>
      <c r="B1076" t="s">
        <v>229</v>
      </c>
      <c r="C1076" t="s">
        <v>706</v>
      </c>
      <c r="D1076" t="s">
        <v>389</v>
      </c>
      <c r="E1076" s="4" t="str">
        <f>HYPERLINK("http://snap.windin.com/ns/bulletin.php?id=1761299&amp;type=1", "棒杰股份:首次公开发行股票上市公告书")</f>
        <v>棒杰股份:首次公开发行股票上市公告书</v>
      </c>
      <c r="F1076" t="s">
        <v>1958</v>
      </c>
    </row>
    <row r="1077" spans="1:6" x14ac:dyDescent="0.15">
      <c r="A1077" s="1">
        <v>40877</v>
      </c>
      <c r="B1077" t="s">
        <v>223</v>
      </c>
      <c r="C1077" t="s">
        <v>697</v>
      </c>
      <c r="D1077" t="s">
        <v>465</v>
      </c>
      <c r="E1077" s="4" t="str">
        <f>HYPERLINK("http://snap.windin.com/ns/bulletin.php?id=18462512&amp;type=1", "烟台万润:首次公开发行股票招股意向书")</f>
        <v>烟台万润:首次公开发行股票招股意向书</v>
      </c>
      <c r="F1077" t="s">
        <v>1959</v>
      </c>
    </row>
    <row r="1078" spans="1:6" x14ac:dyDescent="0.15">
      <c r="A1078" s="1">
        <v>40877</v>
      </c>
      <c r="B1078" t="s">
        <v>223</v>
      </c>
      <c r="C1078" t="s">
        <v>697</v>
      </c>
      <c r="D1078" t="s">
        <v>465</v>
      </c>
      <c r="E1078" s="4" t="str">
        <f>HYPERLINK("http://snap.windin.com/ns/bulletin.php?id=1492686&amp;type=1", "烟台万润:首次公开发行股票招股意向书")</f>
        <v>烟台万润:首次公开发行股票招股意向书</v>
      </c>
      <c r="F1078" t="s">
        <v>1960</v>
      </c>
    </row>
    <row r="1079" spans="1:6" x14ac:dyDescent="0.15">
      <c r="A1079" s="1">
        <v>40877</v>
      </c>
      <c r="B1079" t="s">
        <v>223</v>
      </c>
      <c r="C1079" t="s">
        <v>697</v>
      </c>
      <c r="D1079" t="s">
        <v>466</v>
      </c>
      <c r="E1079" s="4" t="str">
        <f>HYPERLINK("http://snap.windin.com/ns/bulletin.php?id=706509&amp;type=1", "烟台万润:首次公开发行股票招股意向书摘要")</f>
        <v>烟台万润:首次公开发行股票招股意向书摘要</v>
      </c>
      <c r="F1079" t="s">
        <v>1961</v>
      </c>
    </row>
    <row r="1080" spans="1:6" x14ac:dyDescent="0.15">
      <c r="A1080" s="1">
        <v>40877</v>
      </c>
      <c r="B1080" t="s">
        <v>221</v>
      </c>
      <c r="C1080" t="s">
        <v>695</v>
      </c>
      <c r="D1080" t="s">
        <v>465</v>
      </c>
      <c r="E1080" s="4" t="str">
        <f>HYPERLINK("http://snap.windin.com/ns/bulletin.php?id=18485678&amp;type=1", "荣之联:首次公开发行股票招股意向书")</f>
        <v>荣之联:首次公开发行股票招股意向书</v>
      </c>
      <c r="F1080" t="s">
        <v>1962</v>
      </c>
    </row>
    <row r="1081" spans="1:6" x14ac:dyDescent="0.15">
      <c r="A1081" s="1">
        <v>40877</v>
      </c>
      <c r="B1081" t="s">
        <v>221</v>
      </c>
      <c r="C1081" t="s">
        <v>695</v>
      </c>
      <c r="D1081" t="s">
        <v>465</v>
      </c>
      <c r="E1081" s="4" t="str">
        <f>HYPERLINK("http://snap.windin.com/ns/bulletin.php?id=1804777&amp;type=1", "荣之联:首次公开发行股票招股意向书")</f>
        <v>荣之联:首次公开发行股票招股意向书</v>
      </c>
      <c r="F1081" t="s">
        <v>1963</v>
      </c>
    </row>
    <row r="1082" spans="1:6" x14ac:dyDescent="0.15">
      <c r="A1082" s="1">
        <v>40877</v>
      </c>
      <c r="B1082" t="s">
        <v>221</v>
      </c>
      <c r="C1082" t="s">
        <v>695</v>
      </c>
      <c r="D1082" t="s">
        <v>466</v>
      </c>
      <c r="E1082" s="4" t="str">
        <f>HYPERLINK("http://snap.windin.com/ns/bulletin.php?id=100861&amp;type=1", "荣之联:首次公开发行股票招股意向书摘要")</f>
        <v>荣之联:首次公开发行股票招股意向书摘要</v>
      </c>
      <c r="F1082" t="s">
        <v>1964</v>
      </c>
    </row>
    <row r="1083" spans="1:6" x14ac:dyDescent="0.15">
      <c r="A1083" s="1">
        <v>40876</v>
      </c>
      <c r="B1083" t="s">
        <v>231</v>
      </c>
      <c r="C1083" t="s">
        <v>709</v>
      </c>
      <c r="D1083" t="s">
        <v>402</v>
      </c>
      <c r="E1083" s="4" t="str">
        <f>HYPERLINK("http://snap.windin.com/ns/bulletin.php?id=787086&amp;type=1", "凤凰传媒:首次公开发行A股股票上市公告书")</f>
        <v>凤凰传媒:首次公开发行A股股票上市公告书</v>
      </c>
      <c r="F1083" t="s">
        <v>1965</v>
      </c>
    </row>
    <row r="1084" spans="1:6" x14ac:dyDescent="0.15">
      <c r="A1084" s="1">
        <v>40876</v>
      </c>
      <c r="B1084" t="s">
        <v>231</v>
      </c>
      <c r="C1084" t="s">
        <v>709</v>
      </c>
      <c r="D1084" t="s">
        <v>462</v>
      </c>
      <c r="E1084" s="4" t="str">
        <f>HYPERLINK("http://snap.windin.com/ns/bulletin.php?id=1182520&amp;type=1", "凤凰传媒:首次公开发行A股股票招股说明书")</f>
        <v>凤凰传媒:首次公开发行A股股票招股说明书</v>
      </c>
      <c r="F1084" t="s">
        <v>1966</v>
      </c>
    </row>
    <row r="1085" spans="1:6" x14ac:dyDescent="0.15">
      <c r="A1085" s="1">
        <v>40876</v>
      </c>
      <c r="B1085" t="s">
        <v>225</v>
      </c>
      <c r="C1085" t="s">
        <v>699</v>
      </c>
      <c r="D1085" t="s">
        <v>471</v>
      </c>
      <c r="E1085" s="4" t="str">
        <f>HYPERLINK("http://snap.windin.com/ns/bulletin.php?id=1914860&amp;type=1", "华昌达:首次公开发行股票并在创业板上市招股意向书")</f>
        <v>华昌达:首次公开发行股票并在创业板上市招股意向书</v>
      </c>
      <c r="F1085" t="s">
        <v>1967</v>
      </c>
    </row>
    <row r="1086" spans="1:6" x14ac:dyDescent="0.15">
      <c r="A1086" s="1">
        <v>40876</v>
      </c>
      <c r="B1086" t="s">
        <v>227</v>
      </c>
      <c r="C1086" t="s">
        <v>701</v>
      </c>
      <c r="D1086" t="s">
        <v>661</v>
      </c>
      <c r="E1086" s="4" t="str">
        <f>HYPERLINK("http://snap.windin.com/ns/bulletin.php?id=127295&amp;type=1", "永高股份:首次公开发行股票（A股）招股说明书")</f>
        <v>永高股份:首次公开发行股票（A股）招股说明书</v>
      </c>
      <c r="F1086" t="s">
        <v>1968</v>
      </c>
    </row>
    <row r="1087" spans="1:6" x14ac:dyDescent="0.15">
      <c r="A1087" s="1">
        <v>40876</v>
      </c>
      <c r="B1087" t="s">
        <v>227</v>
      </c>
      <c r="C1087" t="s">
        <v>701</v>
      </c>
      <c r="D1087" t="s">
        <v>708</v>
      </c>
      <c r="E1087" s="4" t="str">
        <f>HYPERLINK("http://snap.windin.com/ns/bulletin.php?id=1726792&amp;type=1", "永高股份:首次公开发行股票（A股）招股说明书摘要")</f>
        <v>永高股份:首次公开发行股票（A股）招股说明书摘要</v>
      </c>
      <c r="F1087" t="s">
        <v>1969</v>
      </c>
    </row>
    <row r="1088" spans="1:6" x14ac:dyDescent="0.15">
      <c r="A1088" s="1">
        <v>40876</v>
      </c>
      <c r="B1088" t="s">
        <v>228</v>
      </c>
      <c r="C1088" t="s">
        <v>702</v>
      </c>
      <c r="D1088" t="s">
        <v>469</v>
      </c>
      <c r="E1088" s="4" t="str">
        <f>HYPERLINK("http://snap.windin.com/ns/bulletin.php?id=1849380&amp;type=1", "百圆裤业:首次公开发行股票并上市招股说明书")</f>
        <v>百圆裤业:首次公开发行股票并上市招股说明书</v>
      </c>
      <c r="F1088" t="s">
        <v>1970</v>
      </c>
    </row>
    <row r="1089" spans="1:6" x14ac:dyDescent="0.15">
      <c r="A1089" s="1">
        <v>40876</v>
      </c>
      <c r="B1089" t="s">
        <v>228</v>
      </c>
      <c r="C1089" t="s">
        <v>702</v>
      </c>
      <c r="D1089" t="s">
        <v>400</v>
      </c>
      <c r="E1089" s="4" t="str">
        <f>HYPERLINK("http://snap.windin.com/ns/bulletin.php?id=1660067&amp;type=1", "百圆裤业:首次公开发行股票招股说明书摘要")</f>
        <v>百圆裤业:首次公开发行股票招股说明书摘要</v>
      </c>
      <c r="F1089" t="s">
        <v>1971</v>
      </c>
    </row>
    <row r="1090" spans="1:6" x14ac:dyDescent="0.15">
      <c r="A1090" s="1">
        <v>40872</v>
      </c>
      <c r="B1090" t="s">
        <v>226</v>
      </c>
      <c r="C1090" t="s">
        <v>700</v>
      </c>
      <c r="D1090" t="s">
        <v>475</v>
      </c>
      <c r="E1090" s="4" t="str">
        <f>HYPERLINK("http://snap.windin.com/ns/bulletin.php?id=236580&amp;type=1", "东吴证券:首次公开发行A股股票招股意向书")</f>
        <v>东吴证券:首次公开发行A股股票招股意向书</v>
      </c>
      <c r="F1090" t="s">
        <v>1972</v>
      </c>
    </row>
    <row r="1091" spans="1:6" x14ac:dyDescent="0.15">
      <c r="A1091" s="1">
        <v>40872</v>
      </c>
      <c r="B1091" t="s">
        <v>226</v>
      </c>
      <c r="C1091" t="s">
        <v>700</v>
      </c>
      <c r="D1091" t="s">
        <v>495</v>
      </c>
      <c r="E1091" s="4" t="str">
        <f>HYPERLINK("http://snap.windin.com/ns/bulletin.php?id=1932938&amp;type=1", "东吴证券:首次公开发行A股股票招股意向书附录二")</f>
        <v>东吴证券:首次公开发行A股股票招股意向书附录二</v>
      </c>
      <c r="F1091" t="s">
        <v>1973</v>
      </c>
    </row>
    <row r="1092" spans="1:6" x14ac:dyDescent="0.15">
      <c r="A1092" s="1">
        <v>40872</v>
      </c>
      <c r="B1092" t="s">
        <v>226</v>
      </c>
      <c r="C1092" t="s">
        <v>700</v>
      </c>
      <c r="D1092" t="s">
        <v>609</v>
      </c>
      <c r="E1092" s="4" t="str">
        <f>HYPERLINK("http://snap.windin.com/ns/bulletin.php?id=1046299&amp;type=1", "东吴证券:首次公开发行A股股票招股意向书附录三")</f>
        <v>东吴证券:首次公开发行A股股票招股意向书附录三</v>
      </c>
      <c r="F1092" t="s">
        <v>1974</v>
      </c>
    </row>
    <row r="1093" spans="1:6" x14ac:dyDescent="0.15">
      <c r="A1093" s="1">
        <v>40872</v>
      </c>
      <c r="B1093" t="s">
        <v>226</v>
      </c>
      <c r="C1093" t="s">
        <v>700</v>
      </c>
      <c r="D1093" t="s">
        <v>496</v>
      </c>
      <c r="E1093" s="4" t="str">
        <f>HYPERLINK("http://snap.windin.com/ns/bulletin.php?id=1853362&amp;type=1", "东吴证券:首次公开发行A股股票招股意向书附录一")</f>
        <v>东吴证券:首次公开发行A股股票招股意向书附录一</v>
      </c>
      <c r="F1093" t="s">
        <v>1975</v>
      </c>
    </row>
    <row r="1094" spans="1:6" x14ac:dyDescent="0.15">
      <c r="A1094" s="1">
        <v>40872</v>
      </c>
      <c r="B1094" t="s">
        <v>226</v>
      </c>
      <c r="C1094" t="s">
        <v>700</v>
      </c>
      <c r="D1094" t="s">
        <v>476</v>
      </c>
      <c r="E1094" s="4" t="str">
        <f>HYPERLINK("http://snap.windin.com/ns/bulletin.php?id=182533&amp;type=1", "东吴证券:首次公开发行A股股票招股意向书摘要")</f>
        <v>东吴证券:首次公开发行A股股票招股意向书摘要</v>
      </c>
      <c r="F1094" t="s">
        <v>1976</v>
      </c>
    </row>
    <row r="1095" spans="1:6" x14ac:dyDescent="0.15">
      <c r="A1095" s="1">
        <v>40872</v>
      </c>
      <c r="B1095" t="s">
        <v>232</v>
      </c>
      <c r="C1095" t="s">
        <v>710</v>
      </c>
      <c r="D1095" t="s">
        <v>546</v>
      </c>
      <c r="E1095" s="4" t="str">
        <f>HYPERLINK("http://snap.windin.com/ns/bulletin.php?id=1402984&amp;type=1", "N赞宇:首次公开发行股票上市公告书（更新后）")</f>
        <v>N赞宇:首次公开发行股票上市公告书（更新后）</v>
      </c>
      <c r="F1095" t="s">
        <v>1977</v>
      </c>
    </row>
    <row r="1096" spans="1:6" x14ac:dyDescent="0.15">
      <c r="A1096" s="1">
        <v>40871</v>
      </c>
      <c r="B1096" t="s">
        <v>234</v>
      </c>
      <c r="C1096" t="s">
        <v>712</v>
      </c>
      <c r="D1096" t="s">
        <v>389</v>
      </c>
      <c r="E1096" s="4" t="str">
        <f>HYPERLINK("http://snap.windin.com/ns/bulletin.php?id=1307392&amp;type=1", "勤上光电:首次公开发行股票上市公告书")</f>
        <v>勤上光电:首次公开发行股票上市公告书</v>
      </c>
      <c r="F1096" t="s">
        <v>1978</v>
      </c>
    </row>
    <row r="1097" spans="1:6" x14ac:dyDescent="0.15">
      <c r="A1097" s="1">
        <v>40871</v>
      </c>
      <c r="B1097" t="s">
        <v>232</v>
      </c>
      <c r="C1097" t="s">
        <v>713</v>
      </c>
      <c r="D1097" t="s">
        <v>389</v>
      </c>
      <c r="E1097" s="4" t="str">
        <f>HYPERLINK("http://snap.windin.com/ns/bulletin.php?id=565040&amp;type=1", "赞宇科技:首次公开发行股票上市公告书")</f>
        <v>赞宇科技:首次公开发行股票上市公告书</v>
      </c>
      <c r="F1097" t="s">
        <v>1979</v>
      </c>
    </row>
    <row r="1098" spans="1:6" x14ac:dyDescent="0.15">
      <c r="A1098" s="1">
        <v>40871</v>
      </c>
      <c r="B1098" t="s">
        <v>235</v>
      </c>
      <c r="C1098" t="s">
        <v>714</v>
      </c>
      <c r="D1098" t="s">
        <v>389</v>
      </c>
      <c r="E1098" s="4" t="str">
        <f>HYPERLINK("http://snap.windin.com/ns/bulletin.php?id=88545&amp;type=1", "金安国纪:首次公开发行股票上市公告书")</f>
        <v>金安国纪:首次公开发行股票上市公告书</v>
      </c>
      <c r="F1098" t="s">
        <v>1980</v>
      </c>
    </row>
    <row r="1099" spans="1:6" x14ac:dyDescent="0.15">
      <c r="A1099" s="1">
        <v>40871</v>
      </c>
      <c r="B1099" t="s">
        <v>233</v>
      </c>
      <c r="C1099" t="s">
        <v>711</v>
      </c>
      <c r="D1099" t="s">
        <v>389</v>
      </c>
      <c r="E1099" s="4" t="str">
        <f>HYPERLINK("http://snap.windin.com/ns/bulletin.php?id=2070632&amp;type=1", "安洁科技:首次公开发行股票上市公告书")</f>
        <v>安洁科技:首次公开发行股票上市公告书</v>
      </c>
      <c r="F1099" t="s">
        <v>1981</v>
      </c>
    </row>
    <row r="1100" spans="1:6" x14ac:dyDescent="0.15">
      <c r="A1100" s="1">
        <v>40871</v>
      </c>
      <c r="B1100" t="s">
        <v>229</v>
      </c>
      <c r="C1100" t="s">
        <v>706</v>
      </c>
      <c r="D1100" t="s">
        <v>399</v>
      </c>
      <c r="E1100" s="4" t="str">
        <f>HYPERLINK("http://snap.windin.com/ns/bulletin.php?id=474141&amp;type=1", "棒杰股份:首次公开发行股票招股说明书")</f>
        <v>棒杰股份:首次公开发行股票招股说明书</v>
      </c>
      <c r="F1100" t="s">
        <v>1982</v>
      </c>
    </row>
    <row r="1101" spans="1:6" x14ac:dyDescent="0.15">
      <c r="A1101" s="1">
        <v>40871</v>
      </c>
      <c r="B1101" t="s">
        <v>229</v>
      </c>
      <c r="C1101" t="s">
        <v>706</v>
      </c>
      <c r="D1101" t="s">
        <v>400</v>
      </c>
      <c r="E1101" s="4" t="str">
        <f>HYPERLINK("http://snap.windin.com/ns/bulletin.php?id=494164&amp;type=1", "棒杰股份:首次公开发行股票招股说明书摘要")</f>
        <v>棒杰股份:首次公开发行股票招股说明书摘要</v>
      </c>
      <c r="F1101" t="s">
        <v>1983</v>
      </c>
    </row>
    <row r="1102" spans="1:6" x14ac:dyDescent="0.15">
      <c r="A1102" s="1">
        <v>40870</v>
      </c>
      <c r="B1102" t="s">
        <v>236</v>
      </c>
      <c r="C1102" t="s">
        <v>715</v>
      </c>
      <c r="D1102" t="s">
        <v>716</v>
      </c>
      <c r="E1102" s="4" t="str">
        <f>HYPERLINK("http://snap.windin.com/ns/bulletin.php?id=1371883&amp;type=1", "N海联讯:关于《深圳海联讯科技股份有限公司首次公开发行股票并在创业板上市公告书》补充公告")</f>
        <v>N海联讯:关于《深圳海联讯科技股份有限公司首次公开发行股票并在创业板上市公告书》补充公告</v>
      </c>
      <c r="F1102" t="s">
        <v>1984</v>
      </c>
    </row>
    <row r="1103" spans="1:6" x14ac:dyDescent="0.15">
      <c r="A1103" s="1">
        <v>40870</v>
      </c>
      <c r="B1103" t="s">
        <v>236</v>
      </c>
      <c r="C1103" t="s">
        <v>715</v>
      </c>
      <c r="D1103" t="s">
        <v>551</v>
      </c>
      <c r="E1103" s="4" t="str">
        <f>HYPERLINK("http://snap.windin.com/ns/bulletin.php?id=2095606&amp;type=1", "N海联讯:首次公开发行股票并在创业板上市公告书（更新后）")</f>
        <v>N海联讯:首次公开发行股票并在创业板上市公告书（更新后）</v>
      </c>
      <c r="F1103" t="s">
        <v>1985</v>
      </c>
    </row>
    <row r="1104" spans="1:6" x14ac:dyDescent="0.15">
      <c r="A1104" s="1">
        <v>40869</v>
      </c>
      <c r="B1104" t="s">
        <v>224</v>
      </c>
      <c r="C1104" t="s">
        <v>698</v>
      </c>
      <c r="D1104" t="s">
        <v>495</v>
      </c>
      <c r="E1104" s="4" t="str">
        <f>HYPERLINK("http://snap.windin.com/ns/bulletin.php?id=2063769&amp;type=1", "新华保险:首次公开发行A股股票招股意向书附录二")</f>
        <v>新华保险:首次公开发行A股股票招股意向书附录二</v>
      </c>
      <c r="F1104" t="s">
        <v>1986</v>
      </c>
    </row>
    <row r="1105" spans="1:6" x14ac:dyDescent="0.15">
      <c r="A1105" s="1">
        <v>40869</v>
      </c>
      <c r="B1105" t="s">
        <v>224</v>
      </c>
      <c r="C1105" t="s">
        <v>698</v>
      </c>
      <c r="D1105" t="s">
        <v>609</v>
      </c>
      <c r="E1105" s="4" t="str">
        <f>HYPERLINK("http://snap.windin.com/ns/bulletin.php?id=2011855&amp;type=1", "新华保险:首次公开发行A股股票招股意向书附录三")</f>
        <v>新华保险:首次公开发行A股股票招股意向书附录三</v>
      </c>
      <c r="F1105" t="s">
        <v>1987</v>
      </c>
    </row>
    <row r="1106" spans="1:6" x14ac:dyDescent="0.15">
      <c r="A1106" s="1">
        <v>40869</v>
      </c>
      <c r="B1106" t="s">
        <v>224</v>
      </c>
      <c r="C1106" t="s">
        <v>698</v>
      </c>
      <c r="D1106" t="s">
        <v>496</v>
      </c>
      <c r="E1106" s="4" t="str">
        <f>HYPERLINK("http://snap.windin.com/ns/bulletin.php?id=127243&amp;type=1", "新华保险:首次公开发行A股股票招股意向书附录一")</f>
        <v>新华保险:首次公开发行A股股票招股意向书附录一</v>
      </c>
      <c r="F1106" t="s">
        <v>1988</v>
      </c>
    </row>
    <row r="1107" spans="1:6" x14ac:dyDescent="0.15">
      <c r="A1107" s="1">
        <v>40869</v>
      </c>
      <c r="B1107" t="s">
        <v>224</v>
      </c>
      <c r="C1107" t="s">
        <v>698</v>
      </c>
      <c r="D1107" t="s">
        <v>673</v>
      </c>
      <c r="E1107" s="4" t="str">
        <f>HYPERLINK("http://snap.windin.com/ns/bulletin.php?id=605896&amp;type=1", "新华保险:首次公开发行股票（A股）招股意向书")</f>
        <v>新华保险:首次公开发行股票（A股）招股意向书</v>
      </c>
      <c r="F1107" t="s">
        <v>1989</v>
      </c>
    </row>
    <row r="1108" spans="1:6" x14ac:dyDescent="0.15">
      <c r="A1108" s="1">
        <v>40869</v>
      </c>
      <c r="B1108" t="s">
        <v>224</v>
      </c>
      <c r="C1108" t="s">
        <v>698</v>
      </c>
      <c r="D1108" t="s">
        <v>672</v>
      </c>
      <c r="E1108" s="4" t="str">
        <f>HYPERLINK("http://snap.windin.com/ns/bulletin.php?id=630566&amp;type=1", "新华保险:首次公开发行股票（A股）招股意向书摘要")</f>
        <v>新华保险:首次公开发行股票（A股）招股意向书摘要</v>
      </c>
      <c r="F1108" t="s">
        <v>1990</v>
      </c>
    </row>
    <row r="1109" spans="1:6" x14ac:dyDescent="0.15">
      <c r="A1109" s="1">
        <v>40869</v>
      </c>
      <c r="B1109" t="s">
        <v>236</v>
      </c>
      <c r="C1109" t="s">
        <v>717</v>
      </c>
      <c r="D1109" t="s">
        <v>417</v>
      </c>
      <c r="E1109" s="4" t="str">
        <f>HYPERLINK("http://snap.windin.com/ns/bulletin.php?id=622063&amp;type=1", "海联讯:首次公开发行股票并在创业板上市公告书")</f>
        <v>海联讯:首次公开发行股票并在创业板上市公告书</v>
      </c>
      <c r="F1109" t="s">
        <v>1991</v>
      </c>
    </row>
    <row r="1110" spans="1:6" x14ac:dyDescent="0.15">
      <c r="A1110" s="1">
        <v>40869</v>
      </c>
      <c r="B1110" t="s">
        <v>236</v>
      </c>
      <c r="C1110" t="s">
        <v>717</v>
      </c>
      <c r="D1110" t="s">
        <v>407</v>
      </c>
      <c r="E1110" s="4" t="str">
        <f>HYPERLINK("http://snap.windin.com/ns/bulletin.php?id=127899&amp;type=1", "海联讯:首次公开发行股票并在创业板上市公告书提示性公告")</f>
        <v>海联讯:首次公开发行股票并在创业板上市公告书提示性公告</v>
      </c>
      <c r="F1110" t="s">
        <v>1992</v>
      </c>
    </row>
    <row r="1111" spans="1:6" x14ac:dyDescent="0.15">
      <c r="A1111" s="1">
        <v>40868</v>
      </c>
      <c r="B1111" t="s">
        <v>237</v>
      </c>
      <c r="C1111" t="s">
        <v>718</v>
      </c>
      <c r="D1111" t="s">
        <v>389</v>
      </c>
      <c r="E1111" s="4" t="str">
        <f>HYPERLINK("http://snap.windin.com/ns/bulletin.php?id=1154228&amp;type=1", "申科股份:首次公开发行股票上市公告书")</f>
        <v>申科股份:首次公开发行股票上市公告书</v>
      </c>
      <c r="F1111" t="s">
        <v>1993</v>
      </c>
    </row>
    <row r="1112" spans="1:6" x14ac:dyDescent="0.15">
      <c r="A1112" s="1">
        <v>40868</v>
      </c>
      <c r="B1112" t="s">
        <v>238</v>
      </c>
      <c r="C1112" t="s">
        <v>719</v>
      </c>
      <c r="D1112" t="s">
        <v>389</v>
      </c>
      <c r="E1112" s="4" t="str">
        <f>HYPERLINK("http://snap.windin.com/ns/bulletin.php?id=786181&amp;type=1", "道明光学:首次公开发行股票上市公告书")</f>
        <v>道明光学:首次公开发行股票上市公告书</v>
      </c>
      <c r="F1112" t="s">
        <v>1994</v>
      </c>
    </row>
    <row r="1113" spans="1:6" x14ac:dyDescent="0.15">
      <c r="A1113" s="1">
        <v>40865</v>
      </c>
      <c r="B1113" t="s">
        <v>227</v>
      </c>
      <c r="C1113" t="s">
        <v>701</v>
      </c>
      <c r="D1113" t="s">
        <v>673</v>
      </c>
      <c r="E1113" s="4" t="str">
        <f>HYPERLINK("http://snap.windin.com/ns/bulletin.php?id=739142&amp;type=1", "永高股份:首次公开发行股票（A股）招股意向书")</f>
        <v>永高股份:首次公开发行股票（A股）招股意向书</v>
      </c>
      <c r="F1113" t="s">
        <v>1995</v>
      </c>
    </row>
    <row r="1114" spans="1:6" x14ac:dyDescent="0.15">
      <c r="A1114" s="1">
        <v>40865</v>
      </c>
      <c r="B1114" t="s">
        <v>227</v>
      </c>
      <c r="C1114" t="s">
        <v>701</v>
      </c>
      <c r="D1114" t="s">
        <v>672</v>
      </c>
      <c r="E1114" s="4" t="str">
        <f>HYPERLINK("http://snap.windin.com/ns/bulletin.php?id=129376&amp;type=1", "永高股份:首次公开发行股票（A股）招股意向书摘要")</f>
        <v>永高股份:首次公开发行股票（A股）招股意向书摘要</v>
      </c>
      <c r="F1114" t="s">
        <v>1996</v>
      </c>
    </row>
    <row r="1115" spans="1:6" x14ac:dyDescent="0.15">
      <c r="A1115" s="1">
        <v>40864</v>
      </c>
      <c r="B1115" t="s">
        <v>228</v>
      </c>
      <c r="C1115" t="s">
        <v>702</v>
      </c>
      <c r="D1115" t="s">
        <v>478</v>
      </c>
      <c r="E1115" s="4" t="str">
        <f>HYPERLINK("http://snap.windin.com/ns/bulletin.php?id=1311208&amp;type=1", "百圆裤业:首次公开发行股票并上市招股意向书")</f>
        <v>百圆裤业:首次公开发行股票并上市招股意向书</v>
      </c>
      <c r="F1115" t="s">
        <v>1997</v>
      </c>
    </row>
    <row r="1116" spans="1:6" x14ac:dyDescent="0.15">
      <c r="A1116" s="1">
        <v>40864</v>
      </c>
      <c r="B1116" t="s">
        <v>228</v>
      </c>
      <c r="C1116" t="s">
        <v>702</v>
      </c>
      <c r="D1116" t="s">
        <v>466</v>
      </c>
      <c r="E1116" s="4" t="str">
        <f>HYPERLINK("http://snap.windin.com/ns/bulletin.php?id=920133&amp;type=1", "百圆裤业:首次公开发行股票招股意向书摘要")</f>
        <v>百圆裤业:首次公开发行股票招股意向书摘要</v>
      </c>
      <c r="F1116" t="s">
        <v>1998</v>
      </c>
    </row>
    <row r="1117" spans="1:6" x14ac:dyDescent="0.15">
      <c r="A1117" s="1">
        <v>40864</v>
      </c>
      <c r="B1117" t="s">
        <v>230</v>
      </c>
      <c r="C1117" t="s">
        <v>707</v>
      </c>
      <c r="D1117" t="s">
        <v>399</v>
      </c>
      <c r="E1117" s="4" t="str">
        <f>HYPERLINK("http://snap.windin.com/ns/bulletin.php?id=1754400&amp;type=1", "雪人股份:首次公开发行股票招股说明书")</f>
        <v>雪人股份:首次公开发行股票招股说明书</v>
      </c>
      <c r="F1117" t="s">
        <v>1999</v>
      </c>
    </row>
    <row r="1118" spans="1:6" x14ac:dyDescent="0.15">
      <c r="A1118" s="1">
        <v>40864</v>
      </c>
      <c r="B1118" t="s">
        <v>230</v>
      </c>
      <c r="C1118" t="s">
        <v>707</v>
      </c>
      <c r="D1118" t="s">
        <v>400</v>
      </c>
      <c r="E1118" s="4" t="str">
        <f>HYPERLINK("http://snap.windin.com/ns/bulletin.php?id=946483&amp;type=1", "雪人股份:首次公开发行股票招股说明书摘要")</f>
        <v>雪人股份:首次公开发行股票招股说明书摘要</v>
      </c>
      <c r="F1118" t="s">
        <v>2000</v>
      </c>
    </row>
    <row r="1119" spans="1:6" x14ac:dyDescent="0.15">
      <c r="A1119" s="1">
        <v>40864</v>
      </c>
      <c r="B1119" t="s">
        <v>229</v>
      </c>
      <c r="C1119" t="s">
        <v>706</v>
      </c>
      <c r="D1119" t="s">
        <v>465</v>
      </c>
      <c r="E1119" s="4" t="str">
        <f>HYPERLINK("http://snap.windin.com/ns/bulletin.php?id=18451546&amp;type=1", "棒杰股份:首次公开发行股票招股意向书")</f>
        <v>棒杰股份:首次公开发行股票招股意向书</v>
      </c>
      <c r="F1119" t="s">
        <v>2001</v>
      </c>
    </row>
    <row r="1120" spans="1:6" x14ac:dyDescent="0.15">
      <c r="A1120" s="1">
        <v>40864</v>
      </c>
      <c r="B1120" t="s">
        <v>229</v>
      </c>
      <c r="C1120" t="s">
        <v>706</v>
      </c>
      <c r="D1120" t="s">
        <v>465</v>
      </c>
      <c r="E1120" s="4" t="str">
        <f>HYPERLINK("http://snap.windin.com/ns/bulletin.php?id=145724&amp;type=1", "棒杰股份:首次公开发行股票招股意向书")</f>
        <v>棒杰股份:首次公开发行股票招股意向书</v>
      </c>
      <c r="F1120" t="s">
        <v>2002</v>
      </c>
    </row>
    <row r="1121" spans="1:6" x14ac:dyDescent="0.15">
      <c r="A1121" s="1">
        <v>40864</v>
      </c>
      <c r="B1121" t="s">
        <v>229</v>
      </c>
      <c r="C1121" t="s">
        <v>706</v>
      </c>
      <c r="D1121" t="s">
        <v>466</v>
      </c>
      <c r="E1121" s="4" t="str">
        <f>HYPERLINK("http://snap.windin.com/ns/bulletin.php?id=1289601&amp;type=1", "棒杰股份:首次公开发行股票招股意向书摘要")</f>
        <v>棒杰股份:首次公开发行股票招股意向书摘要</v>
      </c>
      <c r="F1121" t="s">
        <v>2003</v>
      </c>
    </row>
    <row r="1122" spans="1:6" x14ac:dyDescent="0.15">
      <c r="A1122" s="1">
        <v>40862</v>
      </c>
      <c r="B1122" t="s">
        <v>234</v>
      </c>
      <c r="C1122" t="s">
        <v>712</v>
      </c>
      <c r="D1122" t="s">
        <v>399</v>
      </c>
      <c r="E1122" s="4" t="str">
        <f>HYPERLINK("http://snap.windin.com/ns/bulletin.php?id=1659543&amp;type=1", "勤上光电:首次公开发行股票招股说明书")</f>
        <v>勤上光电:首次公开发行股票招股说明书</v>
      </c>
      <c r="F1122" t="s">
        <v>2004</v>
      </c>
    </row>
    <row r="1123" spans="1:6" x14ac:dyDescent="0.15">
      <c r="A1123" s="1">
        <v>40862</v>
      </c>
      <c r="B1123" t="s">
        <v>234</v>
      </c>
      <c r="C1123" t="s">
        <v>712</v>
      </c>
      <c r="D1123" t="s">
        <v>400</v>
      </c>
      <c r="E1123" s="4" t="str">
        <f>HYPERLINK("http://snap.windin.com/ns/bulletin.php?id=1377231&amp;type=1", "勤上光电:首次公开发行股票招股说明书摘要")</f>
        <v>勤上光电:首次公开发行股票招股说明书摘要</v>
      </c>
      <c r="F1123" t="s">
        <v>2005</v>
      </c>
    </row>
    <row r="1124" spans="1:6" x14ac:dyDescent="0.15">
      <c r="A1124" s="1">
        <v>40862</v>
      </c>
      <c r="B1124" t="s">
        <v>232</v>
      </c>
      <c r="C1124" t="s">
        <v>713</v>
      </c>
      <c r="D1124" t="s">
        <v>399</v>
      </c>
      <c r="E1124" s="4" t="str">
        <f>HYPERLINK("http://snap.windin.com/ns/bulletin.php?id=1696997&amp;type=1", "赞宇科技:首次公开发行股票招股说明书")</f>
        <v>赞宇科技:首次公开发行股票招股说明书</v>
      </c>
      <c r="F1124" t="s">
        <v>2006</v>
      </c>
    </row>
    <row r="1125" spans="1:6" x14ac:dyDescent="0.15">
      <c r="A1125" s="1">
        <v>40862</v>
      </c>
      <c r="B1125" t="s">
        <v>232</v>
      </c>
      <c r="C1125" t="s">
        <v>713</v>
      </c>
      <c r="D1125" t="s">
        <v>400</v>
      </c>
      <c r="E1125" s="4" t="str">
        <f>HYPERLINK("http://snap.windin.com/ns/bulletin.php?id=1664340&amp;type=1", "赞宇科技:首次公开发行股票招股说明书摘要")</f>
        <v>赞宇科技:首次公开发行股票招股说明书摘要</v>
      </c>
      <c r="F1125" t="s">
        <v>2007</v>
      </c>
    </row>
    <row r="1126" spans="1:6" x14ac:dyDescent="0.15">
      <c r="A1126" s="1">
        <v>40862</v>
      </c>
      <c r="B1126" t="s">
        <v>235</v>
      </c>
      <c r="C1126" t="s">
        <v>714</v>
      </c>
      <c r="D1126" t="s">
        <v>399</v>
      </c>
      <c r="E1126" s="4" t="str">
        <f>HYPERLINK("http://snap.windin.com/ns/bulletin.php?id=203938&amp;type=1", "金安国纪:首次公开发行股票招股说明书")</f>
        <v>金安国纪:首次公开发行股票招股说明书</v>
      </c>
      <c r="F1126" t="s">
        <v>2008</v>
      </c>
    </row>
    <row r="1127" spans="1:6" x14ac:dyDescent="0.15">
      <c r="A1127" s="1">
        <v>40862</v>
      </c>
      <c r="B1127" t="s">
        <v>235</v>
      </c>
      <c r="C1127" t="s">
        <v>714</v>
      </c>
      <c r="D1127" t="s">
        <v>400</v>
      </c>
      <c r="E1127" s="4" t="str">
        <f>HYPERLINK("http://snap.windin.com/ns/bulletin.php?id=480902&amp;type=1", "金安国纪:首次公开发行股票招股说明书摘要")</f>
        <v>金安国纪:首次公开发行股票招股说明书摘要</v>
      </c>
      <c r="F1127" t="s">
        <v>2009</v>
      </c>
    </row>
    <row r="1128" spans="1:6" x14ac:dyDescent="0.15">
      <c r="A1128" s="1">
        <v>40862</v>
      </c>
      <c r="B1128" t="s">
        <v>233</v>
      </c>
      <c r="C1128" t="s">
        <v>711</v>
      </c>
      <c r="D1128" t="s">
        <v>399</v>
      </c>
      <c r="E1128" s="4" t="str">
        <f>HYPERLINK("http://snap.windin.com/ns/bulletin.php?id=2040801&amp;type=1", "安洁科技:首次公开发行股票招股说明书")</f>
        <v>安洁科技:首次公开发行股票招股说明书</v>
      </c>
      <c r="F1128" t="s">
        <v>2010</v>
      </c>
    </row>
    <row r="1129" spans="1:6" x14ac:dyDescent="0.15">
      <c r="A1129" s="1">
        <v>40862</v>
      </c>
      <c r="B1129" t="s">
        <v>233</v>
      </c>
      <c r="C1129" t="s">
        <v>711</v>
      </c>
      <c r="D1129" t="s">
        <v>400</v>
      </c>
      <c r="E1129" s="4" t="str">
        <f>HYPERLINK("http://snap.windin.com/ns/bulletin.php?id=1755566&amp;type=1", "安洁科技:首次公开发行股票招股说明书摘要")</f>
        <v>安洁科技:首次公开发行股票招股说明书摘要</v>
      </c>
      <c r="F1129" t="s">
        <v>2011</v>
      </c>
    </row>
    <row r="1130" spans="1:6" x14ac:dyDescent="0.15">
      <c r="A1130" s="1">
        <v>40861</v>
      </c>
      <c r="B1130" t="s">
        <v>239</v>
      </c>
      <c r="C1130" t="s">
        <v>720</v>
      </c>
      <c r="D1130" t="s">
        <v>407</v>
      </c>
      <c r="E1130" s="4" t="str">
        <f>HYPERLINK("http://snap.windin.com/ns/bulletin.php?id=970232&amp;type=1", "三丰智能:首次公开发行股票并在创业板上市公告书提示性公告")</f>
        <v>三丰智能:首次公开发行股票并在创业板上市公告书提示性公告</v>
      </c>
      <c r="F1130" t="s">
        <v>2012</v>
      </c>
    </row>
    <row r="1131" spans="1:6" x14ac:dyDescent="0.15">
      <c r="A1131" s="1">
        <v>40861</v>
      </c>
      <c r="B1131" t="s">
        <v>239</v>
      </c>
      <c r="C1131" t="s">
        <v>720</v>
      </c>
      <c r="D1131" t="s">
        <v>408</v>
      </c>
      <c r="E1131" s="4" t="str">
        <f>HYPERLINK("http://snap.windin.com/ns/bulletin.php?id=1982406&amp;type=1", "三丰智能:首次公开发行股票并在创业板上市之上市公告书")</f>
        <v>三丰智能:首次公开发行股票并在创业板上市之上市公告书</v>
      </c>
      <c r="F1131" t="s">
        <v>2013</v>
      </c>
    </row>
    <row r="1132" spans="1:6" x14ac:dyDescent="0.15">
      <c r="A1132" s="1">
        <v>40858</v>
      </c>
      <c r="B1132" t="s">
        <v>231</v>
      </c>
      <c r="C1132" t="s">
        <v>709</v>
      </c>
      <c r="D1132" t="s">
        <v>475</v>
      </c>
      <c r="E1132" s="4" t="str">
        <f>HYPERLINK("http://snap.windin.com/ns/bulletin.php?id=1641200&amp;type=1", "凤凰传媒:首次公开发行A股股票招股意向书")</f>
        <v>凤凰传媒:首次公开发行A股股票招股意向书</v>
      </c>
      <c r="F1132" t="s">
        <v>2014</v>
      </c>
    </row>
    <row r="1133" spans="1:6" x14ac:dyDescent="0.15">
      <c r="A1133" s="1">
        <v>40858</v>
      </c>
      <c r="B1133" t="s">
        <v>231</v>
      </c>
      <c r="C1133" t="s">
        <v>709</v>
      </c>
      <c r="D1133" t="s">
        <v>495</v>
      </c>
      <c r="E1133" s="4" t="str">
        <f>HYPERLINK("http://snap.windin.com/ns/bulletin.php?id=1953525&amp;type=1", "凤凰传媒:首次公开发行A股股票招股意向书附录二")</f>
        <v>凤凰传媒:首次公开发行A股股票招股意向书附录二</v>
      </c>
      <c r="F1133" t="s">
        <v>2015</v>
      </c>
    </row>
    <row r="1134" spans="1:6" x14ac:dyDescent="0.15">
      <c r="A1134" s="1">
        <v>40858</v>
      </c>
      <c r="B1134" t="s">
        <v>231</v>
      </c>
      <c r="C1134" t="s">
        <v>709</v>
      </c>
      <c r="D1134" t="s">
        <v>609</v>
      </c>
      <c r="E1134" s="4" t="str">
        <f>HYPERLINK("http://snap.windin.com/ns/bulletin.php?id=1345555&amp;type=1", "凤凰传媒:首次公开发行A股股票招股意向书附录三")</f>
        <v>凤凰传媒:首次公开发行A股股票招股意向书附录三</v>
      </c>
      <c r="F1134" t="s">
        <v>2016</v>
      </c>
    </row>
    <row r="1135" spans="1:6" x14ac:dyDescent="0.15">
      <c r="A1135" s="1">
        <v>40858</v>
      </c>
      <c r="B1135" t="s">
        <v>231</v>
      </c>
      <c r="C1135" t="s">
        <v>709</v>
      </c>
      <c r="D1135" t="s">
        <v>496</v>
      </c>
      <c r="E1135" s="4" t="str">
        <f>HYPERLINK("http://snap.windin.com/ns/bulletin.php?id=1076590&amp;type=1", "凤凰传媒:首次公开发行A股股票招股意向书附录一")</f>
        <v>凤凰传媒:首次公开发行A股股票招股意向书附录一</v>
      </c>
      <c r="F1135" t="s">
        <v>2017</v>
      </c>
    </row>
    <row r="1136" spans="1:6" x14ac:dyDescent="0.15">
      <c r="A1136" s="1">
        <v>40858</v>
      </c>
      <c r="B1136" t="s">
        <v>231</v>
      </c>
      <c r="C1136" t="s">
        <v>709</v>
      </c>
      <c r="D1136" t="s">
        <v>476</v>
      </c>
      <c r="E1136" s="4" t="str">
        <f>HYPERLINK("http://snap.windin.com/ns/bulletin.php?id=1594359&amp;type=1", "凤凰传媒:首次公开发行A股股票招股意向书摘要")</f>
        <v>凤凰传媒:首次公开发行A股股票招股意向书摘要</v>
      </c>
      <c r="F1136" t="s">
        <v>2018</v>
      </c>
    </row>
    <row r="1137" spans="1:6" x14ac:dyDescent="0.15">
      <c r="A1137" s="1">
        <v>40858</v>
      </c>
      <c r="B1137" t="s">
        <v>236</v>
      </c>
      <c r="C1137" t="s">
        <v>717</v>
      </c>
      <c r="D1137" t="s">
        <v>455</v>
      </c>
      <c r="E1137" s="4" t="str">
        <f>HYPERLINK("http://snap.windin.com/ns/bulletin.php?id=2053043&amp;type=1", "海联讯:首次公开发行股票并在创业板上市招股说明书")</f>
        <v>海联讯:首次公开发行股票并在创业板上市招股说明书</v>
      </c>
      <c r="F1137" t="s">
        <v>2019</v>
      </c>
    </row>
    <row r="1138" spans="1:6" x14ac:dyDescent="0.15">
      <c r="A1138" s="1">
        <v>40857</v>
      </c>
      <c r="B1138" t="s">
        <v>237</v>
      </c>
      <c r="C1138" t="s">
        <v>718</v>
      </c>
      <c r="D1138" t="s">
        <v>399</v>
      </c>
      <c r="E1138" s="4" t="str">
        <f>HYPERLINK("http://snap.windin.com/ns/bulletin.php?id=182784&amp;type=1", "申科股份:首次公开发行股票招股说明书")</f>
        <v>申科股份:首次公开发行股票招股说明书</v>
      </c>
      <c r="F1138" t="s">
        <v>2020</v>
      </c>
    </row>
    <row r="1139" spans="1:6" x14ac:dyDescent="0.15">
      <c r="A1139" s="1">
        <v>40857</v>
      </c>
      <c r="B1139" t="s">
        <v>237</v>
      </c>
      <c r="C1139" t="s">
        <v>718</v>
      </c>
      <c r="D1139" t="s">
        <v>400</v>
      </c>
      <c r="E1139" s="4" t="str">
        <f>HYPERLINK("http://snap.windin.com/ns/bulletin.php?id=1799191&amp;type=1", "申科股份:首次公开发行股票招股说明书摘要")</f>
        <v>申科股份:首次公开发行股票招股说明书摘要</v>
      </c>
      <c r="F1139" t="s">
        <v>2021</v>
      </c>
    </row>
    <row r="1140" spans="1:6" x14ac:dyDescent="0.15">
      <c r="A1140" s="1">
        <v>40857</v>
      </c>
      <c r="B1140" t="s">
        <v>242</v>
      </c>
      <c r="C1140" t="s">
        <v>723</v>
      </c>
      <c r="D1140" t="s">
        <v>389</v>
      </c>
      <c r="E1140" s="4" t="str">
        <f>HYPERLINK("http://snap.windin.com/ns/bulletin.php?id=468349&amp;type=1", "德尔家居:首次公开发行股票上市公告书")</f>
        <v>德尔家居:首次公开发行股票上市公告书</v>
      </c>
      <c r="F1140" t="s">
        <v>2022</v>
      </c>
    </row>
    <row r="1141" spans="1:6" x14ac:dyDescent="0.15">
      <c r="A1141" s="1">
        <v>40857</v>
      </c>
      <c r="B1141" t="s">
        <v>240</v>
      </c>
      <c r="C1141" t="s">
        <v>721</v>
      </c>
      <c r="D1141" t="s">
        <v>389</v>
      </c>
      <c r="E1141" s="4" t="str">
        <f>HYPERLINK("http://snap.windin.com/ns/bulletin.php?id=1897307&amp;type=1", "华西能源:首次公开发行股票上市公告书")</f>
        <v>华西能源:首次公开发行股票上市公告书</v>
      </c>
      <c r="F1141" t="s">
        <v>2023</v>
      </c>
    </row>
    <row r="1142" spans="1:6" x14ac:dyDescent="0.15">
      <c r="A1142" s="1">
        <v>40857</v>
      </c>
      <c r="B1142" t="s">
        <v>241</v>
      </c>
      <c r="C1142" t="s">
        <v>722</v>
      </c>
      <c r="D1142" t="s">
        <v>389</v>
      </c>
      <c r="E1142" s="4" t="str">
        <f>HYPERLINK("http://snap.windin.com/ns/bulletin.php?id=1520199&amp;type=1", "八菱科技:首次公开发行股票上市公告书")</f>
        <v>八菱科技:首次公开发行股票上市公告书</v>
      </c>
      <c r="F1142" t="s">
        <v>2024</v>
      </c>
    </row>
    <row r="1143" spans="1:6" x14ac:dyDescent="0.15">
      <c r="A1143" s="1">
        <v>40856</v>
      </c>
      <c r="B1143" t="s">
        <v>230</v>
      </c>
      <c r="C1143" t="s">
        <v>707</v>
      </c>
      <c r="D1143" t="s">
        <v>465</v>
      </c>
      <c r="E1143" s="4" t="str">
        <f>HYPERLINK("http://snap.windin.com/ns/bulletin.php?id=18490860&amp;type=1", "雪人股份:首次公开发行股票招股意向书")</f>
        <v>雪人股份:首次公开发行股票招股意向书</v>
      </c>
      <c r="F1143" t="s">
        <v>2025</v>
      </c>
    </row>
    <row r="1144" spans="1:6" x14ac:dyDescent="0.15">
      <c r="A1144" s="1">
        <v>40856</v>
      </c>
      <c r="B1144" t="s">
        <v>230</v>
      </c>
      <c r="C1144" t="s">
        <v>707</v>
      </c>
      <c r="D1144" t="s">
        <v>465</v>
      </c>
      <c r="E1144" s="4" t="str">
        <f>HYPERLINK("http://snap.windin.com/ns/bulletin.php?id=635406&amp;type=1", "雪人股份:首次公开发行股票招股意向书")</f>
        <v>雪人股份:首次公开发行股票招股意向书</v>
      </c>
      <c r="F1144" t="s">
        <v>2026</v>
      </c>
    </row>
    <row r="1145" spans="1:6" x14ac:dyDescent="0.15">
      <c r="A1145" s="1">
        <v>40856</v>
      </c>
      <c r="B1145" t="s">
        <v>230</v>
      </c>
      <c r="C1145" t="s">
        <v>707</v>
      </c>
      <c r="D1145" t="s">
        <v>466</v>
      </c>
      <c r="E1145" s="4" t="str">
        <f>HYPERLINK("http://snap.windin.com/ns/bulletin.php?id=1028294&amp;type=1", "雪人股份:首次公开发行股票招股意向书摘要")</f>
        <v>雪人股份:首次公开发行股票招股意向书摘要</v>
      </c>
      <c r="F1145" t="s">
        <v>2027</v>
      </c>
    </row>
    <row r="1146" spans="1:6" x14ac:dyDescent="0.15">
      <c r="A1146" s="1">
        <v>40855</v>
      </c>
      <c r="B1146" t="s">
        <v>234</v>
      </c>
      <c r="C1146" t="s">
        <v>712</v>
      </c>
      <c r="D1146" t="s">
        <v>465</v>
      </c>
      <c r="E1146" s="4" t="str">
        <f>HYPERLINK("http://snap.windin.com/ns/bulletin.php?id=1320832&amp;type=1", "勤上光电:首次公开发行股票招股意向书")</f>
        <v>勤上光电:首次公开发行股票招股意向书</v>
      </c>
      <c r="F1146" t="s">
        <v>2028</v>
      </c>
    </row>
    <row r="1147" spans="1:6" x14ac:dyDescent="0.15">
      <c r="A1147" s="1">
        <v>40855</v>
      </c>
      <c r="B1147" t="s">
        <v>234</v>
      </c>
      <c r="C1147" t="s">
        <v>712</v>
      </c>
      <c r="D1147" t="s">
        <v>466</v>
      </c>
      <c r="E1147" s="4" t="str">
        <f>HYPERLINK("http://snap.windin.com/ns/bulletin.php?id=1909173&amp;type=1", "勤上光电:首次公开发行股票招股意向书摘要")</f>
        <v>勤上光电:首次公开发行股票招股意向书摘要</v>
      </c>
      <c r="F1147" t="s">
        <v>2029</v>
      </c>
    </row>
    <row r="1148" spans="1:6" x14ac:dyDescent="0.15">
      <c r="A1148" s="1">
        <v>40855</v>
      </c>
      <c r="B1148" t="s">
        <v>232</v>
      </c>
      <c r="C1148" t="s">
        <v>713</v>
      </c>
      <c r="D1148" t="s">
        <v>465</v>
      </c>
      <c r="E1148" s="4" t="str">
        <f>HYPERLINK("http://snap.windin.com/ns/bulletin.php?id=109433&amp;type=1", "赞宇科技:首次公开发行股票招股意向书")</f>
        <v>赞宇科技:首次公开发行股票招股意向书</v>
      </c>
      <c r="F1148" t="s">
        <v>2030</v>
      </c>
    </row>
    <row r="1149" spans="1:6" x14ac:dyDescent="0.15">
      <c r="A1149" s="1">
        <v>40855</v>
      </c>
      <c r="B1149" t="s">
        <v>232</v>
      </c>
      <c r="C1149" t="s">
        <v>713</v>
      </c>
      <c r="D1149" t="s">
        <v>466</v>
      </c>
      <c r="E1149" s="4" t="str">
        <f>HYPERLINK("http://snap.windin.com/ns/bulletin.php?id=431186&amp;type=1", "赞宇科技:首次公开发行股票招股意向书摘要")</f>
        <v>赞宇科技:首次公开发行股票招股意向书摘要</v>
      </c>
      <c r="F1149" t="s">
        <v>2031</v>
      </c>
    </row>
    <row r="1150" spans="1:6" x14ac:dyDescent="0.15">
      <c r="A1150" s="1">
        <v>40855</v>
      </c>
      <c r="B1150" t="s">
        <v>235</v>
      </c>
      <c r="C1150" t="s">
        <v>714</v>
      </c>
      <c r="D1150" t="s">
        <v>465</v>
      </c>
      <c r="E1150" s="4" t="str">
        <f>HYPERLINK("http://snap.windin.com/ns/bulletin.php?id=435647&amp;type=1", "金安国纪:首次公开发行股票招股意向书")</f>
        <v>金安国纪:首次公开发行股票招股意向书</v>
      </c>
      <c r="F1150" t="s">
        <v>2032</v>
      </c>
    </row>
    <row r="1151" spans="1:6" x14ac:dyDescent="0.15">
      <c r="A1151" s="1">
        <v>40855</v>
      </c>
      <c r="B1151" t="s">
        <v>235</v>
      </c>
      <c r="C1151" t="s">
        <v>714</v>
      </c>
      <c r="D1151" t="s">
        <v>466</v>
      </c>
      <c r="E1151" s="4" t="str">
        <f>HYPERLINK("http://snap.windin.com/ns/bulletin.php?id=733272&amp;type=1", "金安国纪:首次公开发行股票招股意向书摘要")</f>
        <v>金安国纪:首次公开发行股票招股意向书摘要</v>
      </c>
      <c r="F1151" t="s">
        <v>2033</v>
      </c>
    </row>
    <row r="1152" spans="1:6" x14ac:dyDescent="0.15">
      <c r="A1152" s="1">
        <v>40854</v>
      </c>
      <c r="B1152" t="s">
        <v>238</v>
      </c>
      <c r="C1152" t="s">
        <v>719</v>
      </c>
      <c r="D1152" t="s">
        <v>399</v>
      </c>
      <c r="E1152" s="4" t="str">
        <f>HYPERLINK("http://snap.windin.com/ns/bulletin.php?id=1319415&amp;type=1", "道明光学:首次公开发行股票招股说明书")</f>
        <v>道明光学:首次公开发行股票招股说明书</v>
      </c>
      <c r="F1152" t="s">
        <v>2034</v>
      </c>
    </row>
    <row r="1153" spans="1:6" x14ac:dyDescent="0.15">
      <c r="A1153" s="1">
        <v>40854</v>
      </c>
      <c r="B1153" t="s">
        <v>238</v>
      </c>
      <c r="C1153" t="s">
        <v>719</v>
      </c>
      <c r="D1153" t="s">
        <v>400</v>
      </c>
      <c r="E1153" s="4" t="str">
        <f>HYPERLINK("http://snap.windin.com/ns/bulletin.php?id=527142&amp;type=1", "道明光学:首次公开发行股票招股说明书摘要")</f>
        <v>道明光学:首次公开发行股票招股说明书摘要</v>
      </c>
      <c r="F1153" t="s">
        <v>2035</v>
      </c>
    </row>
    <row r="1154" spans="1:6" x14ac:dyDescent="0.15">
      <c r="A1154" s="1">
        <v>40851</v>
      </c>
      <c r="B1154" t="s">
        <v>243</v>
      </c>
      <c r="C1154" t="s">
        <v>724</v>
      </c>
      <c r="D1154" t="s">
        <v>402</v>
      </c>
      <c r="E1154" s="4" t="str">
        <f>HYPERLINK("http://snap.windin.com/ns/bulletin.php?id=629737&amp;type=1", "玉龙股份:首次公开发行A股股票上市公告书")</f>
        <v>玉龙股份:首次公开发行A股股票上市公告书</v>
      </c>
      <c r="F1154" t="s">
        <v>2036</v>
      </c>
    </row>
    <row r="1155" spans="1:6" x14ac:dyDescent="0.15">
      <c r="A1155" s="1">
        <v>40851</v>
      </c>
      <c r="B1155" t="s">
        <v>243</v>
      </c>
      <c r="C1155" t="s">
        <v>724</v>
      </c>
      <c r="D1155" t="s">
        <v>399</v>
      </c>
      <c r="E1155" s="4" t="str">
        <f>HYPERLINK("http://snap.windin.com/ns/bulletin.php?id=1131265&amp;type=1", "玉龙股份:首次公开发行股票招股说明书")</f>
        <v>玉龙股份:首次公开发行股票招股说明书</v>
      </c>
      <c r="F1155" t="s">
        <v>2037</v>
      </c>
    </row>
    <row r="1156" spans="1:6" x14ac:dyDescent="0.15">
      <c r="A1156" s="1">
        <v>40851</v>
      </c>
      <c r="B1156" t="s">
        <v>236</v>
      </c>
      <c r="C1156" t="s">
        <v>717</v>
      </c>
      <c r="D1156" t="s">
        <v>471</v>
      </c>
      <c r="E1156" s="4" t="str">
        <f>HYPERLINK("http://snap.windin.com/ns/bulletin.php?id=1495988&amp;type=1", "海联讯:首次公开发行股票并在创业板上市招股意向书")</f>
        <v>海联讯:首次公开发行股票并在创业板上市招股意向书</v>
      </c>
      <c r="F1156" t="s">
        <v>2038</v>
      </c>
    </row>
    <row r="1157" spans="1:6" x14ac:dyDescent="0.15">
      <c r="A1157" s="1">
        <v>40851</v>
      </c>
      <c r="B1157" t="s">
        <v>233</v>
      </c>
      <c r="C1157" t="s">
        <v>711</v>
      </c>
      <c r="D1157" t="s">
        <v>465</v>
      </c>
      <c r="E1157" s="4" t="str">
        <f>HYPERLINK("http://snap.windin.com/ns/bulletin.php?id=107929&amp;type=1", "安洁科技:首次公开发行股票招股意向书")</f>
        <v>安洁科技:首次公开发行股票招股意向书</v>
      </c>
      <c r="F1157" t="s">
        <v>2039</v>
      </c>
    </row>
    <row r="1158" spans="1:6" x14ac:dyDescent="0.15">
      <c r="A1158" s="1">
        <v>40851</v>
      </c>
      <c r="B1158" t="s">
        <v>233</v>
      </c>
      <c r="C1158" t="s">
        <v>711</v>
      </c>
      <c r="D1158" t="s">
        <v>466</v>
      </c>
      <c r="E1158" s="4" t="str">
        <f>HYPERLINK("http://snap.windin.com/ns/bulletin.php?id=878163&amp;type=1", "安洁科技:首次公开发行股票招股意向书摘要")</f>
        <v>安洁科技:首次公开发行股票招股意向书摘要</v>
      </c>
      <c r="F1158" t="s">
        <v>2040</v>
      </c>
    </row>
    <row r="1159" spans="1:6" x14ac:dyDescent="0.15">
      <c r="A1159" s="1">
        <v>40850</v>
      </c>
      <c r="B1159" t="s">
        <v>240</v>
      </c>
      <c r="C1159" t="s">
        <v>721</v>
      </c>
      <c r="D1159" t="s">
        <v>399</v>
      </c>
      <c r="E1159" s="4" t="str">
        <f>HYPERLINK("http://snap.windin.com/ns/bulletin.php?id=113580&amp;type=1", "华西能源:首次公开发行股票招股说明书")</f>
        <v>华西能源:首次公开发行股票招股说明书</v>
      </c>
      <c r="F1159" t="s">
        <v>2041</v>
      </c>
    </row>
    <row r="1160" spans="1:6" x14ac:dyDescent="0.15">
      <c r="A1160" s="1">
        <v>40850</v>
      </c>
      <c r="B1160" t="s">
        <v>240</v>
      </c>
      <c r="C1160" t="s">
        <v>721</v>
      </c>
      <c r="D1160" t="s">
        <v>400</v>
      </c>
      <c r="E1160" s="4" t="str">
        <f>HYPERLINK("http://snap.windin.com/ns/bulletin.php?id=2069591&amp;type=1", "华西能源:首次公开发行股票招股说明书摘要")</f>
        <v>华西能源:首次公开发行股票招股说明书摘要</v>
      </c>
      <c r="F1160" t="s">
        <v>2042</v>
      </c>
    </row>
    <row r="1161" spans="1:6" x14ac:dyDescent="0.15">
      <c r="A1161" s="1">
        <v>40849</v>
      </c>
      <c r="B1161" t="s">
        <v>239</v>
      </c>
      <c r="C1161" t="s">
        <v>720</v>
      </c>
      <c r="D1161" t="s">
        <v>455</v>
      </c>
      <c r="E1161" s="4" t="str">
        <f>HYPERLINK("http://snap.windin.com/ns/bulletin.php?id=882519&amp;type=1", "三丰智能:首次公开发行股票并在创业板上市招股说明书")</f>
        <v>三丰智能:首次公开发行股票并在创业板上市招股说明书</v>
      </c>
      <c r="F1161" t="s">
        <v>2043</v>
      </c>
    </row>
    <row r="1162" spans="1:6" x14ac:dyDescent="0.15">
      <c r="A1162" s="1">
        <v>40849</v>
      </c>
      <c r="B1162" t="s">
        <v>237</v>
      </c>
      <c r="C1162" t="s">
        <v>718</v>
      </c>
      <c r="D1162" t="s">
        <v>465</v>
      </c>
      <c r="E1162" s="4" t="str">
        <f>HYPERLINK("http://snap.windin.com/ns/bulletin.php?id=1506141&amp;type=1", "申科股份:首次公开发行股票招股意向书")</f>
        <v>申科股份:首次公开发行股票招股意向书</v>
      </c>
      <c r="F1162" t="s">
        <v>2044</v>
      </c>
    </row>
    <row r="1163" spans="1:6" x14ac:dyDescent="0.15">
      <c r="A1163" s="1">
        <v>40849</v>
      </c>
      <c r="B1163" t="s">
        <v>237</v>
      </c>
      <c r="C1163" t="s">
        <v>718</v>
      </c>
      <c r="D1163" t="s">
        <v>466</v>
      </c>
      <c r="E1163" s="4" t="str">
        <f>HYPERLINK("http://snap.windin.com/ns/bulletin.php?id=515454&amp;type=1", "申科股份:首次公开发行股票招股意向书摘要")</f>
        <v>申科股份:首次公开发行股票招股意向书摘要</v>
      </c>
      <c r="F1163" t="s">
        <v>2045</v>
      </c>
    </row>
    <row r="1164" spans="1:6" x14ac:dyDescent="0.15">
      <c r="A1164" s="1">
        <v>40849</v>
      </c>
      <c r="B1164" t="s">
        <v>247</v>
      </c>
      <c r="C1164" t="s">
        <v>728</v>
      </c>
      <c r="D1164" t="s">
        <v>389</v>
      </c>
      <c r="E1164" s="4" t="str">
        <f>HYPERLINK("http://snap.windin.com/ns/bulletin.php?id=119294&amp;type=1", "仁智油服:首次公开发行股票上市公告书")</f>
        <v>仁智油服:首次公开发行股票上市公告书</v>
      </c>
      <c r="F1164" t="s">
        <v>2046</v>
      </c>
    </row>
    <row r="1165" spans="1:6" x14ac:dyDescent="0.15">
      <c r="A1165" s="1">
        <v>40849</v>
      </c>
      <c r="B1165" t="s">
        <v>244</v>
      </c>
      <c r="C1165" t="s">
        <v>725</v>
      </c>
      <c r="D1165" t="s">
        <v>389</v>
      </c>
      <c r="E1165" s="4" t="str">
        <f>HYPERLINK("http://snap.windin.com/ns/bulletin.php?id=2013624&amp;type=1", "成都路桥:首次公开发行股票上市公告书")</f>
        <v>成都路桥:首次公开发行股票上市公告书</v>
      </c>
      <c r="F1165" t="s">
        <v>2047</v>
      </c>
    </row>
    <row r="1166" spans="1:6" x14ac:dyDescent="0.15">
      <c r="A1166" s="1">
        <v>40849</v>
      </c>
      <c r="B1166" t="s">
        <v>246</v>
      </c>
      <c r="C1166" t="s">
        <v>727</v>
      </c>
      <c r="D1166" t="s">
        <v>389</v>
      </c>
      <c r="E1166" s="4" t="str">
        <f>HYPERLINK("http://snap.windin.com/ns/bulletin.php?id=1277602&amp;type=1", "宜昌交运:首次公开发行股票上市公告书")</f>
        <v>宜昌交运:首次公开发行股票上市公告书</v>
      </c>
      <c r="F1166" t="s">
        <v>2048</v>
      </c>
    </row>
    <row r="1167" spans="1:6" x14ac:dyDescent="0.15">
      <c r="A1167" s="1">
        <v>40849</v>
      </c>
      <c r="B1167" t="s">
        <v>245</v>
      </c>
      <c r="C1167" t="s">
        <v>726</v>
      </c>
      <c r="D1167" t="s">
        <v>389</v>
      </c>
      <c r="E1167" s="4" t="str">
        <f>HYPERLINK("http://snap.windin.com/ns/bulletin.php?id=1521479&amp;type=1", "龙生股份:首次公开发行股票上市公告书")</f>
        <v>龙生股份:首次公开发行股票上市公告书</v>
      </c>
      <c r="F1167" t="s">
        <v>2049</v>
      </c>
    </row>
    <row r="1168" spans="1:6" x14ac:dyDescent="0.15">
      <c r="A1168" s="1">
        <v>40848</v>
      </c>
      <c r="B1168" t="s">
        <v>248</v>
      </c>
      <c r="C1168" t="s">
        <v>729</v>
      </c>
      <c r="D1168" t="s">
        <v>407</v>
      </c>
      <c r="E1168" s="4" t="str">
        <f>HYPERLINK("http://snap.windin.com/ns/bulletin.php?id=1882812&amp;type=1", "梅安森:首次公开发行股票并在创业板上市公告书提示性公告")</f>
        <v>梅安森:首次公开发行股票并在创业板上市公告书提示性公告</v>
      </c>
      <c r="F1168" t="s">
        <v>2050</v>
      </c>
    </row>
    <row r="1169" spans="1:6" x14ac:dyDescent="0.15">
      <c r="A1169" s="1">
        <v>40848</v>
      </c>
      <c r="B1169" t="s">
        <v>248</v>
      </c>
      <c r="C1169" t="s">
        <v>729</v>
      </c>
      <c r="D1169" t="s">
        <v>408</v>
      </c>
      <c r="E1169" s="4" t="str">
        <f>HYPERLINK("http://snap.windin.com/ns/bulletin.php?id=820726&amp;type=1", "梅安森:首次公开发行股票并在创业板上市之上市公告书")</f>
        <v>梅安森:首次公开发行股票并在创业板上市之上市公告书</v>
      </c>
      <c r="F1169" t="s">
        <v>2051</v>
      </c>
    </row>
    <row r="1170" spans="1:6" x14ac:dyDescent="0.15">
      <c r="A1170" s="1">
        <v>40848</v>
      </c>
      <c r="B1170" t="s">
        <v>250</v>
      </c>
      <c r="C1170" t="s">
        <v>731</v>
      </c>
      <c r="D1170" t="s">
        <v>408</v>
      </c>
      <c r="E1170" s="4" t="str">
        <f>HYPERLINK("http://snap.windin.com/ns/bulletin.php?id=1594534&amp;type=1", "阳光电源:首次公开发行股票并在创业板上市之上市公告书")</f>
        <v>阳光电源:首次公开发行股票并在创业板上市之上市公告书</v>
      </c>
      <c r="F1170" t="s">
        <v>2052</v>
      </c>
    </row>
    <row r="1171" spans="1:6" x14ac:dyDescent="0.15">
      <c r="A1171" s="1">
        <v>40848</v>
      </c>
      <c r="B1171" t="s">
        <v>250</v>
      </c>
      <c r="C1171" t="s">
        <v>731</v>
      </c>
      <c r="D1171" t="s">
        <v>410</v>
      </c>
      <c r="E1171" s="4" t="str">
        <f>HYPERLINK("http://snap.windin.com/ns/bulletin.php?id=555080&amp;type=1", "阳光电源:首次公开发行股票并在创业板上市之上市公告书提示性公告")</f>
        <v>阳光电源:首次公开发行股票并在创业板上市之上市公告书提示性公告</v>
      </c>
      <c r="F1171" t="s">
        <v>2053</v>
      </c>
    </row>
    <row r="1172" spans="1:6" x14ac:dyDescent="0.15">
      <c r="A1172" s="1">
        <v>40848</v>
      </c>
      <c r="B1172" t="s">
        <v>249</v>
      </c>
      <c r="C1172" t="s">
        <v>730</v>
      </c>
      <c r="D1172" t="s">
        <v>408</v>
      </c>
      <c r="E1172" s="4" t="str">
        <f>HYPERLINK("http://snap.windin.com/ns/bulletin.php?id=500507&amp;type=1", "开能环保:首次公开发行股票并在创业板上市之上市公告书")</f>
        <v>开能环保:首次公开发行股票并在创业板上市之上市公告书</v>
      </c>
      <c r="F1172" t="s">
        <v>2054</v>
      </c>
    </row>
    <row r="1173" spans="1:6" x14ac:dyDescent="0.15">
      <c r="A1173" s="1">
        <v>40848</v>
      </c>
      <c r="B1173" t="s">
        <v>249</v>
      </c>
      <c r="C1173" t="s">
        <v>730</v>
      </c>
      <c r="D1173" t="s">
        <v>410</v>
      </c>
      <c r="E1173" s="4" t="str">
        <f>HYPERLINK("http://snap.windin.com/ns/bulletin.php?id=1733209&amp;type=1", "开能环保:首次公开发行股票并在创业板上市之上市公告书提示性公告")</f>
        <v>开能环保:首次公开发行股票并在创业板上市之上市公告书提示性公告</v>
      </c>
      <c r="F1173" t="s">
        <v>2055</v>
      </c>
    </row>
    <row r="1174" spans="1:6" x14ac:dyDescent="0.15">
      <c r="A1174" s="1">
        <v>40848</v>
      </c>
      <c r="B1174" t="s">
        <v>242</v>
      </c>
      <c r="C1174" t="s">
        <v>723</v>
      </c>
      <c r="D1174" t="s">
        <v>399</v>
      </c>
      <c r="E1174" s="4" t="str">
        <f>HYPERLINK("http://snap.windin.com/ns/bulletin.php?id=1674187&amp;type=1", "德尔家居:首次公开发行股票招股说明书")</f>
        <v>德尔家居:首次公开发行股票招股说明书</v>
      </c>
      <c r="F1174" t="s">
        <v>2056</v>
      </c>
    </row>
    <row r="1175" spans="1:6" x14ac:dyDescent="0.15">
      <c r="A1175" s="1">
        <v>40848</v>
      </c>
      <c r="B1175" t="s">
        <v>242</v>
      </c>
      <c r="C1175" t="s">
        <v>723</v>
      </c>
      <c r="D1175" t="s">
        <v>400</v>
      </c>
      <c r="E1175" s="4" t="str">
        <f>HYPERLINK("http://snap.windin.com/ns/bulletin.php?id=1255043&amp;type=1", "德尔家居:首次公开发行股票招股说明书摘要")</f>
        <v>德尔家居:首次公开发行股票招股说明书摘要</v>
      </c>
      <c r="F1175" t="s">
        <v>2057</v>
      </c>
    </row>
    <row r="1176" spans="1:6" x14ac:dyDescent="0.15">
      <c r="A1176" s="1">
        <v>40844</v>
      </c>
      <c r="B1176" t="s">
        <v>238</v>
      </c>
      <c r="C1176" t="s">
        <v>719</v>
      </c>
      <c r="D1176" t="s">
        <v>465</v>
      </c>
      <c r="E1176" s="4" t="str">
        <f>HYPERLINK("http://snap.windin.com/ns/bulletin.php?id=1153582&amp;type=1", "道明光学:首次公开发行股票招股意向书")</f>
        <v>道明光学:首次公开发行股票招股意向书</v>
      </c>
      <c r="F1176" t="s">
        <v>2058</v>
      </c>
    </row>
    <row r="1177" spans="1:6" x14ac:dyDescent="0.15">
      <c r="A1177" s="1">
        <v>40844</v>
      </c>
      <c r="B1177" t="s">
        <v>238</v>
      </c>
      <c r="C1177" t="s">
        <v>719</v>
      </c>
      <c r="D1177" t="s">
        <v>466</v>
      </c>
      <c r="E1177" s="4" t="str">
        <f>HYPERLINK("http://snap.windin.com/ns/bulletin.php?id=987367&amp;type=1", "道明光学:首次公开发行股票招股意向书摘要")</f>
        <v>道明光学:首次公开发行股票招股意向书摘要</v>
      </c>
      <c r="F1177" t="s">
        <v>2059</v>
      </c>
    </row>
    <row r="1178" spans="1:6" x14ac:dyDescent="0.15">
      <c r="A1178" s="1">
        <v>40844</v>
      </c>
      <c r="B1178" t="s">
        <v>241</v>
      </c>
      <c r="C1178" t="s">
        <v>722</v>
      </c>
      <c r="D1178" t="s">
        <v>399</v>
      </c>
      <c r="E1178" s="4" t="str">
        <f>HYPERLINK("http://snap.windin.com/ns/bulletin.php?id=102328&amp;type=1", "八菱科技:首次公开发行股票招股说明书")</f>
        <v>八菱科技:首次公开发行股票招股说明书</v>
      </c>
      <c r="F1178" t="s">
        <v>2060</v>
      </c>
    </row>
    <row r="1179" spans="1:6" x14ac:dyDescent="0.15">
      <c r="A1179" s="1">
        <v>40844</v>
      </c>
      <c r="B1179" t="s">
        <v>241</v>
      </c>
      <c r="C1179" t="s">
        <v>722</v>
      </c>
      <c r="D1179" t="s">
        <v>400</v>
      </c>
      <c r="E1179" s="4" t="str">
        <f>HYPERLINK("http://snap.windin.com/ns/bulletin.php?id=79293&amp;type=1", "八菱科技:首次公开发行股票招股说明书摘要")</f>
        <v>八菱科技:首次公开发行股票招股说明书摘要</v>
      </c>
      <c r="F1179" t="s">
        <v>2061</v>
      </c>
    </row>
    <row r="1180" spans="1:6" x14ac:dyDescent="0.15">
      <c r="A1180" s="1">
        <v>40843</v>
      </c>
      <c r="B1180" t="s">
        <v>251</v>
      </c>
      <c r="C1180" t="s">
        <v>732</v>
      </c>
      <c r="D1180" t="s">
        <v>402</v>
      </c>
      <c r="E1180" s="4" t="str">
        <f>HYPERLINK("http://snap.windin.com/ns/bulletin.php?id=1355773&amp;type=1", "恒立油缸:首次公开发行A股股票上市公告书")</f>
        <v>恒立油缸:首次公开发行A股股票上市公告书</v>
      </c>
      <c r="F1180" t="s">
        <v>2062</v>
      </c>
    </row>
    <row r="1181" spans="1:6" x14ac:dyDescent="0.15">
      <c r="A1181" s="1">
        <v>40843</v>
      </c>
      <c r="B1181" t="s">
        <v>251</v>
      </c>
      <c r="C1181" t="s">
        <v>732</v>
      </c>
      <c r="D1181" t="s">
        <v>399</v>
      </c>
      <c r="E1181" s="4" t="str">
        <f>HYPERLINK("http://snap.windin.com/ns/bulletin.php?id=1730445&amp;type=1", "恒立油缸:首次公开发行股票招股说明书")</f>
        <v>恒立油缸:首次公开发行股票招股说明书</v>
      </c>
      <c r="F1181" t="s">
        <v>2063</v>
      </c>
    </row>
    <row r="1182" spans="1:6" x14ac:dyDescent="0.15">
      <c r="A1182" s="1">
        <v>40843</v>
      </c>
      <c r="B1182" t="s">
        <v>253</v>
      </c>
      <c r="C1182" t="s">
        <v>734</v>
      </c>
      <c r="D1182" t="s">
        <v>389</v>
      </c>
      <c r="E1182" s="4" t="str">
        <f>HYPERLINK("http://snap.windin.com/ns/bulletin.php?id=174622&amp;type=1", "金达威:首次公开发行股票上市公告书")</f>
        <v>金达威:首次公开发行股票上市公告书</v>
      </c>
      <c r="F1182" t="s">
        <v>2064</v>
      </c>
    </row>
    <row r="1183" spans="1:6" x14ac:dyDescent="0.15">
      <c r="A1183" s="1">
        <v>40843</v>
      </c>
      <c r="B1183" t="s">
        <v>252</v>
      </c>
      <c r="C1183" t="s">
        <v>733</v>
      </c>
      <c r="D1183" t="s">
        <v>389</v>
      </c>
      <c r="E1183" s="4" t="str">
        <f>HYPERLINK("http://snap.windin.com/ns/bulletin.php?id=1050403&amp;type=1", "金磊股份:首次公开发行股票上市公告书")</f>
        <v>金磊股份:首次公开发行股票上市公告书</v>
      </c>
      <c r="F1183" t="s">
        <v>2065</v>
      </c>
    </row>
    <row r="1184" spans="1:6" x14ac:dyDescent="0.15">
      <c r="A1184" s="1">
        <v>40842</v>
      </c>
      <c r="B1184" t="s">
        <v>239</v>
      </c>
      <c r="C1184" t="s">
        <v>720</v>
      </c>
      <c r="D1184" t="s">
        <v>471</v>
      </c>
      <c r="E1184" s="4" t="str">
        <f>HYPERLINK("http://snap.windin.com/ns/bulletin.php?id=1892287&amp;type=1", "三丰智能:首次公开发行股票并在创业板上市招股意向书")</f>
        <v>三丰智能:首次公开发行股票并在创业板上市招股意向书</v>
      </c>
      <c r="F1184" t="s">
        <v>2066</v>
      </c>
    </row>
    <row r="1185" spans="1:6" x14ac:dyDescent="0.15">
      <c r="A1185" s="1">
        <v>40841</v>
      </c>
      <c r="B1185" t="s">
        <v>255</v>
      </c>
      <c r="C1185" t="s">
        <v>736</v>
      </c>
      <c r="D1185" t="s">
        <v>417</v>
      </c>
      <c r="E1185" s="4" t="str">
        <f>HYPERLINK("http://snap.windin.com/ns/bulletin.php?id=111930&amp;type=1", "和佳股份:首次公开发行股票并在创业板上市公告书")</f>
        <v>和佳股份:首次公开发行股票并在创业板上市公告书</v>
      </c>
      <c r="F1185" t="s">
        <v>2067</v>
      </c>
    </row>
    <row r="1186" spans="1:6" x14ac:dyDescent="0.15">
      <c r="A1186" s="1">
        <v>40841</v>
      </c>
      <c r="B1186" t="s">
        <v>255</v>
      </c>
      <c r="C1186" t="s">
        <v>736</v>
      </c>
      <c r="D1186" t="s">
        <v>407</v>
      </c>
      <c r="E1186" s="4" t="str">
        <f>HYPERLINK("http://snap.windin.com/ns/bulletin.php?id=742783&amp;type=1", "和佳股份:首次公开发行股票并在创业板上市公告书提示性公告")</f>
        <v>和佳股份:首次公开发行股票并在创业板上市公告书提示性公告</v>
      </c>
      <c r="F1186" t="s">
        <v>2068</v>
      </c>
    </row>
    <row r="1187" spans="1:6" x14ac:dyDescent="0.15">
      <c r="A1187" s="1">
        <v>40841</v>
      </c>
      <c r="B1187" t="s">
        <v>254</v>
      </c>
      <c r="C1187" t="s">
        <v>735</v>
      </c>
      <c r="D1187" t="s">
        <v>412</v>
      </c>
      <c r="E1187" s="4" t="str">
        <f>HYPERLINK("http://snap.windin.com/ns/bulletin.php?id=849497&amp;type=1", "紫光华宇:首次公开发行股票并在创业板上市上市公告书")</f>
        <v>紫光华宇:首次公开发行股票并在创业板上市上市公告书</v>
      </c>
      <c r="F1187" t="s">
        <v>2069</v>
      </c>
    </row>
    <row r="1188" spans="1:6" x14ac:dyDescent="0.15">
      <c r="A1188" s="1">
        <v>40841</v>
      </c>
      <c r="B1188" t="s">
        <v>254</v>
      </c>
      <c r="C1188" t="s">
        <v>735</v>
      </c>
      <c r="D1188" t="s">
        <v>383</v>
      </c>
      <c r="E1188" s="4" t="str">
        <f>HYPERLINK("http://snap.windin.com/ns/bulletin.php?id=2100547&amp;type=1", "紫光华宇:首次公开发行股票并在创业板上市上市公告书提示性公告")</f>
        <v>紫光华宇:首次公开发行股票并在创业板上市上市公告书提示性公告</v>
      </c>
      <c r="F1188" t="s">
        <v>2070</v>
      </c>
    </row>
    <row r="1189" spans="1:6" x14ac:dyDescent="0.15">
      <c r="A1189" s="1">
        <v>40841</v>
      </c>
      <c r="B1189" t="s">
        <v>242</v>
      </c>
      <c r="C1189" t="s">
        <v>723</v>
      </c>
      <c r="D1189" t="s">
        <v>465</v>
      </c>
      <c r="E1189" s="4" t="str">
        <f>HYPERLINK("http://snap.windin.com/ns/bulletin.php?id=18534764&amp;type=1", "德尔家居:首次公开发行股票招股意向书")</f>
        <v>德尔家居:首次公开发行股票招股意向书</v>
      </c>
      <c r="F1189" t="s">
        <v>2071</v>
      </c>
    </row>
    <row r="1190" spans="1:6" x14ac:dyDescent="0.15">
      <c r="A1190" s="1">
        <v>40841</v>
      </c>
      <c r="B1190" t="s">
        <v>242</v>
      </c>
      <c r="C1190" t="s">
        <v>723</v>
      </c>
      <c r="D1190" t="s">
        <v>465</v>
      </c>
      <c r="E1190" s="4" t="str">
        <f>HYPERLINK("http://snap.windin.com/ns/bulletin.php?id=1586827&amp;type=1", "德尔家居:首次公开发行股票招股意向书")</f>
        <v>德尔家居:首次公开发行股票招股意向书</v>
      </c>
      <c r="F1190" t="s">
        <v>2072</v>
      </c>
    </row>
    <row r="1191" spans="1:6" x14ac:dyDescent="0.15">
      <c r="A1191" s="1">
        <v>40841</v>
      </c>
      <c r="B1191" t="s">
        <v>242</v>
      </c>
      <c r="C1191" t="s">
        <v>723</v>
      </c>
      <c r="D1191" t="s">
        <v>466</v>
      </c>
      <c r="E1191" s="4" t="str">
        <f>HYPERLINK("http://snap.windin.com/ns/bulletin.php?id=704285&amp;type=1", "德尔家居:首次公开发行股票招股意向书摘要")</f>
        <v>德尔家居:首次公开发行股票招股意向书摘要</v>
      </c>
      <c r="F1191" t="s">
        <v>2073</v>
      </c>
    </row>
    <row r="1192" spans="1:6" x14ac:dyDescent="0.15">
      <c r="A1192" s="1">
        <v>40841</v>
      </c>
      <c r="B1192" t="s">
        <v>240</v>
      </c>
      <c r="C1192" t="s">
        <v>721</v>
      </c>
      <c r="D1192" t="s">
        <v>465</v>
      </c>
      <c r="E1192" s="4" t="str">
        <f>HYPERLINK("http://snap.windin.com/ns/bulletin.php?id=1905165&amp;type=1", "华西能源:首次公开发行股票招股意向书")</f>
        <v>华西能源:首次公开发行股票招股意向书</v>
      </c>
      <c r="F1192" t="s">
        <v>2074</v>
      </c>
    </row>
    <row r="1193" spans="1:6" x14ac:dyDescent="0.15">
      <c r="A1193" s="1">
        <v>40841</v>
      </c>
      <c r="B1193" t="s">
        <v>240</v>
      </c>
      <c r="C1193" t="s">
        <v>721</v>
      </c>
      <c r="D1193" t="s">
        <v>466</v>
      </c>
      <c r="E1193" s="4" t="str">
        <f>HYPERLINK("http://snap.windin.com/ns/bulletin.php?id=1900793&amp;type=1", "华西能源:首次公开发行股票招股意向书摘要")</f>
        <v>华西能源:首次公开发行股票招股意向书摘要</v>
      </c>
      <c r="F1193" t="s">
        <v>2075</v>
      </c>
    </row>
    <row r="1194" spans="1:6" x14ac:dyDescent="0.15">
      <c r="A1194" s="1">
        <v>40841</v>
      </c>
      <c r="B1194" t="s">
        <v>247</v>
      </c>
      <c r="C1194" t="s">
        <v>728</v>
      </c>
      <c r="D1194" t="s">
        <v>399</v>
      </c>
      <c r="E1194" s="4" t="str">
        <f>HYPERLINK("http://snap.windin.com/ns/bulletin.php?id=1266951&amp;type=1", "仁智油服:首次公开发行股票招股说明书")</f>
        <v>仁智油服:首次公开发行股票招股说明书</v>
      </c>
      <c r="F1194" t="s">
        <v>2076</v>
      </c>
    </row>
    <row r="1195" spans="1:6" x14ac:dyDescent="0.15">
      <c r="A1195" s="1">
        <v>40841</v>
      </c>
      <c r="B1195" t="s">
        <v>247</v>
      </c>
      <c r="C1195" t="s">
        <v>728</v>
      </c>
      <c r="D1195" t="s">
        <v>400</v>
      </c>
      <c r="E1195" s="4" t="str">
        <f>HYPERLINK("http://snap.windin.com/ns/bulletin.php?id=763907&amp;type=1", "仁智油服:首次公开发行股票招股说明书摘要")</f>
        <v>仁智油服:首次公开发行股票招股说明书摘要</v>
      </c>
      <c r="F1195" t="s">
        <v>2077</v>
      </c>
    </row>
    <row r="1196" spans="1:6" x14ac:dyDescent="0.15">
      <c r="A1196" s="1">
        <v>40841</v>
      </c>
      <c r="B1196" t="s">
        <v>245</v>
      </c>
      <c r="C1196" t="s">
        <v>726</v>
      </c>
      <c r="D1196" t="s">
        <v>399</v>
      </c>
      <c r="E1196" s="4" t="str">
        <f>HYPERLINK("http://snap.windin.com/ns/bulletin.php?id=1118441&amp;type=1", "龙生股份:首次公开发行股票招股说明书")</f>
        <v>龙生股份:首次公开发行股票招股说明书</v>
      </c>
      <c r="F1196" t="s">
        <v>2078</v>
      </c>
    </row>
    <row r="1197" spans="1:6" x14ac:dyDescent="0.15">
      <c r="A1197" s="1">
        <v>40841</v>
      </c>
      <c r="B1197" t="s">
        <v>245</v>
      </c>
      <c r="C1197" t="s">
        <v>726</v>
      </c>
      <c r="D1197" t="s">
        <v>400</v>
      </c>
      <c r="E1197" s="4" t="str">
        <f>HYPERLINK("http://snap.windin.com/ns/bulletin.php?id=2032525&amp;type=1", "龙生股份:首次公开发行股票招股说明书摘要")</f>
        <v>龙生股份:首次公开发行股票招股说明书摘要</v>
      </c>
      <c r="F1197" t="s">
        <v>2079</v>
      </c>
    </row>
    <row r="1198" spans="1:6" x14ac:dyDescent="0.15">
      <c r="A1198" s="1">
        <v>40840</v>
      </c>
      <c r="B1198" t="s">
        <v>248</v>
      </c>
      <c r="C1198" t="s">
        <v>729</v>
      </c>
      <c r="D1198" t="s">
        <v>737</v>
      </c>
      <c r="E1198" s="4" t="str">
        <f>HYPERLINK("http://snap.windin.com/ns/bulletin.php?id=594954&amp;type=1", "梅安森:首次发行股票并在创业板上市招股说明书")</f>
        <v>梅安森:首次发行股票并在创业板上市招股说明书</v>
      </c>
      <c r="F1198" t="s">
        <v>2080</v>
      </c>
    </row>
    <row r="1199" spans="1:6" x14ac:dyDescent="0.15">
      <c r="A1199" s="1">
        <v>40840</v>
      </c>
      <c r="B1199" t="s">
        <v>244</v>
      </c>
      <c r="C1199" t="s">
        <v>725</v>
      </c>
      <c r="D1199" t="s">
        <v>399</v>
      </c>
      <c r="E1199" s="4" t="str">
        <f>HYPERLINK("http://snap.windin.com/ns/bulletin.php?id=944233&amp;type=1", "成都路桥:首次公开发行股票招股说明书")</f>
        <v>成都路桥:首次公开发行股票招股说明书</v>
      </c>
      <c r="F1199" t="s">
        <v>2081</v>
      </c>
    </row>
    <row r="1200" spans="1:6" x14ac:dyDescent="0.15">
      <c r="A1200" s="1">
        <v>40840</v>
      </c>
      <c r="B1200" t="s">
        <v>244</v>
      </c>
      <c r="C1200" t="s">
        <v>725</v>
      </c>
      <c r="D1200" t="s">
        <v>400</v>
      </c>
      <c r="E1200" s="4" t="str">
        <f>HYPERLINK("http://snap.windin.com/ns/bulletin.php?id=2114189&amp;type=1", "成都路桥:首次公开发行股票招股说明书摘要")</f>
        <v>成都路桥:首次公开发行股票招股说明书摘要</v>
      </c>
      <c r="F1200" t="s">
        <v>2082</v>
      </c>
    </row>
    <row r="1201" spans="1:6" x14ac:dyDescent="0.15">
      <c r="A1201" s="1">
        <v>40837</v>
      </c>
      <c r="B1201" t="s">
        <v>250</v>
      </c>
      <c r="C1201" t="s">
        <v>731</v>
      </c>
      <c r="D1201" t="s">
        <v>455</v>
      </c>
      <c r="E1201" s="4" t="str">
        <f>HYPERLINK("http://snap.windin.com/ns/bulletin.php?id=904119&amp;type=1", "阳光电源:首次公开发行股票并在创业板上市招股说明书")</f>
        <v>阳光电源:首次公开发行股票并在创业板上市招股说明书</v>
      </c>
      <c r="F1201" t="s">
        <v>2083</v>
      </c>
    </row>
    <row r="1202" spans="1:6" x14ac:dyDescent="0.15">
      <c r="A1202" s="1">
        <v>40837</v>
      </c>
      <c r="B1202" t="s">
        <v>241</v>
      </c>
      <c r="C1202" t="s">
        <v>722</v>
      </c>
      <c r="D1202" t="s">
        <v>465</v>
      </c>
      <c r="E1202" s="4" t="str">
        <f>HYPERLINK("http://snap.windin.com/ns/bulletin.php?id=829064&amp;type=1", "八菱科技:首次公开发行股票招股意向书")</f>
        <v>八菱科技:首次公开发行股票招股意向书</v>
      </c>
      <c r="F1202" t="s">
        <v>2084</v>
      </c>
    </row>
    <row r="1203" spans="1:6" x14ac:dyDescent="0.15">
      <c r="A1203" s="1">
        <v>40837</v>
      </c>
      <c r="B1203" t="s">
        <v>241</v>
      </c>
      <c r="C1203" t="s">
        <v>722</v>
      </c>
      <c r="D1203" t="s">
        <v>466</v>
      </c>
      <c r="E1203" s="4" t="str">
        <f>HYPERLINK("http://snap.windin.com/ns/bulletin.php?id=216518&amp;type=1", "八菱科技:首次公开发行股票招股意向书摘要")</f>
        <v>八菱科技:首次公开发行股票招股意向书摘要</v>
      </c>
      <c r="F1203" t="s">
        <v>2085</v>
      </c>
    </row>
    <row r="1204" spans="1:6" x14ac:dyDescent="0.15">
      <c r="A1204" s="1">
        <v>40836</v>
      </c>
      <c r="B1204" t="s">
        <v>249</v>
      </c>
      <c r="C1204" t="s">
        <v>730</v>
      </c>
      <c r="D1204" t="s">
        <v>455</v>
      </c>
      <c r="E1204" s="4" t="str">
        <f>HYPERLINK("http://snap.windin.com/ns/bulletin.php?id=1317906&amp;type=1", "开能环保:首次公开发行股票并在创业板上市招股说明书")</f>
        <v>开能环保:首次公开发行股票并在创业板上市招股说明书</v>
      </c>
      <c r="F1204" t="s">
        <v>2086</v>
      </c>
    </row>
    <row r="1205" spans="1:6" x14ac:dyDescent="0.15">
      <c r="A1205" s="1">
        <v>40836</v>
      </c>
      <c r="B1205" t="s">
        <v>246</v>
      </c>
      <c r="C1205" t="s">
        <v>727</v>
      </c>
      <c r="D1205" t="s">
        <v>399</v>
      </c>
      <c r="E1205" s="4" t="str">
        <f>HYPERLINK("http://snap.windin.com/ns/bulletin.php?id=1784557&amp;type=1", "宜昌交运:首次公开发行股票招股说明书")</f>
        <v>宜昌交运:首次公开发行股票招股说明书</v>
      </c>
      <c r="F1205" t="s">
        <v>2087</v>
      </c>
    </row>
    <row r="1206" spans="1:6" x14ac:dyDescent="0.15">
      <c r="A1206" s="1">
        <v>40836</v>
      </c>
      <c r="B1206" t="s">
        <v>246</v>
      </c>
      <c r="C1206" t="s">
        <v>727</v>
      </c>
      <c r="D1206" t="s">
        <v>400</v>
      </c>
      <c r="E1206" s="4" t="str">
        <f>HYPERLINK("http://snap.windin.com/ns/bulletin.php?id=1633155&amp;type=1", "宜昌交运:首次公开发行股票招股说明书摘要")</f>
        <v>宜昌交运:首次公开发行股票招股说明书摘要</v>
      </c>
      <c r="F1206" t="s">
        <v>2088</v>
      </c>
    </row>
    <row r="1207" spans="1:6" x14ac:dyDescent="0.15">
      <c r="A1207" s="1">
        <v>40835</v>
      </c>
      <c r="B1207" t="s">
        <v>243</v>
      </c>
      <c r="C1207" t="s">
        <v>724</v>
      </c>
      <c r="D1207" t="s">
        <v>465</v>
      </c>
      <c r="E1207" s="4" t="str">
        <f>HYPERLINK("http://snap.windin.com/ns/bulletin.php?id=1931236&amp;type=1", "玉龙股份:首次公开发行股票招股意向书")</f>
        <v>玉龙股份:首次公开发行股票招股意向书</v>
      </c>
      <c r="F1207" t="s">
        <v>2089</v>
      </c>
    </row>
    <row r="1208" spans="1:6" x14ac:dyDescent="0.15">
      <c r="A1208" s="1">
        <v>40835</v>
      </c>
      <c r="B1208" t="s">
        <v>243</v>
      </c>
      <c r="C1208" t="s">
        <v>724</v>
      </c>
      <c r="D1208" t="s">
        <v>522</v>
      </c>
      <c r="E1208" s="4" t="str">
        <f>HYPERLINK("http://snap.windin.com/ns/bulletin.php?id=666057&amp;type=1", "玉龙股份:首次公开发行股票招股意向书附录二")</f>
        <v>玉龙股份:首次公开发行股票招股意向书附录二</v>
      </c>
      <c r="F1208" t="s">
        <v>2090</v>
      </c>
    </row>
    <row r="1209" spans="1:6" x14ac:dyDescent="0.15">
      <c r="A1209" s="1">
        <v>40835</v>
      </c>
      <c r="B1209" t="s">
        <v>243</v>
      </c>
      <c r="C1209" t="s">
        <v>724</v>
      </c>
      <c r="D1209" t="s">
        <v>521</v>
      </c>
      <c r="E1209" s="4" t="str">
        <f>HYPERLINK("http://snap.windin.com/ns/bulletin.php?id=417137&amp;type=1", "玉龙股份:首次公开发行股票招股意向书附录三")</f>
        <v>玉龙股份:首次公开发行股票招股意向书附录三</v>
      </c>
      <c r="F1209" t="s">
        <v>2091</v>
      </c>
    </row>
    <row r="1210" spans="1:6" x14ac:dyDescent="0.15">
      <c r="A1210" s="1">
        <v>40835</v>
      </c>
      <c r="B1210" t="s">
        <v>243</v>
      </c>
      <c r="C1210" t="s">
        <v>724</v>
      </c>
      <c r="D1210" t="s">
        <v>523</v>
      </c>
      <c r="E1210" s="4" t="str">
        <f>HYPERLINK("http://snap.windin.com/ns/bulletin.php?id=571084&amp;type=1", "玉龙股份:首次公开发行股票招股意向书附录四")</f>
        <v>玉龙股份:首次公开发行股票招股意向书附录四</v>
      </c>
      <c r="F1210" t="s">
        <v>2092</v>
      </c>
    </row>
    <row r="1211" spans="1:6" x14ac:dyDescent="0.15">
      <c r="A1211" s="1">
        <v>40835</v>
      </c>
      <c r="B1211" t="s">
        <v>243</v>
      </c>
      <c r="C1211" t="s">
        <v>724</v>
      </c>
      <c r="D1211" t="s">
        <v>520</v>
      </c>
      <c r="E1211" s="4" t="str">
        <f>HYPERLINK("http://snap.windin.com/ns/bulletin.php?id=1850020&amp;type=1", "玉龙股份:首次公开发行股票招股意向书附录一")</f>
        <v>玉龙股份:首次公开发行股票招股意向书附录一</v>
      </c>
      <c r="F1211" t="s">
        <v>2093</v>
      </c>
    </row>
    <row r="1212" spans="1:6" x14ac:dyDescent="0.15">
      <c r="A1212" s="1">
        <v>40835</v>
      </c>
      <c r="B1212" t="s">
        <v>243</v>
      </c>
      <c r="C1212" t="s">
        <v>724</v>
      </c>
      <c r="D1212" t="s">
        <v>466</v>
      </c>
      <c r="E1212" s="4" t="str">
        <f>HYPERLINK("http://snap.windin.com/ns/bulletin.php?id=87754&amp;type=1", "玉龙股份:首次公开发行股票招股意向书摘要")</f>
        <v>玉龙股份:首次公开发行股票招股意向书摘要</v>
      </c>
      <c r="F1212" t="s">
        <v>2094</v>
      </c>
    </row>
    <row r="1213" spans="1:6" x14ac:dyDescent="0.15">
      <c r="A1213" s="1">
        <v>40835</v>
      </c>
      <c r="B1213" t="s">
        <v>256</v>
      </c>
      <c r="C1213" t="s">
        <v>738</v>
      </c>
      <c r="D1213" t="s">
        <v>546</v>
      </c>
      <c r="E1213" s="4" t="str">
        <f>HYPERLINK("http://snap.windin.com/ns/bulletin.php?id=407131&amp;type=1", "浙江永强:首次公开发行股票上市公告书（更新后）")</f>
        <v>浙江永强:首次公开发行股票上市公告书（更新后）</v>
      </c>
      <c r="F1213" t="s">
        <v>2095</v>
      </c>
    </row>
    <row r="1214" spans="1:6" x14ac:dyDescent="0.15">
      <c r="A1214" s="1">
        <v>40834</v>
      </c>
      <c r="B1214" t="s">
        <v>253</v>
      </c>
      <c r="C1214" t="s">
        <v>734</v>
      </c>
      <c r="D1214" t="s">
        <v>399</v>
      </c>
      <c r="E1214" s="4" t="str">
        <f>HYPERLINK("http://snap.windin.com/ns/bulletin.php?id=1666187&amp;type=1", "金达威:首次公开发行股票招股说明书")</f>
        <v>金达威:首次公开发行股票招股说明书</v>
      </c>
      <c r="F1214" t="s">
        <v>2096</v>
      </c>
    </row>
    <row r="1215" spans="1:6" x14ac:dyDescent="0.15">
      <c r="A1215" s="1">
        <v>40834</v>
      </c>
      <c r="B1215" t="s">
        <v>253</v>
      </c>
      <c r="C1215" t="s">
        <v>734</v>
      </c>
      <c r="D1215" t="s">
        <v>400</v>
      </c>
      <c r="E1215" s="4" t="str">
        <f>HYPERLINK("http://snap.windin.com/ns/bulletin.php?id=1755283&amp;type=1", "金达威:首次公开发行股票招股说明书摘要")</f>
        <v>金达威:首次公开发行股票招股说明书摘要</v>
      </c>
      <c r="F1215" t="s">
        <v>2097</v>
      </c>
    </row>
    <row r="1216" spans="1:6" x14ac:dyDescent="0.15">
      <c r="A1216" s="1">
        <v>40834</v>
      </c>
      <c r="B1216" t="s">
        <v>245</v>
      </c>
      <c r="C1216" t="s">
        <v>726</v>
      </c>
      <c r="D1216" t="s">
        <v>465</v>
      </c>
      <c r="E1216" s="4" t="str">
        <f>HYPERLINK("http://snap.windin.com/ns/bulletin.php?id=18535574&amp;type=1", "龙生股份:首次公开发行股票招股意向书")</f>
        <v>龙生股份:首次公开发行股票招股意向书</v>
      </c>
      <c r="F1216" t="s">
        <v>2098</v>
      </c>
    </row>
    <row r="1217" spans="1:6" x14ac:dyDescent="0.15">
      <c r="A1217" s="1">
        <v>40834</v>
      </c>
      <c r="B1217" t="s">
        <v>245</v>
      </c>
      <c r="C1217" t="s">
        <v>726</v>
      </c>
      <c r="D1217" t="s">
        <v>465</v>
      </c>
      <c r="E1217" s="4" t="str">
        <f>HYPERLINK("http://snap.windin.com/ns/bulletin.php?id=18518646&amp;type=1", "龙生股份:首次公开发行股票招股意向书")</f>
        <v>龙生股份:首次公开发行股票招股意向书</v>
      </c>
      <c r="F1217" t="s">
        <v>2099</v>
      </c>
    </row>
    <row r="1218" spans="1:6" x14ac:dyDescent="0.15">
      <c r="A1218" s="1">
        <v>40834</v>
      </c>
      <c r="B1218" t="s">
        <v>245</v>
      </c>
      <c r="C1218" t="s">
        <v>726</v>
      </c>
      <c r="D1218" t="s">
        <v>465</v>
      </c>
      <c r="E1218" s="4" t="str">
        <f>HYPERLINK("http://snap.windin.com/ns/bulletin.php?id=2034365&amp;type=1", "龙生股份:首次公开发行股票招股意向书")</f>
        <v>龙生股份:首次公开发行股票招股意向书</v>
      </c>
      <c r="F1218" t="s">
        <v>2100</v>
      </c>
    </row>
    <row r="1219" spans="1:6" x14ac:dyDescent="0.15">
      <c r="A1219" s="1">
        <v>40834</v>
      </c>
      <c r="B1219" t="s">
        <v>245</v>
      </c>
      <c r="C1219" t="s">
        <v>726</v>
      </c>
      <c r="D1219" t="s">
        <v>466</v>
      </c>
      <c r="E1219" s="4" t="str">
        <f>HYPERLINK("http://snap.windin.com/ns/bulletin.php?id=869197&amp;type=1", "龙生股份:首次公开发行股票招股意向书摘要")</f>
        <v>龙生股份:首次公开发行股票招股意向书摘要</v>
      </c>
      <c r="F1219" t="s">
        <v>2101</v>
      </c>
    </row>
    <row r="1220" spans="1:6" x14ac:dyDescent="0.15">
      <c r="A1220" s="1">
        <v>40833</v>
      </c>
      <c r="B1220" t="s">
        <v>257</v>
      </c>
      <c r="C1220" t="s">
        <v>739</v>
      </c>
      <c r="D1220" t="s">
        <v>402</v>
      </c>
      <c r="E1220" s="4" t="str">
        <f>HYPERLINK("http://snap.windin.com/ns/bulletin.php?id=491244&amp;type=1", "中国水电:首次公开发行A股股票上市公告书")</f>
        <v>中国水电:首次公开发行A股股票上市公告书</v>
      </c>
      <c r="F1220" t="s">
        <v>2102</v>
      </c>
    </row>
    <row r="1221" spans="1:6" x14ac:dyDescent="0.15">
      <c r="A1221" s="1">
        <v>40833</v>
      </c>
      <c r="B1221" t="s">
        <v>257</v>
      </c>
      <c r="C1221" t="s">
        <v>739</v>
      </c>
      <c r="D1221" t="s">
        <v>462</v>
      </c>
      <c r="E1221" s="4" t="str">
        <f>HYPERLINK("http://snap.windin.com/ns/bulletin.php?id=501775&amp;type=1", "中国水电:首次公开发行A股股票招股说明书")</f>
        <v>中国水电:首次公开发行A股股票招股说明书</v>
      </c>
      <c r="F1221" t="s">
        <v>2103</v>
      </c>
    </row>
    <row r="1222" spans="1:6" x14ac:dyDescent="0.15">
      <c r="A1222" s="1">
        <v>40833</v>
      </c>
      <c r="B1222" t="s">
        <v>255</v>
      </c>
      <c r="C1222" t="s">
        <v>736</v>
      </c>
      <c r="D1222" t="s">
        <v>455</v>
      </c>
      <c r="E1222" s="4" t="str">
        <f>HYPERLINK("http://snap.windin.com/ns/bulletin.php?id=906995&amp;type=1", "和佳股份:首次公开发行股票并在创业板上市招股说明书")</f>
        <v>和佳股份:首次公开发行股票并在创业板上市招股说明书</v>
      </c>
      <c r="F1222" t="s">
        <v>2104</v>
      </c>
    </row>
    <row r="1223" spans="1:6" x14ac:dyDescent="0.15">
      <c r="A1223" s="1">
        <v>40833</v>
      </c>
      <c r="B1223" t="s">
        <v>247</v>
      </c>
      <c r="C1223" t="s">
        <v>728</v>
      </c>
      <c r="D1223" t="s">
        <v>465</v>
      </c>
      <c r="E1223" s="4" t="str">
        <f>HYPERLINK("http://snap.windin.com/ns/bulletin.php?id=769519&amp;type=1", "仁智油服:首次公开发行股票招股意向书")</f>
        <v>仁智油服:首次公开发行股票招股意向书</v>
      </c>
      <c r="F1223" t="s">
        <v>2105</v>
      </c>
    </row>
    <row r="1224" spans="1:6" x14ac:dyDescent="0.15">
      <c r="A1224" s="1">
        <v>40833</v>
      </c>
      <c r="B1224" t="s">
        <v>247</v>
      </c>
      <c r="C1224" t="s">
        <v>728</v>
      </c>
      <c r="D1224" t="s">
        <v>466</v>
      </c>
      <c r="E1224" s="4" t="str">
        <f>HYPERLINK("http://snap.windin.com/ns/bulletin.php?id=108972&amp;type=1", "仁智油服:首次公开发行股票招股意向书摘要")</f>
        <v>仁智油服:首次公开发行股票招股意向书摘要</v>
      </c>
      <c r="F1224" t="s">
        <v>2106</v>
      </c>
    </row>
    <row r="1225" spans="1:6" x14ac:dyDescent="0.15">
      <c r="A1225" s="1">
        <v>40833</v>
      </c>
      <c r="B1225" t="s">
        <v>258</v>
      </c>
      <c r="C1225" t="s">
        <v>740</v>
      </c>
      <c r="D1225" t="s">
        <v>389</v>
      </c>
      <c r="E1225" s="4" t="str">
        <f>HYPERLINK("http://snap.windin.com/ns/bulletin.php?id=219400&amp;type=1", "永大集团:首次公开发行股票上市公告书")</f>
        <v>永大集团:首次公开发行股票上市公告书</v>
      </c>
      <c r="F1225" t="s">
        <v>2107</v>
      </c>
    </row>
    <row r="1226" spans="1:6" x14ac:dyDescent="0.15">
      <c r="A1226" s="1">
        <v>40830</v>
      </c>
      <c r="B1226" t="s">
        <v>248</v>
      </c>
      <c r="C1226" t="s">
        <v>729</v>
      </c>
      <c r="D1226" t="s">
        <v>471</v>
      </c>
      <c r="E1226" s="4" t="str">
        <f>HYPERLINK("http://snap.windin.com/ns/bulletin.php?id=1821239&amp;type=1", "梅安森:首次公开发行股票并在创业板上市招股意向书")</f>
        <v>梅安森:首次公开发行股票并在创业板上市招股意向书</v>
      </c>
      <c r="F1226" t="s">
        <v>2108</v>
      </c>
    </row>
    <row r="1227" spans="1:6" x14ac:dyDescent="0.15">
      <c r="A1227" s="1">
        <v>40830</v>
      </c>
      <c r="B1227" t="s">
        <v>244</v>
      </c>
      <c r="C1227" t="s">
        <v>725</v>
      </c>
      <c r="D1227" t="s">
        <v>465</v>
      </c>
      <c r="E1227" s="4" t="str">
        <f>HYPERLINK("http://snap.windin.com/ns/bulletin.php?id=1697705&amp;type=1", "成都路桥:首次公开发行股票招股意向书")</f>
        <v>成都路桥:首次公开发行股票招股意向书</v>
      </c>
      <c r="F1227" t="s">
        <v>2109</v>
      </c>
    </row>
    <row r="1228" spans="1:6" x14ac:dyDescent="0.15">
      <c r="A1228" s="1">
        <v>40830</v>
      </c>
      <c r="B1228" t="s">
        <v>244</v>
      </c>
      <c r="C1228" t="s">
        <v>725</v>
      </c>
      <c r="D1228" t="s">
        <v>466</v>
      </c>
      <c r="E1228" s="4" t="str">
        <f>HYPERLINK("http://snap.windin.com/ns/bulletin.php?id=2017634&amp;type=1", "成都路桥:首次公开发行股票招股意向书摘要")</f>
        <v>成都路桥:首次公开发行股票招股意向书摘要</v>
      </c>
      <c r="F1228" t="s">
        <v>2110</v>
      </c>
    </row>
    <row r="1229" spans="1:6" x14ac:dyDescent="0.15">
      <c r="A1229" s="1">
        <v>40830</v>
      </c>
      <c r="B1229" t="s">
        <v>252</v>
      </c>
      <c r="C1229" t="s">
        <v>733</v>
      </c>
      <c r="D1229" t="s">
        <v>469</v>
      </c>
      <c r="E1229" s="4" t="str">
        <f>HYPERLINK("http://snap.windin.com/ns/bulletin.php?id=86890&amp;type=1", "金磊股份:首次公开发行股票并上市招股说明书")</f>
        <v>金磊股份:首次公开发行股票并上市招股说明书</v>
      </c>
      <c r="F1229" t="s">
        <v>2111</v>
      </c>
    </row>
    <row r="1230" spans="1:6" x14ac:dyDescent="0.15">
      <c r="A1230" s="1">
        <v>40830</v>
      </c>
      <c r="B1230" t="s">
        <v>252</v>
      </c>
      <c r="C1230" t="s">
        <v>733</v>
      </c>
      <c r="D1230" t="s">
        <v>468</v>
      </c>
      <c r="E1230" s="4" t="str">
        <f>HYPERLINK("http://snap.windin.com/ns/bulletin.php?id=459789&amp;type=1", "金磊股份:首次公开发行股票并上市招股说明书摘要")</f>
        <v>金磊股份:首次公开发行股票并上市招股说明书摘要</v>
      </c>
      <c r="F1230" t="s">
        <v>2112</v>
      </c>
    </row>
    <row r="1231" spans="1:6" x14ac:dyDescent="0.15">
      <c r="A1231" s="1">
        <v>40829</v>
      </c>
      <c r="B1231" t="s">
        <v>249</v>
      </c>
      <c r="C1231" t="s">
        <v>730</v>
      </c>
      <c r="D1231" t="s">
        <v>471</v>
      </c>
      <c r="E1231" s="4" t="str">
        <f>HYPERLINK("http://snap.windin.com/ns/bulletin.php?id=1610736&amp;type=1", "开能环保:首次公开发行股票并在创业板上市招股意向书")</f>
        <v>开能环保:首次公开发行股票并在创业板上市招股意向书</v>
      </c>
      <c r="F1231" t="s">
        <v>2113</v>
      </c>
    </row>
    <row r="1232" spans="1:6" x14ac:dyDescent="0.15">
      <c r="A1232" s="1">
        <v>40828</v>
      </c>
      <c r="B1232" t="s">
        <v>250</v>
      </c>
      <c r="C1232" t="s">
        <v>731</v>
      </c>
      <c r="D1232" t="s">
        <v>471</v>
      </c>
      <c r="E1232" s="4" t="str">
        <f>HYPERLINK("http://snap.windin.com/ns/bulletin.php?id=942499&amp;type=1", "阳光电源:首次公开发行股票并在创业板上市招股意向书")</f>
        <v>阳光电源:首次公开发行股票并在创业板上市招股意向书</v>
      </c>
      <c r="F1232" t="s">
        <v>2114</v>
      </c>
    </row>
    <row r="1233" spans="1:6" x14ac:dyDescent="0.15">
      <c r="A1233" s="1">
        <v>40828</v>
      </c>
      <c r="B1233" t="s">
        <v>259</v>
      </c>
      <c r="C1233" t="s">
        <v>741</v>
      </c>
      <c r="D1233" t="s">
        <v>744</v>
      </c>
      <c r="E1233" s="4" t="str">
        <f>HYPERLINK("http://snap.windin.com/ns/bulletin.php?id=158660&amp;type=1", "中威电子:关于《杭州中威电子股份有限公司首次公开发行股票并在创业板上市上市公告书》的更正公告")</f>
        <v>中威电子:关于《杭州中威电子股份有限公司首次公开发行股票并在创业板上市上市公告书》的更正公告</v>
      </c>
      <c r="F1233" t="s">
        <v>2115</v>
      </c>
    </row>
    <row r="1234" spans="1:6" x14ac:dyDescent="0.15">
      <c r="A1234" s="1">
        <v>40828</v>
      </c>
      <c r="B1234" t="s">
        <v>259</v>
      </c>
      <c r="C1234" t="s">
        <v>741</v>
      </c>
      <c r="D1234" t="s">
        <v>742</v>
      </c>
      <c r="E1234" s="4" t="str">
        <f>HYPERLINK("http://snap.windin.com/ns/bulletin.php?id=1532549&amp;type=1", "中威电子:首次公开发行股票并在创业板上市上市公告书（更新后）")</f>
        <v>中威电子:首次公开发行股票并在创业板上市上市公告书（更新后）</v>
      </c>
      <c r="F1234" t="s">
        <v>2116</v>
      </c>
    </row>
    <row r="1235" spans="1:6" x14ac:dyDescent="0.15">
      <c r="A1235" s="1">
        <v>40828</v>
      </c>
      <c r="B1235" t="s">
        <v>246</v>
      </c>
      <c r="C1235" t="s">
        <v>727</v>
      </c>
      <c r="D1235" t="s">
        <v>465</v>
      </c>
      <c r="E1235" s="4" t="str">
        <f>HYPERLINK("http://snap.windin.com/ns/bulletin.php?id=18483558&amp;type=1", "宜昌交运:首次公开发行股票招股意向书")</f>
        <v>宜昌交运:首次公开发行股票招股意向书</v>
      </c>
      <c r="F1235" t="s">
        <v>2117</v>
      </c>
    </row>
    <row r="1236" spans="1:6" x14ac:dyDescent="0.15">
      <c r="A1236" s="1">
        <v>40828</v>
      </c>
      <c r="B1236" t="s">
        <v>246</v>
      </c>
      <c r="C1236" t="s">
        <v>727</v>
      </c>
      <c r="D1236" t="s">
        <v>465</v>
      </c>
      <c r="E1236" s="4" t="str">
        <f>HYPERLINK("http://snap.windin.com/ns/bulletin.php?id=1130084&amp;type=1", "宜昌交运:首次公开发行股票招股意向书")</f>
        <v>宜昌交运:首次公开发行股票招股意向书</v>
      </c>
      <c r="F1236" t="s">
        <v>2118</v>
      </c>
    </row>
    <row r="1237" spans="1:6" x14ac:dyDescent="0.15">
      <c r="A1237" s="1">
        <v>40828</v>
      </c>
      <c r="B1237" t="s">
        <v>246</v>
      </c>
      <c r="C1237" t="s">
        <v>727</v>
      </c>
      <c r="D1237" t="s">
        <v>466</v>
      </c>
      <c r="E1237" s="4" t="str">
        <f>HYPERLINK("http://snap.windin.com/ns/bulletin.php?id=1791991&amp;type=1", "宜昌交运:首次公开发行股票招股意向书摘要")</f>
        <v>宜昌交运:首次公开发行股票招股意向书摘要</v>
      </c>
      <c r="F1237" t="s">
        <v>2119</v>
      </c>
    </row>
    <row r="1238" spans="1:6" x14ac:dyDescent="0.15">
      <c r="A1238" s="1">
        <v>40828</v>
      </c>
      <c r="B1238" t="s">
        <v>260</v>
      </c>
      <c r="C1238" t="s">
        <v>743</v>
      </c>
      <c r="D1238" t="s">
        <v>389</v>
      </c>
      <c r="E1238" s="4" t="str">
        <f>HYPERLINK("http://snap.windin.com/ns/bulletin.php?id=891127&amp;type=1", "亚玛顿:首次公开发行股票上市公告书")</f>
        <v>亚玛顿:首次公开发行股票上市公告书</v>
      </c>
      <c r="F1238" t="s">
        <v>2120</v>
      </c>
    </row>
    <row r="1239" spans="1:6" x14ac:dyDescent="0.15">
      <c r="A1239" s="1">
        <v>40827</v>
      </c>
      <c r="B1239" t="s">
        <v>251</v>
      </c>
      <c r="C1239" t="s">
        <v>732</v>
      </c>
      <c r="D1239" t="s">
        <v>465</v>
      </c>
      <c r="E1239" s="4" t="str">
        <f>HYPERLINK("http://snap.windin.com/ns/bulletin.php?id=512036&amp;type=1", "恒立油缸:首次公开发行股票招股意向书")</f>
        <v>恒立油缸:首次公开发行股票招股意向书</v>
      </c>
      <c r="F1239" t="s">
        <v>2121</v>
      </c>
    </row>
    <row r="1240" spans="1:6" x14ac:dyDescent="0.15">
      <c r="A1240" s="1">
        <v>40827</v>
      </c>
      <c r="B1240" t="s">
        <v>251</v>
      </c>
      <c r="C1240" t="s">
        <v>732</v>
      </c>
      <c r="D1240" t="s">
        <v>522</v>
      </c>
      <c r="E1240" s="4" t="str">
        <f>HYPERLINK("http://snap.windin.com/ns/bulletin.php?id=115615&amp;type=1", "恒立油缸:首次公开发行股票招股意向书附录二")</f>
        <v>恒立油缸:首次公开发行股票招股意向书附录二</v>
      </c>
      <c r="F1240" t="s">
        <v>2122</v>
      </c>
    </row>
    <row r="1241" spans="1:6" x14ac:dyDescent="0.15">
      <c r="A1241" s="1">
        <v>40827</v>
      </c>
      <c r="B1241" t="s">
        <v>251</v>
      </c>
      <c r="C1241" t="s">
        <v>732</v>
      </c>
      <c r="D1241" t="s">
        <v>521</v>
      </c>
      <c r="E1241" s="4" t="str">
        <f>HYPERLINK("http://snap.windin.com/ns/bulletin.php?id=1974585&amp;type=1", "恒立油缸:首次公开发行股票招股意向书附录三")</f>
        <v>恒立油缸:首次公开发行股票招股意向书附录三</v>
      </c>
      <c r="F1241" t="s">
        <v>2123</v>
      </c>
    </row>
    <row r="1242" spans="1:6" x14ac:dyDescent="0.15">
      <c r="A1242" s="1">
        <v>40827</v>
      </c>
      <c r="B1242" t="s">
        <v>251</v>
      </c>
      <c r="C1242" t="s">
        <v>732</v>
      </c>
      <c r="D1242" t="s">
        <v>523</v>
      </c>
      <c r="E1242" s="4" t="str">
        <f>HYPERLINK("http://snap.windin.com/ns/bulletin.php?id=1578670&amp;type=1", "恒立油缸:首次公开发行股票招股意向书附录四")</f>
        <v>恒立油缸:首次公开发行股票招股意向书附录四</v>
      </c>
      <c r="F1242" t="s">
        <v>2124</v>
      </c>
    </row>
    <row r="1243" spans="1:6" x14ac:dyDescent="0.15">
      <c r="A1243" s="1">
        <v>40827</v>
      </c>
      <c r="B1243" t="s">
        <v>251</v>
      </c>
      <c r="C1243" t="s">
        <v>732</v>
      </c>
      <c r="D1243" t="s">
        <v>520</v>
      </c>
      <c r="E1243" s="4" t="str">
        <f>HYPERLINK("http://snap.windin.com/ns/bulletin.php?id=1193012&amp;type=1", "恒立油缸:首次公开发行股票招股意向书附录一")</f>
        <v>恒立油缸:首次公开发行股票招股意向书附录一</v>
      </c>
      <c r="F1243" t="s">
        <v>2125</v>
      </c>
    </row>
    <row r="1244" spans="1:6" x14ac:dyDescent="0.15">
      <c r="A1244" s="1">
        <v>40827</v>
      </c>
      <c r="B1244" t="s">
        <v>251</v>
      </c>
      <c r="C1244" t="s">
        <v>732</v>
      </c>
      <c r="D1244" t="s">
        <v>466</v>
      </c>
      <c r="E1244" s="4" t="str">
        <f>HYPERLINK("http://snap.windin.com/ns/bulletin.php?id=1297268&amp;type=1", "恒立油缸:首次公开发行股票招股意向书摘要")</f>
        <v>恒立油缸:首次公开发行股票招股意向书摘要</v>
      </c>
      <c r="F1244" t="s">
        <v>2126</v>
      </c>
    </row>
    <row r="1245" spans="1:6" x14ac:dyDescent="0.15">
      <c r="A1245" s="1">
        <v>40827</v>
      </c>
      <c r="B1245" t="s">
        <v>259</v>
      </c>
      <c r="C1245" t="s">
        <v>741</v>
      </c>
      <c r="D1245" t="s">
        <v>412</v>
      </c>
      <c r="E1245" s="4" t="str">
        <f>HYPERLINK("http://snap.windin.com/ns/bulletin.php?id=1900986&amp;type=1", "中威电子:首次公开发行股票并在创业板上市上市公告书")</f>
        <v>中威电子:首次公开发行股票并在创业板上市上市公告书</v>
      </c>
      <c r="F1245" t="s">
        <v>2127</v>
      </c>
    </row>
    <row r="1246" spans="1:6" x14ac:dyDescent="0.15">
      <c r="A1246" s="1">
        <v>40827</v>
      </c>
      <c r="B1246" t="s">
        <v>259</v>
      </c>
      <c r="C1246" t="s">
        <v>741</v>
      </c>
      <c r="D1246" t="s">
        <v>383</v>
      </c>
      <c r="E1246" s="4" t="str">
        <f>HYPERLINK("http://snap.windin.com/ns/bulletin.php?id=1407506&amp;type=1", "中威电子:首次公开发行股票并在创业板上市上市公告书提示性公告")</f>
        <v>中威电子:首次公开发行股票并在创业板上市上市公告书提示性公告</v>
      </c>
      <c r="F1246" t="s">
        <v>2128</v>
      </c>
    </row>
    <row r="1247" spans="1:6" x14ac:dyDescent="0.15">
      <c r="A1247" s="1">
        <v>40827</v>
      </c>
      <c r="B1247" t="s">
        <v>261</v>
      </c>
      <c r="C1247" t="s">
        <v>745</v>
      </c>
      <c r="D1247" t="s">
        <v>383</v>
      </c>
      <c r="E1247" s="4" t="str">
        <f>HYPERLINK("http://snap.windin.com/ns/bulletin.php?id=1404494&amp;type=1", "联建光电:首次公开发行股票并在创业板上市上市公告书提示性公告")</f>
        <v>联建光电:首次公开发行股票并在创业板上市上市公告书提示性公告</v>
      </c>
      <c r="F1247" t="s">
        <v>2129</v>
      </c>
    </row>
    <row r="1248" spans="1:6" x14ac:dyDescent="0.15">
      <c r="A1248" s="1">
        <v>40827</v>
      </c>
      <c r="B1248" t="s">
        <v>261</v>
      </c>
      <c r="C1248" t="s">
        <v>745</v>
      </c>
      <c r="D1248" t="s">
        <v>408</v>
      </c>
      <c r="E1248" s="4" t="str">
        <f>HYPERLINK("http://snap.windin.com/ns/bulletin.php?id=812963&amp;type=1", "联建光电:首次公开发行股票并在创业板上市之上市公告书")</f>
        <v>联建光电:首次公开发行股票并在创业板上市之上市公告书</v>
      </c>
      <c r="F1248" t="s">
        <v>2130</v>
      </c>
    </row>
    <row r="1249" spans="1:6" x14ac:dyDescent="0.15">
      <c r="A1249" s="1">
        <v>40827</v>
      </c>
      <c r="B1249" t="s">
        <v>253</v>
      </c>
      <c r="C1249" t="s">
        <v>734</v>
      </c>
      <c r="D1249" t="s">
        <v>465</v>
      </c>
      <c r="E1249" s="4" t="str">
        <f>HYPERLINK("http://snap.windin.com/ns/bulletin.php?id=18401540&amp;type=1", "金达威:首次公开发行股票招股意向书")</f>
        <v>金达威:首次公开发行股票招股意向书</v>
      </c>
      <c r="F1249" t="s">
        <v>2131</v>
      </c>
    </row>
    <row r="1250" spans="1:6" x14ac:dyDescent="0.15">
      <c r="A1250" s="1">
        <v>40827</v>
      </c>
      <c r="B1250" t="s">
        <v>253</v>
      </c>
      <c r="C1250" t="s">
        <v>734</v>
      </c>
      <c r="D1250" t="s">
        <v>465</v>
      </c>
      <c r="E1250" s="4" t="str">
        <f>HYPERLINK("http://snap.windin.com/ns/bulletin.php?id=1484190&amp;type=1", "金达威:首次公开发行股票招股意向书")</f>
        <v>金达威:首次公开发行股票招股意向书</v>
      </c>
      <c r="F1250" t="s">
        <v>2132</v>
      </c>
    </row>
    <row r="1251" spans="1:6" x14ac:dyDescent="0.15">
      <c r="A1251" s="1">
        <v>40827</v>
      </c>
      <c r="B1251" t="s">
        <v>253</v>
      </c>
      <c r="C1251" t="s">
        <v>734</v>
      </c>
      <c r="D1251" t="s">
        <v>466</v>
      </c>
      <c r="E1251" s="4" t="str">
        <f>HYPERLINK("http://snap.windin.com/ns/bulletin.php?id=2091414&amp;type=1", "金达威:首次公开发行股票招股意向书摘要")</f>
        <v>金达威:首次公开发行股票招股意向书摘要</v>
      </c>
      <c r="F1251" t="s">
        <v>2133</v>
      </c>
    </row>
    <row r="1252" spans="1:6" x14ac:dyDescent="0.15">
      <c r="A1252" s="1">
        <v>40826</v>
      </c>
      <c r="B1252" t="s">
        <v>255</v>
      </c>
      <c r="C1252" t="s">
        <v>736</v>
      </c>
      <c r="D1252" t="s">
        <v>471</v>
      </c>
      <c r="E1252" s="4" t="str">
        <f>HYPERLINK("http://snap.windin.com/ns/bulletin.php?id=979251&amp;type=1", "和佳股份:首次公开发行股票并在创业板上市招股意向书")</f>
        <v>和佳股份:首次公开发行股票并在创业板上市招股意向书</v>
      </c>
      <c r="F1252" t="s">
        <v>2134</v>
      </c>
    </row>
    <row r="1253" spans="1:6" x14ac:dyDescent="0.15">
      <c r="A1253" s="1">
        <v>40816</v>
      </c>
      <c r="B1253" t="s">
        <v>254</v>
      </c>
      <c r="C1253" t="s">
        <v>735</v>
      </c>
      <c r="D1253" t="s">
        <v>746</v>
      </c>
      <c r="E1253" s="4" t="str">
        <f>HYPERLINK("http://snap.windin.com/ns/bulletin.php?id=2033528&amp;type=1", "紫光华宇:关于《北京紫光华宇软件股份有限公司首次公开发行股票并在创业板上市招股说明书》的更正公告")</f>
        <v>紫光华宇:关于《北京紫光华宇软件股份有限公司首次公开发行股票并在创业板上市招股说明书》的更正公告</v>
      </c>
      <c r="F1253" t="s">
        <v>2135</v>
      </c>
    </row>
    <row r="1254" spans="1:6" x14ac:dyDescent="0.15">
      <c r="A1254" s="1">
        <v>40816</v>
      </c>
      <c r="B1254" t="s">
        <v>254</v>
      </c>
      <c r="C1254" t="s">
        <v>735</v>
      </c>
      <c r="D1254" t="s">
        <v>455</v>
      </c>
      <c r="E1254" s="4" t="str">
        <f>HYPERLINK("http://snap.windin.com/ns/bulletin.php?id=1701486&amp;type=1", "紫光华宇:首次公开发行股票并在创业板上市招股说明书")</f>
        <v>紫光华宇:首次公开发行股票并在创业板上市招股说明书</v>
      </c>
      <c r="F1254" t="s">
        <v>2136</v>
      </c>
    </row>
    <row r="1255" spans="1:6" x14ac:dyDescent="0.15">
      <c r="A1255" s="1">
        <v>40816</v>
      </c>
      <c r="B1255" t="s">
        <v>254</v>
      </c>
      <c r="C1255" t="s">
        <v>735</v>
      </c>
      <c r="D1255" t="s">
        <v>626</v>
      </c>
      <c r="E1255" s="4" t="str">
        <f>HYPERLINK("http://snap.windin.com/ns/bulletin.php?id=1609465&amp;type=1", "紫光华宇:首次公开发行股票并在创业板上市招股说明书（更新后）")</f>
        <v>紫光华宇:首次公开发行股票并在创业板上市招股说明书（更新后）</v>
      </c>
      <c r="F1255" t="s">
        <v>2137</v>
      </c>
    </row>
    <row r="1256" spans="1:6" x14ac:dyDescent="0.15">
      <c r="A1256" s="1">
        <v>40816</v>
      </c>
      <c r="B1256" t="s">
        <v>258</v>
      </c>
      <c r="C1256" t="s">
        <v>740</v>
      </c>
      <c r="D1256" t="s">
        <v>399</v>
      </c>
      <c r="E1256" s="4" t="str">
        <f>HYPERLINK("http://snap.windin.com/ns/bulletin.php?id=1022362&amp;type=1", "永大集团:首次公开发行股票招股说明书")</f>
        <v>永大集团:首次公开发行股票招股说明书</v>
      </c>
      <c r="F1256" t="s">
        <v>2138</v>
      </c>
    </row>
    <row r="1257" spans="1:6" x14ac:dyDescent="0.15">
      <c r="A1257" s="1">
        <v>40816</v>
      </c>
      <c r="B1257" t="s">
        <v>258</v>
      </c>
      <c r="C1257" t="s">
        <v>740</v>
      </c>
      <c r="D1257" t="s">
        <v>400</v>
      </c>
      <c r="E1257" s="4" t="str">
        <f>HYPERLINK("http://snap.windin.com/ns/bulletin.php?id=674117&amp;type=1", "永大集团:首次公开发行股票招股说明书摘要")</f>
        <v>永大集团:首次公开发行股票招股说明书摘要</v>
      </c>
      <c r="F1257" t="s">
        <v>2139</v>
      </c>
    </row>
    <row r="1258" spans="1:6" x14ac:dyDescent="0.15">
      <c r="A1258" s="1">
        <v>40814</v>
      </c>
      <c r="B1258" t="s">
        <v>263</v>
      </c>
      <c r="C1258" t="s">
        <v>748</v>
      </c>
      <c r="D1258" t="s">
        <v>402</v>
      </c>
      <c r="E1258" s="4" t="str">
        <f>HYPERLINK("http://snap.windin.com/ns/bulletin.php?id=1688059&amp;type=1", "丰林集团:首次公开发行A股股票上市公告书")</f>
        <v>丰林集团:首次公开发行A股股票上市公告书</v>
      </c>
      <c r="F1258" t="s">
        <v>2140</v>
      </c>
    </row>
    <row r="1259" spans="1:6" x14ac:dyDescent="0.15">
      <c r="A1259" s="1">
        <v>40814</v>
      </c>
      <c r="B1259" t="s">
        <v>263</v>
      </c>
      <c r="C1259" t="s">
        <v>748</v>
      </c>
      <c r="D1259" t="s">
        <v>399</v>
      </c>
      <c r="E1259" s="4" t="str">
        <f>HYPERLINK("http://snap.windin.com/ns/bulletin.php?id=811762&amp;type=1", "丰林集团:首次公开发行股票招股说明书")</f>
        <v>丰林集团:首次公开发行股票招股说明书</v>
      </c>
      <c r="F1259" t="s">
        <v>2141</v>
      </c>
    </row>
    <row r="1260" spans="1:6" x14ac:dyDescent="0.15">
      <c r="A1260" s="1">
        <v>40814</v>
      </c>
      <c r="B1260" t="s">
        <v>252</v>
      </c>
      <c r="C1260" t="s">
        <v>733</v>
      </c>
      <c r="D1260" t="s">
        <v>478</v>
      </c>
      <c r="E1260" s="4" t="str">
        <f>HYPERLINK("http://snap.windin.com/ns/bulletin.php?id=1340245&amp;type=1", "金磊股份:首次公开发行股票并上市招股意向书")</f>
        <v>金磊股份:首次公开发行股票并上市招股意向书</v>
      </c>
      <c r="F1260" t="s">
        <v>2142</v>
      </c>
    </row>
    <row r="1261" spans="1:6" x14ac:dyDescent="0.15">
      <c r="A1261" s="1">
        <v>40814</v>
      </c>
      <c r="B1261" t="s">
        <v>252</v>
      </c>
      <c r="C1261" t="s">
        <v>733</v>
      </c>
      <c r="D1261" t="s">
        <v>477</v>
      </c>
      <c r="E1261" s="4" t="str">
        <f>HYPERLINK("http://snap.windin.com/ns/bulletin.php?id=1819498&amp;type=1", "金磊股份:首次公开发行股票并上市招股意向书摘要")</f>
        <v>金磊股份:首次公开发行股票并上市招股意向书摘要</v>
      </c>
      <c r="F1261" t="s">
        <v>2143</v>
      </c>
    </row>
    <row r="1262" spans="1:6" x14ac:dyDescent="0.15">
      <c r="A1262" s="1">
        <v>40814</v>
      </c>
      <c r="B1262" t="s">
        <v>252</v>
      </c>
      <c r="C1262" t="s">
        <v>733</v>
      </c>
      <c r="D1262" t="s">
        <v>465</v>
      </c>
      <c r="E1262" s="4" t="str">
        <f>HYPERLINK("http://snap.windin.com/ns/bulletin.php?id=19054738&amp;type=1", "金磊股份:首次公开发行股票招股意向书")</f>
        <v>金磊股份:首次公开发行股票招股意向书</v>
      </c>
      <c r="F1262" t="s">
        <v>2144</v>
      </c>
    </row>
    <row r="1263" spans="1:6" x14ac:dyDescent="0.15">
      <c r="A1263" s="1">
        <v>40814</v>
      </c>
      <c r="B1263" t="s">
        <v>252</v>
      </c>
      <c r="C1263" t="s">
        <v>733</v>
      </c>
      <c r="D1263" t="s">
        <v>465</v>
      </c>
      <c r="E1263" s="4" t="str">
        <f>HYPERLINK("http://snap.windin.com/ns/bulletin.php?id=18523528&amp;type=1", "金磊股份:首次公开发行股票招股意向书")</f>
        <v>金磊股份:首次公开发行股票招股意向书</v>
      </c>
      <c r="F1263" t="s">
        <v>2145</v>
      </c>
    </row>
    <row r="1264" spans="1:6" x14ac:dyDescent="0.15">
      <c r="A1264" s="1">
        <v>40814</v>
      </c>
      <c r="B1264" t="s">
        <v>262</v>
      </c>
      <c r="C1264" t="s">
        <v>747</v>
      </c>
      <c r="D1264" t="s">
        <v>389</v>
      </c>
      <c r="E1264" s="4" t="str">
        <f>HYPERLINK("http://snap.windin.com/ns/bulletin.php?id=2026804&amp;type=1", "大连三垒:首次公开发行股票上市公告书")</f>
        <v>大连三垒:首次公开发行股票上市公告书</v>
      </c>
      <c r="F1264" t="s">
        <v>2146</v>
      </c>
    </row>
    <row r="1265" spans="1:6" x14ac:dyDescent="0.15">
      <c r="A1265" s="1">
        <v>40814</v>
      </c>
      <c r="B1265" t="s">
        <v>265</v>
      </c>
      <c r="C1265" t="s">
        <v>750</v>
      </c>
      <c r="D1265" t="s">
        <v>389</v>
      </c>
      <c r="E1265" s="4" t="str">
        <f>HYPERLINK("http://snap.windin.com/ns/bulletin.php?id=164726&amp;type=1", "瑞和股份:首次公开发行股票上市公告书")</f>
        <v>瑞和股份:首次公开发行股票上市公告书</v>
      </c>
      <c r="F1265" t="s">
        <v>2147</v>
      </c>
    </row>
    <row r="1266" spans="1:6" x14ac:dyDescent="0.15">
      <c r="A1266" s="1">
        <v>40814</v>
      </c>
      <c r="B1266" t="s">
        <v>264</v>
      </c>
      <c r="C1266" t="s">
        <v>749</v>
      </c>
      <c r="D1266" t="s">
        <v>389</v>
      </c>
      <c r="E1266" s="4" t="str">
        <f>HYPERLINK("http://snap.windin.com/ns/bulletin.php?id=1509406&amp;type=1", "巨龙管业:首次公开发行股票上市公告书")</f>
        <v>巨龙管业:首次公开发行股票上市公告书</v>
      </c>
      <c r="F1266" t="s">
        <v>2148</v>
      </c>
    </row>
    <row r="1267" spans="1:6" x14ac:dyDescent="0.15">
      <c r="A1267" s="1">
        <v>40813</v>
      </c>
      <c r="B1267" t="s">
        <v>266</v>
      </c>
      <c r="C1267" t="s">
        <v>751</v>
      </c>
      <c r="D1267" t="s">
        <v>402</v>
      </c>
      <c r="E1267" s="4" t="str">
        <f>HYPERLINK("http://snap.windin.com/ns/bulletin.php?id=556638&amp;type=1", "长城汽车:首次公开发行A股股票上市公告书")</f>
        <v>长城汽车:首次公开发行A股股票上市公告书</v>
      </c>
      <c r="F1267" t="s">
        <v>2149</v>
      </c>
    </row>
    <row r="1268" spans="1:6" x14ac:dyDescent="0.15">
      <c r="A1268" s="1">
        <v>40813</v>
      </c>
      <c r="B1268" t="s">
        <v>266</v>
      </c>
      <c r="C1268" t="s">
        <v>751</v>
      </c>
      <c r="D1268" t="s">
        <v>462</v>
      </c>
      <c r="E1268" s="4" t="str">
        <f>HYPERLINK("http://snap.windin.com/ns/bulletin.php?id=128630&amp;type=1", "长城汽车:首次公开发行A股股票招股说明书")</f>
        <v>长城汽车:首次公开发行A股股票招股说明书</v>
      </c>
      <c r="F1268" t="s">
        <v>2150</v>
      </c>
    </row>
    <row r="1269" spans="1:6" x14ac:dyDescent="0.15">
      <c r="A1269" s="1">
        <v>40812</v>
      </c>
      <c r="B1269" t="s">
        <v>259</v>
      </c>
      <c r="C1269" t="s">
        <v>741</v>
      </c>
      <c r="D1269" t="s">
        <v>455</v>
      </c>
      <c r="E1269" s="4" t="str">
        <f>HYPERLINK("http://snap.windin.com/ns/bulletin.php?id=1744752&amp;type=1", "中威电子:首次公开发行股票并在创业板上市招股说明书")</f>
        <v>中威电子:首次公开发行股票并在创业板上市招股说明书</v>
      </c>
      <c r="F1269" t="s">
        <v>2151</v>
      </c>
    </row>
    <row r="1270" spans="1:6" x14ac:dyDescent="0.15">
      <c r="A1270" s="1">
        <v>40812</v>
      </c>
      <c r="B1270" t="s">
        <v>261</v>
      </c>
      <c r="C1270" t="s">
        <v>745</v>
      </c>
      <c r="D1270" t="s">
        <v>455</v>
      </c>
      <c r="E1270" s="4" t="str">
        <f>HYPERLINK("http://snap.windin.com/ns/bulletin.php?id=170224&amp;type=1", "联建光电:首次公开发行股票并在创业板上市招股说明书")</f>
        <v>联建光电:首次公开发行股票并在创业板上市招股说明书</v>
      </c>
      <c r="F1270" t="s">
        <v>2152</v>
      </c>
    </row>
    <row r="1271" spans="1:6" x14ac:dyDescent="0.15">
      <c r="A1271" s="1">
        <v>40812</v>
      </c>
      <c r="B1271" t="s">
        <v>269</v>
      </c>
      <c r="C1271" t="s">
        <v>754</v>
      </c>
      <c r="D1271" t="s">
        <v>417</v>
      </c>
      <c r="E1271" s="4" t="str">
        <f>HYPERLINK("http://snap.windin.com/ns/bulletin.php?id=1144734&amp;type=1", "万福生科:首次公开发行股票并在创业板上市公告书")</f>
        <v>万福生科:首次公开发行股票并在创业板上市公告书</v>
      </c>
      <c r="F1271" t="s">
        <v>2153</v>
      </c>
    </row>
    <row r="1272" spans="1:6" x14ac:dyDescent="0.15">
      <c r="A1272" s="1">
        <v>40812</v>
      </c>
      <c r="B1272" t="s">
        <v>269</v>
      </c>
      <c r="C1272" t="s">
        <v>754</v>
      </c>
      <c r="D1272" t="s">
        <v>407</v>
      </c>
      <c r="E1272" s="4" t="str">
        <f>HYPERLINK("http://snap.windin.com/ns/bulletin.php?id=480865&amp;type=1", "万福生科:首次公开发行股票并在创业板上市公告书提示性公告")</f>
        <v>万福生科:首次公开发行股票并在创业板上市公告书提示性公告</v>
      </c>
      <c r="F1272" t="s">
        <v>2154</v>
      </c>
    </row>
    <row r="1273" spans="1:6" x14ac:dyDescent="0.15">
      <c r="A1273" s="1">
        <v>40812</v>
      </c>
      <c r="B1273" t="s">
        <v>268</v>
      </c>
      <c r="C1273" t="s">
        <v>753</v>
      </c>
      <c r="D1273" t="s">
        <v>383</v>
      </c>
      <c r="E1273" s="4" t="str">
        <f>HYPERLINK("http://snap.windin.com/ns/bulletin.php?id=515909&amp;type=1", "尔康制药:首次公开发行股票并在创业板上市上市公告书提示性公告")</f>
        <v>尔康制药:首次公开发行股票并在创业板上市上市公告书提示性公告</v>
      </c>
      <c r="F1273" t="s">
        <v>2155</v>
      </c>
    </row>
    <row r="1274" spans="1:6" x14ac:dyDescent="0.15">
      <c r="A1274" s="1">
        <v>40812</v>
      </c>
      <c r="B1274" t="s">
        <v>268</v>
      </c>
      <c r="C1274" t="s">
        <v>753</v>
      </c>
      <c r="D1274" t="s">
        <v>408</v>
      </c>
      <c r="E1274" s="4" t="str">
        <f>HYPERLINK("http://snap.windin.com/ns/bulletin.php?id=1315591&amp;type=1", "尔康制药:首次公开发行股票并在创业板上市之上市公告书")</f>
        <v>尔康制药:首次公开发行股票并在创业板上市之上市公告书</v>
      </c>
      <c r="F1274" t="s">
        <v>2156</v>
      </c>
    </row>
    <row r="1275" spans="1:6" x14ac:dyDescent="0.15">
      <c r="A1275" s="1">
        <v>40812</v>
      </c>
      <c r="B1275" t="s">
        <v>267</v>
      </c>
      <c r="C1275" t="s">
        <v>752</v>
      </c>
      <c r="D1275" t="s">
        <v>417</v>
      </c>
      <c r="E1275" s="4" t="str">
        <f>HYPERLINK("http://snap.windin.com/ns/bulletin.php?id=1631954&amp;type=1", "兴源过滤:首次公开发行股票并在创业板上市公告书")</f>
        <v>兴源过滤:首次公开发行股票并在创业板上市公告书</v>
      </c>
      <c r="F1275" t="s">
        <v>2157</v>
      </c>
    </row>
    <row r="1276" spans="1:6" x14ac:dyDescent="0.15">
      <c r="A1276" s="1">
        <v>40812</v>
      </c>
      <c r="B1276" t="s">
        <v>267</v>
      </c>
      <c r="C1276" t="s">
        <v>752</v>
      </c>
      <c r="D1276" t="s">
        <v>383</v>
      </c>
      <c r="E1276" s="4" t="str">
        <f>HYPERLINK("http://snap.windin.com/ns/bulletin.php?id=2006928&amp;type=1", "兴源过滤:首次公开发行股票并在创业板上市上市公告书提示性公告")</f>
        <v>兴源过滤:首次公开发行股票并在创业板上市上市公告书提示性公告</v>
      </c>
      <c r="F1276" t="s">
        <v>2158</v>
      </c>
    </row>
    <row r="1277" spans="1:6" x14ac:dyDescent="0.15">
      <c r="A1277" s="1">
        <v>40809</v>
      </c>
      <c r="B1277" t="s">
        <v>254</v>
      </c>
      <c r="C1277" t="s">
        <v>735</v>
      </c>
      <c r="D1277" t="s">
        <v>471</v>
      </c>
      <c r="E1277" s="4" t="str">
        <f>HYPERLINK("http://snap.windin.com/ns/bulletin.php?id=1609196&amp;type=1", "紫光华宇:首次公开发行股票并在创业板上市招股意向书")</f>
        <v>紫光华宇:首次公开发行股票并在创业板上市招股意向书</v>
      </c>
      <c r="F1277" t="s">
        <v>2159</v>
      </c>
    </row>
    <row r="1278" spans="1:6" x14ac:dyDescent="0.15">
      <c r="A1278" s="1">
        <v>40809</v>
      </c>
      <c r="B1278" t="s">
        <v>260</v>
      </c>
      <c r="C1278" t="s">
        <v>743</v>
      </c>
      <c r="D1278" t="s">
        <v>661</v>
      </c>
      <c r="E1278" s="4" t="str">
        <f>HYPERLINK("http://snap.windin.com/ns/bulletin.php?id=1696996&amp;type=1", "亚玛顿:首次公开发行股票（A股）招股说明书")</f>
        <v>亚玛顿:首次公开发行股票（A股）招股说明书</v>
      </c>
      <c r="F1278" t="s">
        <v>2160</v>
      </c>
    </row>
    <row r="1279" spans="1:6" x14ac:dyDescent="0.15">
      <c r="A1279" s="1">
        <v>40809</v>
      </c>
      <c r="B1279" t="s">
        <v>260</v>
      </c>
      <c r="C1279" t="s">
        <v>743</v>
      </c>
      <c r="D1279" t="s">
        <v>708</v>
      </c>
      <c r="E1279" s="4" t="str">
        <f>HYPERLINK("http://snap.windin.com/ns/bulletin.php?id=1102303&amp;type=1", "亚玛顿:首次公开发行股票（A股）招股说明书摘要")</f>
        <v>亚玛顿:首次公开发行股票（A股）招股说明书摘要</v>
      </c>
      <c r="F1279" t="s">
        <v>2161</v>
      </c>
    </row>
    <row r="1280" spans="1:6" x14ac:dyDescent="0.15">
      <c r="A1280" s="1">
        <v>40808</v>
      </c>
      <c r="B1280" t="s">
        <v>270</v>
      </c>
      <c r="C1280" t="s">
        <v>755</v>
      </c>
      <c r="D1280" t="s">
        <v>608</v>
      </c>
      <c r="E1280" s="4" t="str">
        <f>HYPERLINK("http://snap.windin.com/ns/bulletin.php?id=102761&amp;type=1", "中信证券:H股--招股说明书（英文）")</f>
        <v>中信证券:H股--招股说明书（英文）</v>
      </c>
      <c r="F1280" t="s">
        <v>2162</v>
      </c>
    </row>
    <row r="1281" spans="1:6" x14ac:dyDescent="0.15">
      <c r="A1281" s="1">
        <v>40808</v>
      </c>
      <c r="B1281" t="s">
        <v>270</v>
      </c>
      <c r="C1281" t="s">
        <v>755</v>
      </c>
      <c r="D1281" t="s">
        <v>607</v>
      </c>
      <c r="E1281" s="4" t="str">
        <f>HYPERLINK("http://snap.windin.com/ns/bulletin.php?id=1358087&amp;type=1", "中信证券:H股--招股说明书（中文）")</f>
        <v>中信证券:H股--招股说明书（中文）</v>
      </c>
      <c r="F1281" t="s">
        <v>2163</v>
      </c>
    </row>
    <row r="1282" spans="1:6" x14ac:dyDescent="0.15">
      <c r="A1282" s="1">
        <v>40808</v>
      </c>
      <c r="B1282" t="s">
        <v>271</v>
      </c>
      <c r="C1282" t="s">
        <v>756</v>
      </c>
      <c r="D1282" t="s">
        <v>546</v>
      </c>
      <c r="E1282" s="4" t="str">
        <f>HYPERLINK("http://snap.windin.com/ns/bulletin.php?id=1094287&amp;type=1", "东方精工:首次公开发行股票上市公告书（更新后）")</f>
        <v>东方精工:首次公开发行股票上市公告书（更新后）</v>
      </c>
      <c r="F1282" t="s">
        <v>2164</v>
      </c>
    </row>
    <row r="1283" spans="1:6" x14ac:dyDescent="0.15">
      <c r="A1283" s="1">
        <v>40806</v>
      </c>
      <c r="B1283" t="s">
        <v>264</v>
      </c>
      <c r="C1283" t="s">
        <v>749</v>
      </c>
      <c r="D1283" t="s">
        <v>399</v>
      </c>
      <c r="E1283" s="4" t="str">
        <f>HYPERLINK("http://snap.windin.com/ns/bulletin.php?id=1539852&amp;type=1", "巨龙管业:首次公开发行股票招股说明书")</f>
        <v>巨龙管业:首次公开发行股票招股说明书</v>
      </c>
      <c r="F1283" t="s">
        <v>2165</v>
      </c>
    </row>
    <row r="1284" spans="1:6" x14ac:dyDescent="0.15">
      <c r="A1284" s="1">
        <v>40806</v>
      </c>
      <c r="B1284" t="s">
        <v>264</v>
      </c>
      <c r="C1284" t="s">
        <v>749</v>
      </c>
      <c r="D1284" t="s">
        <v>400</v>
      </c>
      <c r="E1284" s="4" t="str">
        <f>HYPERLINK("http://snap.windin.com/ns/bulletin.php?id=1517738&amp;type=1", "巨龙管业:首次公开发行股票招股说明书摘要")</f>
        <v>巨龙管业:首次公开发行股票招股说明书摘要</v>
      </c>
      <c r="F1284" t="s">
        <v>2166</v>
      </c>
    </row>
    <row r="1285" spans="1:6" x14ac:dyDescent="0.15">
      <c r="A1285" s="1">
        <v>40805</v>
      </c>
      <c r="B1285" t="s">
        <v>257</v>
      </c>
      <c r="C1285" t="s">
        <v>739</v>
      </c>
      <c r="D1285" t="s">
        <v>475</v>
      </c>
      <c r="E1285" s="4" t="str">
        <f>HYPERLINK("http://snap.windin.com/ns/bulletin.php?id=509266&amp;type=1", "中国水电:首次公开发行A股股票招股意向书")</f>
        <v>中国水电:首次公开发行A股股票招股意向书</v>
      </c>
      <c r="F1285" t="s">
        <v>2167</v>
      </c>
    </row>
    <row r="1286" spans="1:6" x14ac:dyDescent="0.15">
      <c r="A1286" s="1">
        <v>40805</v>
      </c>
      <c r="B1286" t="s">
        <v>257</v>
      </c>
      <c r="C1286" t="s">
        <v>739</v>
      </c>
      <c r="D1286" t="s">
        <v>474</v>
      </c>
      <c r="E1286" s="4" t="str">
        <f>HYPERLINK("http://snap.windin.com/ns/bulletin.php?id=2011154&amp;type=1", "中国水电:首次公开发行A股股票招股意向书附录")</f>
        <v>中国水电:首次公开发行A股股票招股意向书附录</v>
      </c>
      <c r="F1286" t="s">
        <v>2168</v>
      </c>
    </row>
    <row r="1287" spans="1:6" x14ac:dyDescent="0.15">
      <c r="A1287" s="1">
        <v>40805</v>
      </c>
      <c r="B1287" t="s">
        <v>257</v>
      </c>
      <c r="C1287" t="s">
        <v>739</v>
      </c>
      <c r="D1287" t="s">
        <v>476</v>
      </c>
      <c r="E1287" s="4" t="str">
        <f>HYPERLINK("http://snap.windin.com/ns/bulletin.php?id=1354080&amp;type=1", "中国水电:首次公开发行A股股票招股意向书摘要")</f>
        <v>中国水电:首次公开发行A股股票招股意向书摘要</v>
      </c>
      <c r="F1287" t="s">
        <v>2169</v>
      </c>
    </row>
    <row r="1288" spans="1:6" x14ac:dyDescent="0.15">
      <c r="A1288" s="1">
        <v>40805</v>
      </c>
      <c r="B1288" t="s">
        <v>259</v>
      </c>
      <c r="C1288" t="s">
        <v>741</v>
      </c>
      <c r="D1288" t="s">
        <v>471</v>
      </c>
      <c r="E1288" s="4" t="str">
        <f>HYPERLINK("http://snap.windin.com/ns/bulletin.php?id=857418&amp;type=1", "中威电子:首次公开发行股票并在创业板上市招股意向书")</f>
        <v>中威电子:首次公开发行股票并在创业板上市招股意向书</v>
      </c>
      <c r="F1288" t="s">
        <v>2170</v>
      </c>
    </row>
    <row r="1289" spans="1:6" x14ac:dyDescent="0.15">
      <c r="A1289" s="1">
        <v>40805</v>
      </c>
      <c r="B1289" t="s">
        <v>261</v>
      </c>
      <c r="C1289" t="s">
        <v>745</v>
      </c>
      <c r="D1289" t="s">
        <v>471</v>
      </c>
      <c r="E1289" s="4" t="str">
        <f>HYPERLINK("http://snap.windin.com/ns/bulletin.php?id=695306&amp;type=1", "联建光电:首次公开发行股票并在创业板上市招股意向书")</f>
        <v>联建光电:首次公开发行股票并在创业板上市招股意向书</v>
      </c>
      <c r="F1289" t="s">
        <v>2171</v>
      </c>
    </row>
    <row r="1290" spans="1:6" x14ac:dyDescent="0.15">
      <c r="A1290" s="1">
        <v>40805</v>
      </c>
      <c r="B1290" t="s">
        <v>262</v>
      </c>
      <c r="C1290" t="s">
        <v>747</v>
      </c>
      <c r="D1290" t="s">
        <v>399</v>
      </c>
      <c r="E1290" s="4" t="str">
        <f>HYPERLINK("http://snap.windin.com/ns/bulletin.php?id=1562800&amp;type=1", "大连三垒:首次公开发行股票招股说明书")</f>
        <v>大连三垒:首次公开发行股票招股说明书</v>
      </c>
      <c r="F1290" t="s">
        <v>2172</v>
      </c>
    </row>
    <row r="1291" spans="1:6" x14ac:dyDescent="0.15">
      <c r="A1291" s="1">
        <v>40805</v>
      </c>
      <c r="B1291" t="s">
        <v>262</v>
      </c>
      <c r="C1291" t="s">
        <v>747</v>
      </c>
      <c r="D1291" t="s">
        <v>400</v>
      </c>
      <c r="E1291" s="4" t="str">
        <f>HYPERLINK("http://snap.windin.com/ns/bulletin.php?id=638618&amp;type=1", "大连三垒:首次公开发行股票招股说明书摘要")</f>
        <v>大连三垒:首次公开发行股票招股说明书摘要</v>
      </c>
      <c r="F1291" t="s">
        <v>2173</v>
      </c>
    </row>
    <row r="1292" spans="1:6" x14ac:dyDescent="0.15">
      <c r="A1292" s="1">
        <v>40805</v>
      </c>
      <c r="B1292" t="s">
        <v>265</v>
      </c>
      <c r="C1292" t="s">
        <v>750</v>
      </c>
      <c r="D1292" t="s">
        <v>399</v>
      </c>
      <c r="E1292" s="4" t="str">
        <f>HYPERLINK("http://snap.windin.com/ns/bulletin.php?id=739251&amp;type=1", "瑞和股份:首次公开发行股票招股说明书")</f>
        <v>瑞和股份:首次公开发行股票招股说明书</v>
      </c>
      <c r="F1292" t="s">
        <v>2174</v>
      </c>
    </row>
    <row r="1293" spans="1:6" x14ac:dyDescent="0.15">
      <c r="A1293" s="1">
        <v>40805</v>
      </c>
      <c r="B1293" t="s">
        <v>265</v>
      </c>
      <c r="C1293" t="s">
        <v>750</v>
      </c>
      <c r="D1293" t="s">
        <v>400</v>
      </c>
      <c r="E1293" s="4" t="str">
        <f>HYPERLINK("http://snap.windin.com/ns/bulletin.php?id=2112100&amp;type=1", "瑞和股份:首次公开发行股票招股说明书摘要")</f>
        <v>瑞和股份:首次公开发行股票招股说明书摘要</v>
      </c>
      <c r="F1293" t="s">
        <v>2175</v>
      </c>
    </row>
    <row r="1294" spans="1:6" x14ac:dyDescent="0.15">
      <c r="A1294" s="1">
        <v>40805</v>
      </c>
      <c r="B1294" t="s">
        <v>273</v>
      </c>
      <c r="C1294" t="s">
        <v>758</v>
      </c>
      <c r="D1294" t="s">
        <v>389</v>
      </c>
      <c r="E1294" s="4" t="str">
        <f>HYPERLINK("http://snap.windin.com/ns/bulletin.php?id=130822&amp;type=1", "丹邦科技:首次公开发行股票上市公告书")</f>
        <v>丹邦科技:首次公开发行股票上市公告书</v>
      </c>
      <c r="F1294" t="s">
        <v>2176</v>
      </c>
    </row>
    <row r="1295" spans="1:6" x14ac:dyDescent="0.15">
      <c r="A1295" s="1">
        <v>40805</v>
      </c>
      <c r="B1295" t="s">
        <v>54</v>
      </c>
      <c r="C1295" t="s">
        <v>481</v>
      </c>
      <c r="D1295" t="s">
        <v>389</v>
      </c>
      <c r="E1295" s="4" t="str">
        <f>HYPERLINK("http://snap.windin.com/ns/bulletin.php?id=228534&amp;type=1", "露笑科技:首次公开发行股票上市公告书")</f>
        <v>露笑科技:首次公开发行股票上市公告书</v>
      </c>
      <c r="F1295" t="s">
        <v>2177</v>
      </c>
    </row>
    <row r="1296" spans="1:6" x14ac:dyDescent="0.15">
      <c r="A1296" s="1">
        <v>40805</v>
      </c>
      <c r="B1296" t="s">
        <v>272</v>
      </c>
      <c r="C1296" t="s">
        <v>757</v>
      </c>
      <c r="D1296" t="s">
        <v>389</v>
      </c>
      <c r="E1296" s="4" t="str">
        <f>HYPERLINK("http://snap.windin.com/ns/bulletin.php?id=1561496&amp;type=1", "长青集团:首次公开发行股票上市公告书")</f>
        <v>长青集团:首次公开发行股票上市公告书</v>
      </c>
      <c r="F1296" t="s">
        <v>2178</v>
      </c>
    </row>
    <row r="1297" spans="1:6" x14ac:dyDescent="0.15">
      <c r="A1297" s="1">
        <v>40802</v>
      </c>
      <c r="B1297" t="s">
        <v>274</v>
      </c>
      <c r="C1297" t="s">
        <v>759</v>
      </c>
      <c r="D1297" t="s">
        <v>402</v>
      </c>
      <c r="E1297" s="4" t="str">
        <f>HYPERLINK("http://snap.windin.com/ns/bulletin.php?id=1918626&amp;type=1", "明泰铝业:首次公开发行A股股票上市公告书")</f>
        <v>明泰铝业:首次公开发行A股股票上市公告书</v>
      </c>
      <c r="F1297" t="s">
        <v>2179</v>
      </c>
    </row>
    <row r="1298" spans="1:6" x14ac:dyDescent="0.15">
      <c r="A1298" s="1">
        <v>40802</v>
      </c>
      <c r="B1298" t="s">
        <v>274</v>
      </c>
      <c r="C1298" t="s">
        <v>759</v>
      </c>
      <c r="D1298" t="s">
        <v>399</v>
      </c>
      <c r="E1298" s="4" t="str">
        <f>HYPERLINK("http://snap.windin.com/ns/bulletin.php?id=519949&amp;type=1", "明泰铝业:首次公开发行股票招股说明书")</f>
        <v>明泰铝业:首次公开发行股票招股说明书</v>
      </c>
      <c r="F1298" t="s">
        <v>2180</v>
      </c>
    </row>
    <row r="1299" spans="1:6" x14ac:dyDescent="0.15">
      <c r="A1299" s="1">
        <v>40802</v>
      </c>
      <c r="B1299" t="s">
        <v>267</v>
      </c>
      <c r="C1299" t="s">
        <v>752</v>
      </c>
      <c r="D1299" t="s">
        <v>455</v>
      </c>
      <c r="E1299" s="4" t="str">
        <f>HYPERLINK("http://snap.windin.com/ns/bulletin.php?id=2053644&amp;type=1", "兴源过滤:首次公开发行股票并在创业板上市招股说明书")</f>
        <v>兴源过滤:首次公开发行股票并在创业板上市招股说明书</v>
      </c>
      <c r="F1299" t="s">
        <v>2181</v>
      </c>
    </row>
    <row r="1300" spans="1:6" x14ac:dyDescent="0.15">
      <c r="A1300" s="1">
        <v>40802</v>
      </c>
      <c r="B1300" t="s">
        <v>260</v>
      </c>
      <c r="C1300" t="s">
        <v>743</v>
      </c>
      <c r="D1300" t="s">
        <v>465</v>
      </c>
      <c r="E1300" s="4" t="str">
        <f>HYPERLINK("http://snap.windin.com/ns/bulletin.php?id=18906470&amp;type=1", "亚玛顿:首次公开发行股票招股意向书")</f>
        <v>亚玛顿:首次公开发行股票招股意向书</v>
      </c>
      <c r="F1300" t="s">
        <v>2182</v>
      </c>
    </row>
    <row r="1301" spans="1:6" x14ac:dyDescent="0.15">
      <c r="A1301" s="1">
        <v>40802</v>
      </c>
      <c r="B1301" t="s">
        <v>260</v>
      </c>
      <c r="C1301" t="s">
        <v>743</v>
      </c>
      <c r="D1301" t="s">
        <v>465</v>
      </c>
      <c r="E1301" s="4" t="str">
        <f>HYPERLINK("http://snap.windin.com/ns/bulletin.php?id=2017825&amp;type=1", "亚玛顿:首次公开发行股票招股意向书")</f>
        <v>亚玛顿:首次公开发行股票招股意向书</v>
      </c>
      <c r="F1301" t="s">
        <v>2183</v>
      </c>
    </row>
    <row r="1302" spans="1:6" x14ac:dyDescent="0.15">
      <c r="A1302" s="1">
        <v>40802</v>
      </c>
      <c r="B1302" t="s">
        <v>260</v>
      </c>
      <c r="C1302" t="s">
        <v>743</v>
      </c>
      <c r="D1302" t="s">
        <v>466</v>
      </c>
      <c r="E1302" s="4" t="str">
        <f>HYPERLINK("http://snap.windin.com/ns/bulletin.php?id=2072732&amp;type=1", "亚玛顿:首次公开发行股票招股意向书摘要")</f>
        <v>亚玛顿:首次公开发行股票招股意向书摘要</v>
      </c>
      <c r="F1302" t="s">
        <v>2184</v>
      </c>
    </row>
    <row r="1303" spans="1:6" x14ac:dyDescent="0.15">
      <c r="A1303" s="1">
        <v>40802</v>
      </c>
      <c r="B1303" t="s">
        <v>258</v>
      </c>
      <c r="C1303" t="s">
        <v>740</v>
      </c>
      <c r="D1303" t="s">
        <v>465</v>
      </c>
      <c r="E1303" s="4" t="str">
        <f>HYPERLINK("http://snap.windin.com/ns/bulletin.php?id=19218370&amp;type=1", "永大集团:首次公开发行股票招股意向书")</f>
        <v>永大集团:首次公开发行股票招股意向书</v>
      </c>
      <c r="F1303" t="s">
        <v>2185</v>
      </c>
    </row>
    <row r="1304" spans="1:6" x14ac:dyDescent="0.15">
      <c r="A1304" s="1">
        <v>40802</v>
      </c>
      <c r="B1304" t="s">
        <v>258</v>
      </c>
      <c r="C1304" t="s">
        <v>740</v>
      </c>
      <c r="D1304" t="s">
        <v>465</v>
      </c>
      <c r="E1304" s="4" t="str">
        <f>HYPERLINK("http://snap.windin.com/ns/bulletin.php?id=85726&amp;type=1", "永大集团:首次公开发行股票招股意向书")</f>
        <v>永大集团:首次公开发行股票招股意向书</v>
      </c>
      <c r="F1304" t="s">
        <v>2186</v>
      </c>
    </row>
    <row r="1305" spans="1:6" x14ac:dyDescent="0.15">
      <c r="A1305" s="1">
        <v>40802</v>
      </c>
      <c r="B1305" t="s">
        <v>258</v>
      </c>
      <c r="C1305" t="s">
        <v>740</v>
      </c>
      <c r="D1305" t="s">
        <v>466</v>
      </c>
      <c r="E1305" s="4" t="str">
        <f>HYPERLINK("http://snap.windin.com/ns/bulletin.php?id=1959977&amp;type=1", "永大集团:首次公开发行股票招股意向书摘要")</f>
        <v>永大集团:首次公开发行股票招股意向书摘要</v>
      </c>
      <c r="F1305" t="s">
        <v>2187</v>
      </c>
    </row>
    <row r="1306" spans="1:6" x14ac:dyDescent="0.15">
      <c r="A1306" s="1">
        <v>40801</v>
      </c>
      <c r="B1306" t="s">
        <v>277</v>
      </c>
      <c r="C1306" t="s">
        <v>762</v>
      </c>
      <c r="D1306" t="s">
        <v>383</v>
      </c>
      <c r="E1306" s="4" t="str">
        <f>HYPERLINK("http://snap.windin.com/ns/bulletin.php?id=410238&amp;type=1", "通光线缆:首次公开发行股票并在创业板上市上市公告书提示性公告")</f>
        <v>通光线缆:首次公开发行股票并在创业板上市上市公告书提示性公告</v>
      </c>
      <c r="F1306" t="s">
        <v>2188</v>
      </c>
    </row>
    <row r="1307" spans="1:6" x14ac:dyDescent="0.15">
      <c r="A1307" s="1">
        <v>40801</v>
      </c>
      <c r="B1307" t="s">
        <v>277</v>
      </c>
      <c r="C1307" t="s">
        <v>762</v>
      </c>
      <c r="D1307" t="s">
        <v>408</v>
      </c>
      <c r="E1307" s="4" t="str">
        <f>HYPERLINK("http://snap.windin.com/ns/bulletin.php?id=202351&amp;type=1", "通光线缆:首次公开发行股票并在创业板上市之上市公告书")</f>
        <v>通光线缆:首次公开发行股票并在创业板上市之上市公告书</v>
      </c>
      <c r="F1307" t="s">
        <v>2189</v>
      </c>
    </row>
    <row r="1308" spans="1:6" x14ac:dyDescent="0.15">
      <c r="A1308" s="1">
        <v>40801</v>
      </c>
      <c r="B1308" t="s">
        <v>275</v>
      </c>
      <c r="C1308" t="s">
        <v>760</v>
      </c>
      <c r="D1308" t="s">
        <v>407</v>
      </c>
      <c r="E1308" s="4" t="str">
        <f>HYPERLINK("http://snap.windin.com/ns/bulletin.php?id=524131&amp;type=1", "佳创视讯:首次公开发行股票并在创业板上市公告书提示性公告")</f>
        <v>佳创视讯:首次公开发行股票并在创业板上市公告书提示性公告</v>
      </c>
      <c r="F1308" t="s">
        <v>2190</v>
      </c>
    </row>
    <row r="1309" spans="1:6" x14ac:dyDescent="0.15">
      <c r="A1309" s="1">
        <v>40801</v>
      </c>
      <c r="B1309" t="s">
        <v>275</v>
      </c>
      <c r="C1309" t="s">
        <v>760</v>
      </c>
      <c r="D1309" t="s">
        <v>408</v>
      </c>
      <c r="E1309" s="4" t="str">
        <f>HYPERLINK("http://snap.windin.com/ns/bulletin.php?id=2067163&amp;type=1", "佳创视讯:首次公开发行股票并在创业板上市之上市公告书")</f>
        <v>佳创视讯:首次公开发行股票并在创业板上市之上市公告书</v>
      </c>
      <c r="F1309" t="s">
        <v>2191</v>
      </c>
    </row>
    <row r="1310" spans="1:6" x14ac:dyDescent="0.15">
      <c r="A1310" s="1">
        <v>40801</v>
      </c>
      <c r="B1310" t="s">
        <v>276</v>
      </c>
      <c r="C1310" t="s">
        <v>761</v>
      </c>
      <c r="D1310" t="s">
        <v>383</v>
      </c>
      <c r="E1310" s="4" t="str">
        <f>HYPERLINK("http://snap.windin.com/ns/bulletin.php?id=2016726&amp;type=1", "隆华传热:首次公开发行股票并在创业板上市上市公告书提示性公告")</f>
        <v>隆华传热:首次公开发行股票并在创业板上市上市公告书提示性公告</v>
      </c>
      <c r="F1310" t="s">
        <v>2192</v>
      </c>
    </row>
    <row r="1311" spans="1:6" x14ac:dyDescent="0.15">
      <c r="A1311" s="1">
        <v>40801</v>
      </c>
      <c r="B1311" t="s">
        <v>276</v>
      </c>
      <c r="C1311" t="s">
        <v>761</v>
      </c>
      <c r="D1311" t="s">
        <v>408</v>
      </c>
      <c r="E1311" s="4" t="str">
        <f>HYPERLINK("http://snap.windin.com/ns/bulletin.php?id=1333006&amp;type=1", "隆华传热:首次公开发行股票并在创业板上市之上市公告书")</f>
        <v>隆华传热:首次公开发行股票并在创业板上市之上市公告书</v>
      </c>
      <c r="F1311" t="s">
        <v>2193</v>
      </c>
    </row>
    <row r="1312" spans="1:6" x14ac:dyDescent="0.15">
      <c r="A1312" s="1">
        <v>40801</v>
      </c>
      <c r="B1312" t="s">
        <v>136</v>
      </c>
      <c r="C1312" t="s">
        <v>582</v>
      </c>
      <c r="D1312" t="s">
        <v>417</v>
      </c>
      <c r="E1312" s="4" t="str">
        <f>HYPERLINK("http://snap.windin.com/ns/bulletin.php?id=651543&amp;type=1", "巴安水务:首次公开发行股票并在创业板上市公告书")</f>
        <v>巴安水务:首次公开发行股票并在创业板上市公告书</v>
      </c>
      <c r="F1312" t="s">
        <v>2194</v>
      </c>
    </row>
    <row r="1313" spans="1:6" x14ac:dyDescent="0.15">
      <c r="A1313" s="1">
        <v>40801</v>
      </c>
      <c r="B1313" t="s">
        <v>136</v>
      </c>
      <c r="C1313" t="s">
        <v>582</v>
      </c>
      <c r="D1313" t="s">
        <v>407</v>
      </c>
      <c r="E1313" s="4" t="str">
        <f>HYPERLINK("http://snap.windin.com/ns/bulletin.php?id=906354&amp;type=1", "巴安水务:首次公开发行股票并在创业板上市公告书提示性公告")</f>
        <v>巴安水务:首次公开发行股票并在创业板上市公告书提示性公告</v>
      </c>
      <c r="F1313" t="s">
        <v>2195</v>
      </c>
    </row>
    <row r="1314" spans="1:6" x14ac:dyDescent="0.15">
      <c r="A1314" s="1">
        <v>40800</v>
      </c>
      <c r="B1314" t="s">
        <v>269</v>
      </c>
      <c r="C1314" t="s">
        <v>754</v>
      </c>
      <c r="D1314" t="s">
        <v>455</v>
      </c>
      <c r="E1314" s="4" t="str">
        <f>HYPERLINK("http://snap.windin.com/ns/bulletin.php?id=1763642&amp;type=1", "万福生科:首次公开发行股票并在创业板上市招股说明书")</f>
        <v>万福生科:首次公开发行股票并在创业板上市招股说明书</v>
      </c>
      <c r="F1314" t="s">
        <v>2196</v>
      </c>
    </row>
    <row r="1315" spans="1:6" x14ac:dyDescent="0.15">
      <c r="A1315" s="1">
        <v>40800</v>
      </c>
      <c r="B1315" t="s">
        <v>268</v>
      </c>
      <c r="C1315" t="s">
        <v>753</v>
      </c>
      <c r="D1315" t="s">
        <v>455</v>
      </c>
      <c r="E1315" s="4" t="str">
        <f>HYPERLINK("http://snap.windin.com/ns/bulletin.php?id=1553275&amp;type=1", "尔康制药:首次公开发行股票并在创业板上市招股说明书")</f>
        <v>尔康制药:首次公开发行股票并在创业板上市招股说明书</v>
      </c>
      <c r="F1315" t="s">
        <v>2197</v>
      </c>
    </row>
    <row r="1316" spans="1:6" x14ac:dyDescent="0.15">
      <c r="A1316" s="1">
        <v>40795</v>
      </c>
      <c r="B1316" t="s">
        <v>265</v>
      </c>
      <c r="C1316" t="s">
        <v>750</v>
      </c>
      <c r="D1316" t="s">
        <v>465</v>
      </c>
      <c r="E1316" s="4" t="str">
        <f>HYPERLINK("http://snap.windin.com/ns/bulletin.php?id=19126762&amp;type=1", "瑞和股份:首次公开发行股票招股意向书")</f>
        <v>瑞和股份:首次公开发行股票招股意向书</v>
      </c>
      <c r="F1316" t="s">
        <v>2198</v>
      </c>
    </row>
    <row r="1317" spans="1:6" x14ac:dyDescent="0.15">
      <c r="A1317" s="1">
        <v>40795</v>
      </c>
      <c r="B1317" t="s">
        <v>265</v>
      </c>
      <c r="C1317" t="s">
        <v>750</v>
      </c>
      <c r="D1317" t="s">
        <v>465</v>
      </c>
      <c r="E1317" s="4" t="str">
        <f>HYPERLINK("http://snap.windin.com/ns/bulletin.php?id=18471196&amp;type=1", "瑞和股份:首次公开发行股票招股意向书")</f>
        <v>瑞和股份:首次公开发行股票招股意向书</v>
      </c>
      <c r="F1317" t="s">
        <v>2199</v>
      </c>
    </row>
    <row r="1318" spans="1:6" x14ac:dyDescent="0.15">
      <c r="A1318" s="1">
        <v>40795</v>
      </c>
      <c r="B1318" t="s">
        <v>265</v>
      </c>
      <c r="C1318" t="s">
        <v>750</v>
      </c>
      <c r="D1318" t="s">
        <v>465</v>
      </c>
      <c r="E1318" s="4" t="str">
        <f>HYPERLINK("http://snap.windin.com/ns/bulletin.php?id=208208&amp;type=1", "瑞和股份:首次公开发行股票招股意向书")</f>
        <v>瑞和股份:首次公开发行股票招股意向书</v>
      </c>
      <c r="F1318" t="s">
        <v>2200</v>
      </c>
    </row>
    <row r="1319" spans="1:6" x14ac:dyDescent="0.15">
      <c r="A1319" s="1">
        <v>40795</v>
      </c>
      <c r="B1319" t="s">
        <v>265</v>
      </c>
      <c r="C1319" t="s">
        <v>750</v>
      </c>
      <c r="D1319" t="s">
        <v>466</v>
      </c>
      <c r="E1319" s="4" t="str">
        <f>HYPERLINK("http://snap.windin.com/ns/bulletin.php?id=99665&amp;type=1", "瑞和股份:首次公开发行股票招股意向书摘要")</f>
        <v>瑞和股份:首次公开发行股票招股意向书摘要</v>
      </c>
      <c r="F1319" t="s">
        <v>2201</v>
      </c>
    </row>
    <row r="1320" spans="1:6" x14ac:dyDescent="0.15">
      <c r="A1320" s="1">
        <v>40794</v>
      </c>
      <c r="B1320" t="s">
        <v>263</v>
      </c>
      <c r="C1320" t="s">
        <v>748</v>
      </c>
      <c r="D1320" t="s">
        <v>465</v>
      </c>
      <c r="E1320" s="4" t="str">
        <f>HYPERLINK("http://snap.windin.com/ns/bulletin.php?id=580464&amp;type=1", "丰林集团:首次公开发行股票招股意向书")</f>
        <v>丰林集团:首次公开发行股票招股意向书</v>
      </c>
      <c r="F1320" t="s">
        <v>2202</v>
      </c>
    </row>
    <row r="1321" spans="1:6" x14ac:dyDescent="0.15">
      <c r="A1321" s="1">
        <v>40794</v>
      </c>
      <c r="B1321" t="s">
        <v>263</v>
      </c>
      <c r="C1321" t="s">
        <v>748</v>
      </c>
      <c r="D1321" t="s">
        <v>522</v>
      </c>
      <c r="E1321" s="4" t="str">
        <f>HYPERLINK("http://snap.windin.com/ns/bulletin.php?id=719299&amp;type=1", "丰林集团:首次公开发行股票招股意向书附录二")</f>
        <v>丰林集团:首次公开发行股票招股意向书附录二</v>
      </c>
      <c r="F1321" t="s">
        <v>2203</v>
      </c>
    </row>
    <row r="1322" spans="1:6" x14ac:dyDescent="0.15">
      <c r="A1322" s="1">
        <v>40794</v>
      </c>
      <c r="B1322" t="s">
        <v>263</v>
      </c>
      <c r="C1322" t="s">
        <v>748</v>
      </c>
      <c r="D1322" t="s">
        <v>521</v>
      </c>
      <c r="E1322" s="4" t="str">
        <f>HYPERLINK("http://snap.windin.com/ns/bulletin.php?id=495901&amp;type=1", "丰林集团:首次公开发行股票招股意向书附录三")</f>
        <v>丰林集团:首次公开发行股票招股意向书附录三</v>
      </c>
      <c r="F1322" t="s">
        <v>2204</v>
      </c>
    </row>
    <row r="1323" spans="1:6" x14ac:dyDescent="0.15">
      <c r="A1323" s="1">
        <v>40794</v>
      </c>
      <c r="B1323" t="s">
        <v>263</v>
      </c>
      <c r="C1323" t="s">
        <v>748</v>
      </c>
      <c r="D1323" t="s">
        <v>520</v>
      </c>
      <c r="E1323" s="4" t="str">
        <f>HYPERLINK("http://snap.windin.com/ns/bulletin.php?id=2114976&amp;type=1", "丰林集团:首次公开发行股票招股意向书附录一")</f>
        <v>丰林集团:首次公开发行股票招股意向书附录一</v>
      </c>
      <c r="F1323" t="s">
        <v>2205</v>
      </c>
    </row>
    <row r="1324" spans="1:6" x14ac:dyDescent="0.15">
      <c r="A1324" s="1">
        <v>40794</v>
      </c>
      <c r="B1324" t="s">
        <v>263</v>
      </c>
      <c r="C1324" t="s">
        <v>748</v>
      </c>
      <c r="D1324" t="s">
        <v>466</v>
      </c>
      <c r="E1324" s="4" t="str">
        <f>HYPERLINK("http://snap.windin.com/ns/bulletin.php?id=1782579&amp;type=1", "丰林集团:首次公开发行股票招股意向书摘要")</f>
        <v>丰林集团:首次公开发行股票招股意向书摘要</v>
      </c>
      <c r="F1324" t="s">
        <v>2206</v>
      </c>
    </row>
    <row r="1325" spans="1:6" x14ac:dyDescent="0.15">
      <c r="A1325" s="1">
        <v>40794</v>
      </c>
      <c r="B1325" t="s">
        <v>262</v>
      </c>
      <c r="C1325" t="s">
        <v>747</v>
      </c>
      <c r="D1325" t="s">
        <v>465</v>
      </c>
      <c r="E1325" s="4" t="str">
        <f>HYPERLINK("http://snap.windin.com/ns/bulletin.php?id=18607422&amp;type=1", "大连三垒:首次公开发行股票招股意向书")</f>
        <v>大连三垒:首次公开发行股票招股意向书</v>
      </c>
      <c r="F1325" t="s">
        <v>2207</v>
      </c>
    </row>
    <row r="1326" spans="1:6" x14ac:dyDescent="0.15">
      <c r="A1326" s="1">
        <v>40794</v>
      </c>
      <c r="B1326" t="s">
        <v>262</v>
      </c>
      <c r="C1326" t="s">
        <v>747</v>
      </c>
      <c r="D1326" t="s">
        <v>465</v>
      </c>
      <c r="E1326" s="4" t="str">
        <f>HYPERLINK("http://snap.windin.com/ns/bulletin.php?id=18497762&amp;type=1", "大连三垒:首次公开发行股票招股意向书")</f>
        <v>大连三垒:首次公开发行股票招股意向书</v>
      </c>
      <c r="F1326" t="s">
        <v>2208</v>
      </c>
    </row>
    <row r="1327" spans="1:6" x14ac:dyDescent="0.15">
      <c r="A1327" s="1">
        <v>40794</v>
      </c>
      <c r="B1327" t="s">
        <v>262</v>
      </c>
      <c r="C1327" t="s">
        <v>747</v>
      </c>
      <c r="D1327" t="s">
        <v>465</v>
      </c>
      <c r="E1327" s="4" t="str">
        <f>HYPERLINK("http://snap.windin.com/ns/bulletin.php?id=1775353&amp;type=1", "大连三垒:首次公开发行股票招股意向书")</f>
        <v>大连三垒:首次公开发行股票招股意向书</v>
      </c>
      <c r="F1327" t="s">
        <v>2209</v>
      </c>
    </row>
    <row r="1328" spans="1:6" x14ac:dyDescent="0.15">
      <c r="A1328" s="1">
        <v>40794</v>
      </c>
      <c r="B1328" t="s">
        <v>262</v>
      </c>
      <c r="C1328" t="s">
        <v>747</v>
      </c>
      <c r="D1328" t="s">
        <v>466</v>
      </c>
      <c r="E1328" s="4" t="str">
        <f>HYPERLINK("http://snap.windin.com/ns/bulletin.php?id=1698740&amp;type=1", "大连三垒:首次公开发行股票招股意向书摘要")</f>
        <v>大连三垒:首次公开发行股票招股意向书摘要</v>
      </c>
      <c r="F1328" t="s">
        <v>2210</v>
      </c>
    </row>
    <row r="1329" spans="1:6" x14ac:dyDescent="0.15">
      <c r="A1329" s="1">
        <v>40794</v>
      </c>
      <c r="B1329" t="s">
        <v>264</v>
      </c>
      <c r="C1329" t="s">
        <v>749</v>
      </c>
      <c r="D1329" t="s">
        <v>465</v>
      </c>
      <c r="E1329" s="4" t="str">
        <f>HYPERLINK("http://snap.windin.com/ns/bulletin.php?id=18591320&amp;type=1", "巨龙管业:首次公开发行股票招股意向书")</f>
        <v>巨龙管业:首次公开发行股票招股意向书</v>
      </c>
      <c r="F1329" t="s">
        <v>2211</v>
      </c>
    </row>
    <row r="1330" spans="1:6" x14ac:dyDescent="0.15">
      <c r="A1330" s="1">
        <v>40794</v>
      </c>
      <c r="B1330" t="s">
        <v>264</v>
      </c>
      <c r="C1330" t="s">
        <v>749</v>
      </c>
      <c r="D1330" t="s">
        <v>465</v>
      </c>
      <c r="E1330" s="4" t="str">
        <f>HYPERLINK("http://snap.windin.com/ns/bulletin.php?id=1441481&amp;type=1", "巨龙管业:首次公开发行股票招股意向书")</f>
        <v>巨龙管业:首次公开发行股票招股意向书</v>
      </c>
      <c r="F1330" t="s">
        <v>2212</v>
      </c>
    </row>
    <row r="1331" spans="1:6" x14ac:dyDescent="0.15">
      <c r="A1331" s="1">
        <v>40794</v>
      </c>
      <c r="B1331" t="s">
        <v>264</v>
      </c>
      <c r="C1331" t="s">
        <v>749</v>
      </c>
      <c r="D1331" t="s">
        <v>466</v>
      </c>
      <c r="E1331" s="4" t="str">
        <f>HYPERLINK("http://snap.windin.com/ns/bulletin.php?id=80254&amp;type=1", "巨龙管业:首次公开发行股票招股意向书摘要")</f>
        <v>巨龙管业:首次公开发行股票招股意向书摘要</v>
      </c>
      <c r="F1331" t="s">
        <v>2213</v>
      </c>
    </row>
    <row r="1332" spans="1:6" x14ac:dyDescent="0.15">
      <c r="A1332" s="1">
        <v>40794</v>
      </c>
      <c r="B1332" t="s">
        <v>272</v>
      </c>
      <c r="C1332" t="s">
        <v>757</v>
      </c>
      <c r="D1332" t="s">
        <v>399</v>
      </c>
      <c r="E1332" s="4" t="str">
        <f>HYPERLINK("http://snap.windin.com/ns/bulletin.php?id=2046336&amp;type=1", "长青集团:首次公开发行股票招股说明书")</f>
        <v>长青集团:首次公开发行股票招股说明书</v>
      </c>
      <c r="F1332" t="s">
        <v>2214</v>
      </c>
    </row>
    <row r="1333" spans="1:6" x14ac:dyDescent="0.15">
      <c r="A1333" s="1">
        <v>40794</v>
      </c>
      <c r="B1333" t="s">
        <v>272</v>
      </c>
      <c r="C1333" t="s">
        <v>757</v>
      </c>
      <c r="D1333" t="s">
        <v>400</v>
      </c>
      <c r="E1333" s="4" t="str">
        <f>HYPERLINK("http://snap.windin.com/ns/bulletin.php?id=1244614&amp;type=1", "长青集团:首次公开发行股票招股说明书摘要")</f>
        <v>长青集团:首次公开发行股票招股说明书摘要</v>
      </c>
      <c r="F1333" t="s">
        <v>2215</v>
      </c>
    </row>
    <row r="1334" spans="1:6" x14ac:dyDescent="0.15">
      <c r="A1334" s="1">
        <v>40794</v>
      </c>
      <c r="B1334" t="s">
        <v>278</v>
      </c>
      <c r="C1334" t="s">
        <v>763</v>
      </c>
      <c r="D1334" t="s">
        <v>389</v>
      </c>
      <c r="E1334" s="4" t="str">
        <f>HYPERLINK("http://snap.windin.com/ns/bulletin.php?id=1414135&amp;type=1", "哈尔斯:首次公开发行股票上市公告书")</f>
        <v>哈尔斯:首次公开发行股票上市公告书</v>
      </c>
      <c r="F1334" t="s">
        <v>2216</v>
      </c>
    </row>
    <row r="1335" spans="1:6" x14ac:dyDescent="0.15">
      <c r="A1335" s="1">
        <v>40794</v>
      </c>
      <c r="B1335" t="s">
        <v>279</v>
      </c>
      <c r="C1335" t="s">
        <v>764</v>
      </c>
      <c r="D1335" t="s">
        <v>389</v>
      </c>
      <c r="E1335" s="4" t="str">
        <f>HYPERLINK("http://snap.windin.com/ns/bulletin.php?id=664175&amp;type=1", "蒙发利:首次公开发行股票上市公告书")</f>
        <v>蒙发利:首次公开发行股票上市公告书</v>
      </c>
      <c r="F1335" t="s">
        <v>2217</v>
      </c>
    </row>
    <row r="1336" spans="1:6" x14ac:dyDescent="0.15">
      <c r="A1336" s="1">
        <v>40793</v>
      </c>
      <c r="B1336" t="s">
        <v>280</v>
      </c>
      <c r="C1336" t="s">
        <v>765</v>
      </c>
      <c r="D1336" t="s">
        <v>660</v>
      </c>
      <c r="E1336" s="4" t="str">
        <f>HYPERLINK("http://snap.windin.com/ns/bulletin.php?id=1022507&amp;type=1", "京运通:首次公开发行股票（A股）上市公告书")</f>
        <v>京运通:首次公开发行股票（A股）上市公告书</v>
      </c>
      <c r="F1336" t="s">
        <v>2218</v>
      </c>
    </row>
    <row r="1337" spans="1:6" x14ac:dyDescent="0.15">
      <c r="A1337" s="1">
        <v>40793</v>
      </c>
      <c r="B1337" t="s">
        <v>280</v>
      </c>
      <c r="C1337" t="s">
        <v>765</v>
      </c>
      <c r="D1337" t="s">
        <v>661</v>
      </c>
      <c r="E1337" s="4" t="str">
        <f>HYPERLINK("http://snap.windin.com/ns/bulletin.php?id=710465&amp;type=1", "京运通:首次公开发行股票（A股）招股说明书")</f>
        <v>京运通:首次公开发行股票（A股）招股说明书</v>
      </c>
      <c r="F1337" t="s">
        <v>2219</v>
      </c>
    </row>
    <row r="1338" spans="1:6" x14ac:dyDescent="0.15">
      <c r="A1338" s="1">
        <v>40793</v>
      </c>
      <c r="B1338" t="s">
        <v>54</v>
      </c>
      <c r="C1338" t="s">
        <v>481</v>
      </c>
      <c r="D1338" t="s">
        <v>399</v>
      </c>
      <c r="E1338" s="4" t="str">
        <f>HYPERLINK("http://snap.windin.com/ns/bulletin.php?id=1021429&amp;type=1", "露笑科技:首次公开发行股票招股说明书")</f>
        <v>露笑科技:首次公开发行股票招股说明书</v>
      </c>
      <c r="F1338" t="s">
        <v>2220</v>
      </c>
    </row>
    <row r="1339" spans="1:6" x14ac:dyDescent="0.15">
      <c r="A1339" s="1">
        <v>40793</v>
      </c>
      <c r="B1339" t="s">
        <v>54</v>
      </c>
      <c r="C1339" t="s">
        <v>481</v>
      </c>
      <c r="D1339" t="s">
        <v>400</v>
      </c>
      <c r="E1339" s="4" t="str">
        <f>HYPERLINK("http://snap.windin.com/ns/bulletin.php?id=446269&amp;type=1", "露笑科技:首次公开发行股票招股说明书摘要")</f>
        <v>露笑科技:首次公开发行股票招股说明书摘要</v>
      </c>
      <c r="F1339" t="s">
        <v>2221</v>
      </c>
    </row>
    <row r="1340" spans="1:6" x14ac:dyDescent="0.15">
      <c r="A1340" s="1">
        <v>40792</v>
      </c>
      <c r="B1340" t="s">
        <v>269</v>
      </c>
      <c r="C1340" t="s">
        <v>754</v>
      </c>
      <c r="D1340" t="s">
        <v>471</v>
      </c>
      <c r="E1340" s="4" t="str">
        <f>HYPERLINK("http://snap.windin.com/ns/bulletin.php?id=18839676&amp;type=1", "万福生科:首次公开发行股票并在创业板上市招股意向书")</f>
        <v>万福生科:首次公开发行股票并在创业板上市招股意向书</v>
      </c>
      <c r="F1340" t="s">
        <v>2222</v>
      </c>
    </row>
    <row r="1341" spans="1:6" x14ac:dyDescent="0.15">
      <c r="A1341" s="1">
        <v>40792</v>
      </c>
      <c r="B1341" t="s">
        <v>269</v>
      </c>
      <c r="C1341" t="s">
        <v>754</v>
      </c>
      <c r="D1341" t="s">
        <v>471</v>
      </c>
      <c r="E1341" s="4" t="str">
        <f>HYPERLINK("http://snap.windin.com/ns/bulletin.php?id=460511&amp;type=1", "万福生科:首次公开发行股票并在创业板上市招股意向书")</f>
        <v>万福生科:首次公开发行股票并在创业板上市招股意向书</v>
      </c>
      <c r="F1341" t="s">
        <v>2223</v>
      </c>
    </row>
    <row r="1342" spans="1:6" x14ac:dyDescent="0.15">
      <c r="A1342" s="1">
        <v>40792</v>
      </c>
      <c r="B1342" t="s">
        <v>268</v>
      </c>
      <c r="C1342" t="s">
        <v>753</v>
      </c>
      <c r="D1342" t="s">
        <v>471</v>
      </c>
      <c r="E1342" s="4" t="str">
        <f>HYPERLINK("http://snap.windin.com/ns/bulletin.php?id=18488594&amp;type=1", "尔康制药:首次公开发行股票并在创业板上市招股意向书")</f>
        <v>尔康制药:首次公开发行股票并在创业板上市招股意向书</v>
      </c>
      <c r="F1342" t="s">
        <v>2224</v>
      </c>
    </row>
    <row r="1343" spans="1:6" x14ac:dyDescent="0.15">
      <c r="A1343" s="1">
        <v>40792</v>
      </c>
      <c r="B1343" t="s">
        <v>268</v>
      </c>
      <c r="C1343" t="s">
        <v>753</v>
      </c>
      <c r="D1343" t="s">
        <v>471</v>
      </c>
      <c r="E1343" s="4" t="str">
        <f>HYPERLINK("http://snap.windin.com/ns/bulletin.php?id=915477&amp;type=1", "尔康制药:首次公开发行股票并在创业板上市招股意向书")</f>
        <v>尔康制药:首次公开发行股票并在创业板上市招股意向书</v>
      </c>
      <c r="F1343" t="s">
        <v>2225</v>
      </c>
    </row>
    <row r="1344" spans="1:6" x14ac:dyDescent="0.15">
      <c r="A1344" s="1">
        <v>40792</v>
      </c>
      <c r="B1344" t="s">
        <v>267</v>
      </c>
      <c r="C1344" t="s">
        <v>752</v>
      </c>
      <c r="D1344" t="s">
        <v>471</v>
      </c>
      <c r="E1344" s="4" t="str">
        <f>HYPERLINK("http://snap.windin.com/ns/bulletin.php?id=19474380&amp;type=1", "兴源过滤:首次公开发行股票并在创业板上市招股意向书")</f>
        <v>兴源过滤:首次公开发行股票并在创业板上市招股意向书</v>
      </c>
      <c r="F1344" t="s">
        <v>2226</v>
      </c>
    </row>
    <row r="1345" spans="1:6" x14ac:dyDescent="0.15">
      <c r="A1345" s="1">
        <v>40792</v>
      </c>
      <c r="B1345" t="s">
        <v>267</v>
      </c>
      <c r="C1345" t="s">
        <v>752</v>
      </c>
      <c r="D1345" t="s">
        <v>471</v>
      </c>
      <c r="E1345" s="4" t="str">
        <f>HYPERLINK("http://snap.windin.com/ns/bulletin.php?id=2009170&amp;type=1", "兴源过滤:首次公开发行股票并在创业板上市招股意向书")</f>
        <v>兴源过滤:首次公开发行股票并在创业板上市招股意向书</v>
      </c>
      <c r="F1345" t="s">
        <v>2227</v>
      </c>
    </row>
    <row r="1346" spans="1:6" x14ac:dyDescent="0.15">
      <c r="A1346" s="1">
        <v>40792</v>
      </c>
      <c r="B1346" t="s">
        <v>276</v>
      </c>
      <c r="C1346" t="s">
        <v>761</v>
      </c>
      <c r="D1346" t="s">
        <v>455</v>
      </c>
      <c r="E1346" s="4" t="str">
        <f>HYPERLINK("http://snap.windin.com/ns/bulletin.php?id=1637266&amp;type=1", "隆华传热:首次公开发行股票并在创业板上市招股说明书")</f>
        <v>隆华传热:首次公开发行股票并在创业板上市招股说明书</v>
      </c>
      <c r="F1346" t="s">
        <v>2228</v>
      </c>
    </row>
    <row r="1347" spans="1:6" x14ac:dyDescent="0.15">
      <c r="A1347" s="1">
        <v>40792</v>
      </c>
      <c r="B1347" t="s">
        <v>273</v>
      </c>
      <c r="C1347" t="s">
        <v>758</v>
      </c>
      <c r="D1347" t="s">
        <v>399</v>
      </c>
      <c r="E1347" s="4" t="str">
        <f>HYPERLINK("http://snap.windin.com/ns/bulletin.php?id=1779732&amp;type=1", "丹邦科技:首次公开发行股票招股说明书")</f>
        <v>丹邦科技:首次公开发行股票招股说明书</v>
      </c>
      <c r="F1347" t="s">
        <v>2229</v>
      </c>
    </row>
    <row r="1348" spans="1:6" x14ac:dyDescent="0.15">
      <c r="A1348" s="1">
        <v>40792</v>
      </c>
      <c r="B1348" t="s">
        <v>273</v>
      </c>
      <c r="C1348" t="s">
        <v>758</v>
      </c>
      <c r="D1348" t="s">
        <v>400</v>
      </c>
      <c r="E1348" s="4" t="str">
        <f>HYPERLINK("http://snap.windin.com/ns/bulletin.php?id=174355&amp;type=1", "丹邦科技:首次公开发行股票招股说明书摘要")</f>
        <v>丹邦科技:首次公开发行股票招股说明书摘要</v>
      </c>
      <c r="F1348" t="s">
        <v>2230</v>
      </c>
    </row>
    <row r="1349" spans="1:6" x14ac:dyDescent="0.15">
      <c r="A1349" s="1">
        <v>40791</v>
      </c>
      <c r="B1349" t="s">
        <v>275</v>
      </c>
      <c r="C1349" t="s">
        <v>760</v>
      </c>
      <c r="D1349" t="s">
        <v>455</v>
      </c>
      <c r="E1349" s="4" t="str">
        <f>HYPERLINK("http://snap.windin.com/ns/bulletin.php?id=2107598&amp;type=1", "佳创视讯:首次公开发行股票并在创业板上市招股说明书")</f>
        <v>佳创视讯:首次公开发行股票并在创业板上市招股说明书</v>
      </c>
      <c r="F1349" t="s">
        <v>2231</v>
      </c>
    </row>
    <row r="1350" spans="1:6" x14ac:dyDescent="0.15">
      <c r="A1350" s="1">
        <v>40791</v>
      </c>
      <c r="B1350" t="s">
        <v>281</v>
      </c>
      <c r="C1350" t="s">
        <v>766</v>
      </c>
      <c r="D1350" t="s">
        <v>383</v>
      </c>
      <c r="E1350" s="4" t="str">
        <f>HYPERLINK("http://snap.windin.com/ns/bulletin.php?id=781196&amp;type=1", "雅本化学:首次公开发行股票并在创业板上市上市公告书提示性公告")</f>
        <v>雅本化学:首次公开发行股票并在创业板上市上市公告书提示性公告</v>
      </c>
      <c r="F1350" t="s">
        <v>2232</v>
      </c>
    </row>
    <row r="1351" spans="1:6" x14ac:dyDescent="0.15">
      <c r="A1351" s="1">
        <v>40791</v>
      </c>
      <c r="B1351" t="s">
        <v>281</v>
      </c>
      <c r="C1351" t="s">
        <v>766</v>
      </c>
      <c r="D1351" t="s">
        <v>408</v>
      </c>
      <c r="E1351" s="4" t="str">
        <f>HYPERLINK("http://snap.windin.com/ns/bulletin.php?id=2010126&amp;type=1", "雅本化学:首次公开发行股票并在创业板上市之上市公告书")</f>
        <v>雅本化学:首次公开发行股票并在创业板上市之上市公告书</v>
      </c>
      <c r="F1351" t="s">
        <v>2233</v>
      </c>
    </row>
    <row r="1352" spans="1:6" x14ac:dyDescent="0.15">
      <c r="A1352" s="1">
        <v>40791</v>
      </c>
      <c r="B1352" t="s">
        <v>282</v>
      </c>
      <c r="C1352" t="s">
        <v>767</v>
      </c>
      <c r="D1352" t="s">
        <v>408</v>
      </c>
      <c r="E1352" s="4" t="str">
        <f>HYPERLINK("http://snap.windin.com/ns/bulletin.php?id=1081630&amp;type=1", "新莱应材:首次公开发行股票并在创业板上市之上市公告书")</f>
        <v>新莱应材:首次公开发行股票并在创业板上市之上市公告书</v>
      </c>
      <c r="F1352" t="s">
        <v>2234</v>
      </c>
    </row>
    <row r="1353" spans="1:6" x14ac:dyDescent="0.15">
      <c r="A1353" s="1">
        <v>40791</v>
      </c>
      <c r="B1353" t="s">
        <v>282</v>
      </c>
      <c r="C1353" t="s">
        <v>767</v>
      </c>
      <c r="D1353" t="s">
        <v>410</v>
      </c>
      <c r="E1353" s="4" t="str">
        <f>HYPERLINK("http://snap.windin.com/ns/bulletin.php?id=779184&amp;type=1", "新莱应材:首次公开发行股票并在创业板上市之上市公告书提示性公告")</f>
        <v>新莱应材:首次公开发行股票并在创业板上市之上市公告书提示性公告</v>
      </c>
      <c r="F1353" t="s">
        <v>2235</v>
      </c>
    </row>
    <row r="1354" spans="1:6" x14ac:dyDescent="0.15">
      <c r="A1354" s="1">
        <v>40788</v>
      </c>
      <c r="B1354" t="s">
        <v>266</v>
      </c>
      <c r="C1354" t="s">
        <v>751</v>
      </c>
      <c r="D1354" t="s">
        <v>475</v>
      </c>
      <c r="E1354" s="4" t="str">
        <f>HYPERLINK("http://snap.windin.com/ns/bulletin.php?id=1844732&amp;type=1", "长城汽车:首次公开发行A股股票招股意向书")</f>
        <v>长城汽车:首次公开发行A股股票招股意向书</v>
      </c>
      <c r="F1354" t="s">
        <v>2236</v>
      </c>
    </row>
    <row r="1355" spans="1:6" x14ac:dyDescent="0.15">
      <c r="A1355" s="1">
        <v>40788</v>
      </c>
      <c r="B1355" t="s">
        <v>266</v>
      </c>
      <c r="C1355" t="s">
        <v>751</v>
      </c>
      <c r="D1355" t="s">
        <v>476</v>
      </c>
      <c r="E1355" s="4" t="str">
        <f>HYPERLINK("http://snap.windin.com/ns/bulletin.php?id=509588&amp;type=1", "长城汽车:首次公开发行A股股票招股意向书摘要")</f>
        <v>长城汽车:首次公开发行A股股票招股意向书摘要</v>
      </c>
      <c r="F1355" t="s">
        <v>2237</v>
      </c>
    </row>
    <row r="1356" spans="1:6" x14ac:dyDescent="0.15">
      <c r="A1356" s="1">
        <v>40788</v>
      </c>
      <c r="B1356" t="s">
        <v>266</v>
      </c>
      <c r="C1356" t="s">
        <v>751</v>
      </c>
      <c r="D1356" t="s">
        <v>769</v>
      </c>
      <c r="E1356" s="4" t="str">
        <f>HYPERLINK("http://snap.windin.com/ns/bulletin.php?id=903941&amp;type=1", "长城汽车:首次公开发行股票（A股）招股意向书附录二")</f>
        <v>长城汽车:首次公开发行股票（A股）招股意向书附录二</v>
      </c>
      <c r="F1356" t="s">
        <v>2238</v>
      </c>
    </row>
    <row r="1357" spans="1:6" x14ac:dyDescent="0.15">
      <c r="A1357" s="1">
        <v>40788</v>
      </c>
      <c r="B1357" t="s">
        <v>266</v>
      </c>
      <c r="C1357" t="s">
        <v>751</v>
      </c>
      <c r="D1357" t="s">
        <v>768</v>
      </c>
      <c r="E1357" s="4" t="str">
        <f>HYPERLINK("http://snap.windin.com/ns/bulletin.php?id=1705119&amp;type=1", "长城汽车:首次公开发行股票（A股）招股意向书附录一")</f>
        <v>长城汽车:首次公开发行股票（A股）招股意向书附录一</v>
      </c>
      <c r="F1357" t="s">
        <v>2239</v>
      </c>
    </row>
    <row r="1358" spans="1:6" x14ac:dyDescent="0.15">
      <c r="A1358" s="1">
        <v>40788</v>
      </c>
      <c r="B1358" t="s">
        <v>277</v>
      </c>
      <c r="C1358" t="s">
        <v>762</v>
      </c>
      <c r="D1358" t="s">
        <v>455</v>
      </c>
      <c r="E1358" s="4" t="str">
        <f>HYPERLINK("http://snap.windin.com/ns/bulletin.php?id=1717545&amp;type=1", "通光线缆:首次公开发行股票并在创业板上市招股说明书")</f>
        <v>通光线缆:首次公开发行股票并在创业板上市招股说明书</v>
      </c>
      <c r="F1358" t="s">
        <v>2240</v>
      </c>
    </row>
    <row r="1359" spans="1:6" x14ac:dyDescent="0.15">
      <c r="A1359" s="1">
        <v>40788</v>
      </c>
      <c r="B1359" t="s">
        <v>136</v>
      </c>
      <c r="C1359" t="s">
        <v>582</v>
      </c>
      <c r="D1359" t="s">
        <v>455</v>
      </c>
      <c r="E1359" s="4" t="str">
        <f>HYPERLINK("http://snap.windin.com/ns/bulletin.php?id=1992315&amp;type=1", "巴安水务:首次公开发行股票并在创业板上市招股说明书")</f>
        <v>巴安水务:首次公开发行股票并在创业板上市招股说明书</v>
      </c>
      <c r="F1359" t="s">
        <v>2241</v>
      </c>
    </row>
    <row r="1360" spans="1:6" x14ac:dyDescent="0.15">
      <c r="A1360" s="1">
        <v>40787</v>
      </c>
      <c r="B1360" t="s">
        <v>278</v>
      </c>
      <c r="C1360" t="s">
        <v>763</v>
      </c>
      <c r="D1360" t="s">
        <v>399</v>
      </c>
      <c r="E1360" s="4" t="str">
        <f>HYPERLINK("http://snap.windin.com/ns/bulletin.php?id=159860&amp;type=1", "哈尔斯:首次公开发行股票招股说明书")</f>
        <v>哈尔斯:首次公开发行股票招股说明书</v>
      </c>
      <c r="F1360" t="s">
        <v>2242</v>
      </c>
    </row>
    <row r="1361" spans="1:6" x14ac:dyDescent="0.15">
      <c r="A1361" s="1">
        <v>40787</v>
      </c>
      <c r="B1361" t="s">
        <v>278</v>
      </c>
      <c r="C1361" t="s">
        <v>763</v>
      </c>
      <c r="D1361" t="s">
        <v>400</v>
      </c>
      <c r="E1361" s="4" t="str">
        <f>HYPERLINK("http://snap.windin.com/ns/bulletin.php?id=216080&amp;type=1", "哈尔斯:首次公开发行股票招股说明书摘要")</f>
        <v>哈尔斯:首次公开发行股票招股说明书摘要</v>
      </c>
      <c r="F1361" t="s">
        <v>2243</v>
      </c>
    </row>
    <row r="1362" spans="1:6" x14ac:dyDescent="0.15">
      <c r="A1362" s="1">
        <v>40786</v>
      </c>
      <c r="B1362" t="s">
        <v>272</v>
      </c>
      <c r="C1362" t="s">
        <v>757</v>
      </c>
      <c r="D1362" t="s">
        <v>465</v>
      </c>
      <c r="E1362" s="4" t="str">
        <f>HYPERLINK("http://snap.windin.com/ns/bulletin.php?id=18513478&amp;type=1", "长青集团:首次公开发行股票招股意向书")</f>
        <v>长青集团:首次公开发行股票招股意向书</v>
      </c>
      <c r="F1362" t="s">
        <v>2244</v>
      </c>
    </row>
    <row r="1363" spans="1:6" x14ac:dyDescent="0.15">
      <c r="A1363" s="1">
        <v>40786</v>
      </c>
      <c r="B1363" t="s">
        <v>272</v>
      </c>
      <c r="C1363" t="s">
        <v>757</v>
      </c>
      <c r="D1363" t="s">
        <v>465</v>
      </c>
      <c r="E1363" s="4" t="str">
        <f>HYPERLINK("http://snap.windin.com/ns/bulletin.php?id=2090718&amp;type=1", "长青集团:首次公开发行股票招股意向书")</f>
        <v>长青集团:首次公开发行股票招股意向书</v>
      </c>
      <c r="F1363" t="s">
        <v>2245</v>
      </c>
    </row>
    <row r="1364" spans="1:6" x14ac:dyDescent="0.15">
      <c r="A1364" s="1">
        <v>40786</v>
      </c>
      <c r="B1364" t="s">
        <v>272</v>
      </c>
      <c r="C1364" t="s">
        <v>757</v>
      </c>
      <c r="D1364" t="s">
        <v>466</v>
      </c>
      <c r="E1364" s="4" t="str">
        <f>HYPERLINK("http://snap.windin.com/ns/bulletin.php?id=663523&amp;type=1", "长青集团:首次公开发行股票招股意向书摘要")</f>
        <v>长青集团:首次公开发行股票招股意向书摘要</v>
      </c>
      <c r="F1364" t="s">
        <v>2246</v>
      </c>
    </row>
    <row r="1365" spans="1:6" x14ac:dyDescent="0.15">
      <c r="A1365" s="1">
        <v>40785</v>
      </c>
      <c r="B1365" t="s">
        <v>274</v>
      </c>
      <c r="C1365" t="s">
        <v>759</v>
      </c>
      <c r="D1365" t="s">
        <v>465</v>
      </c>
      <c r="E1365" s="4" t="str">
        <f>HYPERLINK("http://snap.windin.com/ns/bulletin.php?id=490012&amp;type=1", "明泰铝业:首次公开发行股票招股意向书")</f>
        <v>明泰铝业:首次公开发行股票招股意向书</v>
      </c>
      <c r="F1365" t="s">
        <v>2247</v>
      </c>
    </row>
    <row r="1366" spans="1:6" x14ac:dyDescent="0.15">
      <c r="A1366" s="1">
        <v>40785</v>
      </c>
      <c r="B1366" t="s">
        <v>274</v>
      </c>
      <c r="C1366" t="s">
        <v>759</v>
      </c>
      <c r="D1366" t="s">
        <v>522</v>
      </c>
      <c r="E1366" s="4" t="str">
        <f>HYPERLINK("http://snap.windin.com/ns/bulletin.php?id=764216&amp;type=1", "明泰铝业:首次公开发行股票招股意向书附录二")</f>
        <v>明泰铝业:首次公开发行股票招股意向书附录二</v>
      </c>
      <c r="F1366" t="s">
        <v>2248</v>
      </c>
    </row>
    <row r="1367" spans="1:6" x14ac:dyDescent="0.15">
      <c r="A1367" s="1">
        <v>40785</v>
      </c>
      <c r="B1367" t="s">
        <v>274</v>
      </c>
      <c r="C1367" t="s">
        <v>759</v>
      </c>
      <c r="D1367" t="s">
        <v>521</v>
      </c>
      <c r="E1367" s="4" t="str">
        <f>HYPERLINK("http://snap.windin.com/ns/bulletin.php?id=1529740&amp;type=1", "明泰铝业:首次公开发行股票招股意向书附录三")</f>
        <v>明泰铝业:首次公开发行股票招股意向书附录三</v>
      </c>
      <c r="F1367" t="s">
        <v>2249</v>
      </c>
    </row>
    <row r="1368" spans="1:6" x14ac:dyDescent="0.15">
      <c r="A1368" s="1">
        <v>40785</v>
      </c>
      <c r="B1368" t="s">
        <v>274</v>
      </c>
      <c r="C1368" t="s">
        <v>759</v>
      </c>
      <c r="D1368" t="s">
        <v>523</v>
      </c>
      <c r="E1368" s="4" t="str">
        <f>HYPERLINK("http://snap.windin.com/ns/bulletin.php?id=1433490&amp;type=1", "明泰铝业:首次公开发行股票招股意向书附录四")</f>
        <v>明泰铝业:首次公开发行股票招股意向书附录四</v>
      </c>
      <c r="F1368" t="s">
        <v>2250</v>
      </c>
    </row>
    <row r="1369" spans="1:6" x14ac:dyDescent="0.15">
      <c r="A1369" s="1">
        <v>40785</v>
      </c>
      <c r="B1369" t="s">
        <v>274</v>
      </c>
      <c r="C1369" t="s">
        <v>759</v>
      </c>
      <c r="D1369" t="s">
        <v>520</v>
      </c>
      <c r="E1369" s="4" t="str">
        <f>HYPERLINK("http://snap.windin.com/ns/bulletin.php?id=1722196&amp;type=1", "明泰铝业:首次公开发行股票招股意向书附录一")</f>
        <v>明泰铝业:首次公开发行股票招股意向书附录一</v>
      </c>
      <c r="F1369" t="s">
        <v>2251</v>
      </c>
    </row>
    <row r="1370" spans="1:6" x14ac:dyDescent="0.15">
      <c r="A1370" s="1">
        <v>40785</v>
      </c>
      <c r="B1370" t="s">
        <v>274</v>
      </c>
      <c r="C1370" t="s">
        <v>759</v>
      </c>
      <c r="D1370" t="s">
        <v>466</v>
      </c>
      <c r="E1370" s="4" t="str">
        <f>HYPERLINK("http://snap.windin.com/ns/bulletin.php?id=1316227&amp;type=1", "明泰铝业:首次公开发行股票招股意向书摘要")</f>
        <v>明泰铝业:首次公开发行股票招股意向书摘要</v>
      </c>
      <c r="F1370" t="s">
        <v>2252</v>
      </c>
    </row>
    <row r="1371" spans="1:6" x14ac:dyDescent="0.15">
      <c r="A1371" s="1">
        <v>40785</v>
      </c>
      <c r="B1371" t="s">
        <v>273</v>
      </c>
      <c r="C1371" t="s">
        <v>758</v>
      </c>
      <c r="D1371" t="s">
        <v>465</v>
      </c>
      <c r="E1371" s="4" t="str">
        <f>HYPERLINK("http://snap.windin.com/ns/bulletin.php?id=1857020&amp;type=1", "丹邦科技:首次公开发行股票招股意向书")</f>
        <v>丹邦科技:首次公开发行股票招股意向书</v>
      </c>
      <c r="F1371" t="s">
        <v>2253</v>
      </c>
    </row>
    <row r="1372" spans="1:6" x14ac:dyDescent="0.15">
      <c r="A1372" s="1">
        <v>40785</v>
      </c>
      <c r="B1372" t="s">
        <v>273</v>
      </c>
      <c r="C1372" t="s">
        <v>758</v>
      </c>
      <c r="D1372" t="s">
        <v>466</v>
      </c>
      <c r="E1372" s="4" t="str">
        <f>HYPERLINK("http://snap.windin.com/ns/bulletin.php?id=1654963&amp;type=1", "丹邦科技:首次公开发行股票招股意向书摘要")</f>
        <v>丹邦科技:首次公开发行股票招股意向书摘要</v>
      </c>
      <c r="F1372" t="s">
        <v>2254</v>
      </c>
    </row>
    <row r="1373" spans="1:6" x14ac:dyDescent="0.15">
      <c r="A1373" s="1">
        <v>40785</v>
      </c>
      <c r="B1373" t="s">
        <v>54</v>
      </c>
      <c r="C1373" t="s">
        <v>481</v>
      </c>
      <c r="D1373" t="s">
        <v>465</v>
      </c>
      <c r="E1373" s="4" t="str">
        <f>HYPERLINK("http://snap.windin.com/ns/bulletin.php?id=1861689&amp;type=1", "露笑科技:首次公开发行股票招股意向书")</f>
        <v>露笑科技:首次公开发行股票招股意向书</v>
      </c>
      <c r="F1373" t="s">
        <v>2255</v>
      </c>
    </row>
    <row r="1374" spans="1:6" x14ac:dyDescent="0.15">
      <c r="A1374" s="1">
        <v>40785</v>
      </c>
      <c r="B1374" t="s">
        <v>54</v>
      </c>
      <c r="C1374" t="s">
        <v>481</v>
      </c>
      <c r="D1374" t="s">
        <v>466</v>
      </c>
      <c r="E1374" s="4" t="str">
        <f>HYPERLINK("http://snap.windin.com/ns/bulletin.php?id=1942571&amp;type=1", "露笑科技:首次公开发行股票招股意向书摘要")</f>
        <v>露笑科技:首次公开发行股票招股意向书摘要</v>
      </c>
      <c r="F1374" t="s">
        <v>2256</v>
      </c>
    </row>
    <row r="1375" spans="1:6" x14ac:dyDescent="0.15">
      <c r="A1375" s="1">
        <v>40785</v>
      </c>
      <c r="B1375" t="s">
        <v>279</v>
      </c>
      <c r="C1375" t="s">
        <v>764</v>
      </c>
      <c r="D1375" t="s">
        <v>399</v>
      </c>
      <c r="E1375" s="4" t="str">
        <f>HYPERLINK("http://snap.windin.com/ns/bulletin.php?id=1823620&amp;type=1", "蒙发利:首次公开发行股票招股说明书")</f>
        <v>蒙发利:首次公开发行股票招股说明书</v>
      </c>
      <c r="F1375" t="s">
        <v>2257</v>
      </c>
    </row>
    <row r="1376" spans="1:6" x14ac:dyDescent="0.15">
      <c r="A1376" s="1">
        <v>40785</v>
      </c>
      <c r="B1376" t="s">
        <v>279</v>
      </c>
      <c r="C1376" t="s">
        <v>764</v>
      </c>
      <c r="D1376" t="s">
        <v>400</v>
      </c>
      <c r="E1376" s="4" t="str">
        <f>HYPERLINK("http://snap.windin.com/ns/bulletin.php?id=121053&amp;type=1", "蒙发利:首次公开发行股票招股说明书摘要")</f>
        <v>蒙发利:首次公开发行股票招股说明书摘要</v>
      </c>
      <c r="F1376" t="s">
        <v>2258</v>
      </c>
    </row>
    <row r="1377" spans="1:6" x14ac:dyDescent="0.15">
      <c r="A1377" s="1">
        <v>40784</v>
      </c>
      <c r="B1377" t="s">
        <v>284</v>
      </c>
      <c r="C1377" t="s">
        <v>771</v>
      </c>
      <c r="D1377" t="s">
        <v>407</v>
      </c>
      <c r="E1377" s="4" t="str">
        <f>HYPERLINK("http://snap.windin.com/ns/bulletin.php?id=1771989&amp;type=1", "新天科技:首次公开发行股票并在创业板上市公告书提示性公告")</f>
        <v>新天科技:首次公开发行股票并在创业板上市公告书提示性公告</v>
      </c>
      <c r="F1377" t="s">
        <v>2259</v>
      </c>
    </row>
    <row r="1378" spans="1:6" x14ac:dyDescent="0.15">
      <c r="A1378" s="1">
        <v>40784</v>
      </c>
      <c r="B1378" t="s">
        <v>284</v>
      </c>
      <c r="C1378" t="s">
        <v>771</v>
      </c>
      <c r="D1378" t="s">
        <v>408</v>
      </c>
      <c r="E1378" s="4" t="str">
        <f>HYPERLINK("http://snap.windin.com/ns/bulletin.php?id=1931453&amp;type=1", "新天科技:首次公开发行股票并在创业板上市之上市公告书")</f>
        <v>新天科技:首次公开发行股票并在创业板上市之上市公告书</v>
      </c>
      <c r="F1378" t="s">
        <v>2260</v>
      </c>
    </row>
    <row r="1379" spans="1:6" x14ac:dyDescent="0.15">
      <c r="A1379" s="1">
        <v>40784</v>
      </c>
      <c r="B1379" t="s">
        <v>283</v>
      </c>
      <c r="C1379" t="s">
        <v>770</v>
      </c>
      <c r="D1379" t="s">
        <v>389</v>
      </c>
      <c r="E1379" s="4" t="str">
        <f>HYPERLINK("http://snap.windin.com/ns/bulletin.php?id=1932664&amp;type=1", "北玻股份:首次公开发行股票上市公告书")</f>
        <v>北玻股份:首次公开发行股票上市公告书</v>
      </c>
      <c r="F1379" t="s">
        <v>2261</v>
      </c>
    </row>
    <row r="1380" spans="1:6" x14ac:dyDescent="0.15">
      <c r="A1380" s="1">
        <v>40784</v>
      </c>
      <c r="B1380" t="s">
        <v>285</v>
      </c>
      <c r="C1380" t="s">
        <v>772</v>
      </c>
      <c r="D1380" t="s">
        <v>389</v>
      </c>
      <c r="E1380" s="4" t="str">
        <f>HYPERLINK("http://snap.windin.com/ns/bulletin.php?id=167046&amp;type=1", "朗姿股份:首次公开发行股票上市公告书")</f>
        <v>朗姿股份:首次公开发行股票上市公告书</v>
      </c>
      <c r="F1380" t="s">
        <v>2262</v>
      </c>
    </row>
    <row r="1381" spans="1:6" x14ac:dyDescent="0.15">
      <c r="A1381" s="1">
        <v>40784</v>
      </c>
      <c r="B1381" t="s">
        <v>271</v>
      </c>
      <c r="C1381" t="s">
        <v>756</v>
      </c>
      <c r="D1381" t="s">
        <v>389</v>
      </c>
      <c r="E1381" s="4" t="str">
        <f>HYPERLINK("http://snap.windin.com/ns/bulletin.php?id=492895&amp;type=1", "东方精工:首次公开发行股票上市公告书")</f>
        <v>东方精工:首次公开发行股票上市公告书</v>
      </c>
      <c r="F1381" t="s">
        <v>2263</v>
      </c>
    </row>
    <row r="1382" spans="1:6" x14ac:dyDescent="0.15">
      <c r="A1382" s="1">
        <v>40781</v>
      </c>
      <c r="B1382" t="s">
        <v>277</v>
      </c>
      <c r="C1382" t="s">
        <v>762</v>
      </c>
      <c r="D1382" t="s">
        <v>471</v>
      </c>
      <c r="E1382" s="4" t="str">
        <f>HYPERLINK("http://snap.windin.com/ns/bulletin.php?id=18448542&amp;type=1", "通光线缆:首次公开发行股票并在创业板上市招股意向书")</f>
        <v>通光线缆:首次公开发行股票并在创业板上市招股意向书</v>
      </c>
      <c r="F1382" t="s">
        <v>2264</v>
      </c>
    </row>
    <row r="1383" spans="1:6" x14ac:dyDescent="0.15">
      <c r="A1383" s="1">
        <v>40781</v>
      </c>
      <c r="B1383" t="s">
        <v>277</v>
      </c>
      <c r="C1383" t="s">
        <v>762</v>
      </c>
      <c r="D1383" t="s">
        <v>471</v>
      </c>
      <c r="E1383" s="4" t="str">
        <f>HYPERLINK("http://snap.windin.com/ns/bulletin.php?id=459626&amp;type=1", "通光线缆:首次公开发行股票并在创业板上市招股意向书")</f>
        <v>通光线缆:首次公开发行股票并在创业板上市招股意向书</v>
      </c>
      <c r="F1383" t="s">
        <v>2265</v>
      </c>
    </row>
    <row r="1384" spans="1:6" x14ac:dyDescent="0.15">
      <c r="A1384" s="1">
        <v>40781</v>
      </c>
      <c r="B1384" t="s">
        <v>275</v>
      </c>
      <c r="C1384" t="s">
        <v>760</v>
      </c>
      <c r="D1384" t="s">
        <v>471</v>
      </c>
      <c r="E1384" s="4" t="str">
        <f>HYPERLINK("http://snap.windin.com/ns/bulletin.php?id=457272&amp;type=1", "佳创视讯:首次公开发行股票并在创业板上市招股意向书")</f>
        <v>佳创视讯:首次公开发行股票并在创业板上市招股意向书</v>
      </c>
      <c r="F1384" t="s">
        <v>2266</v>
      </c>
    </row>
    <row r="1385" spans="1:6" x14ac:dyDescent="0.15">
      <c r="A1385" s="1">
        <v>40781</v>
      </c>
      <c r="B1385" t="s">
        <v>276</v>
      </c>
      <c r="C1385" t="s">
        <v>761</v>
      </c>
      <c r="D1385" t="s">
        <v>471</v>
      </c>
      <c r="E1385" s="4" t="str">
        <f>HYPERLINK("http://snap.windin.com/ns/bulletin.php?id=233970&amp;type=1", "隆华传热:首次公开发行股票并在创业板上市招股意向书")</f>
        <v>隆华传热:首次公开发行股票并在创业板上市招股意向书</v>
      </c>
      <c r="F1385" t="s">
        <v>2267</v>
      </c>
    </row>
    <row r="1386" spans="1:6" x14ac:dyDescent="0.15">
      <c r="A1386" s="1">
        <v>40781</v>
      </c>
      <c r="B1386" t="s">
        <v>136</v>
      </c>
      <c r="C1386" t="s">
        <v>582</v>
      </c>
      <c r="D1386" t="s">
        <v>471</v>
      </c>
      <c r="E1386" s="4" t="str">
        <f>HYPERLINK("http://snap.windin.com/ns/bulletin.php?id=1100918&amp;type=1", "巴安水务:首次公开发行股票并在创业板上市招股意向书")</f>
        <v>巴安水务:首次公开发行股票并在创业板上市招股意向书</v>
      </c>
      <c r="F1386" t="s">
        <v>2268</v>
      </c>
    </row>
    <row r="1387" spans="1:6" x14ac:dyDescent="0.15">
      <c r="A1387" s="1">
        <v>40781</v>
      </c>
      <c r="B1387" t="s">
        <v>281</v>
      </c>
      <c r="C1387" t="s">
        <v>766</v>
      </c>
      <c r="D1387" t="s">
        <v>455</v>
      </c>
      <c r="E1387" s="4" t="str">
        <f>HYPERLINK("http://snap.windin.com/ns/bulletin.php?id=986199&amp;type=1", "雅本化学:首次公开发行股票并在创业板上市招股说明书")</f>
        <v>雅本化学:首次公开发行股票并在创业板上市招股说明书</v>
      </c>
      <c r="F1387" t="s">
        <v>2269</v>
      </c>
    </row>
    <row r="1388" spans="1:6" x14ac:dyDescent="0.15">
      <c r="A1388" s="1">
        <v>40780</v>
      </c>
      <c r="B1388" t="s">
        <v>286</v>
      </c>
      <c r="C1388" t="s">
        <v>773</v>
      </c>
      <c r="D1388" t="s">
        <v>383</v>
      </c>
      <c r="E1388" s="4" t="str">
        <f>HYPERLINK("http://snap.windin.com/ns/bulletin.php?id=1039117&amp;type=1", "精锻科技:首次公开发行股票并在创业板上市上市公告书提示性公告")</f>
        <v>精锻科技:首次公开发行股票并在创业板上市上市公告书提示性公告</v>
      </c>
      <c r="F1388" t="s">
        <v>2270</v>
      </c>
    </row>
    <row r="1389" spans="1:6" x14ac:dyDescent="0.15">
      <c r="A1389" s="1">
        <v>40780</v>
      </c>
      <c r="B1389" t="s">
        <v>286</v>
      </c>
      <c r="C1389" t="s">
        <v>773</v>
      </c>
      <c r="D1389" t="s">
        <v>408</v>
      </c>
      <c r="E1389" s="4" t="str">
        <f>HYPERLINK("http://snap.windin.com/ns/bulletin.php?id=1463873&amp;type=1", "精锻科技:首次公开发行股票并在创业板上市之上市公告书")</f>
        <v>精锻科技:首次公开发行股票并在创业板上市之上市公告书</v>
      </c>
      <c r="F1389" t="s">
        <v>2271</v>
      </c>
    </row>
    <row r="1390" spans="1:6" x14ac:dyDescent="0.15">
      <c r="A1390" s="1">
        <v>40778</v>
      </c>
      <c r="B1390" t="s">
        <v>278</v>
      </c>
      <c r="C1390" t="s">
        <v>763</v>
      </c>
      <c r="D1390" t="s">
        <v>465</v>
      </c>
      <c r="E1390" s="4" t="str">
        <f>HYPERLINK("http://snap.windin.com/ns/bulletin.php?id=18439130&amp;type=1", "哈尔斯:首次公开发行股票招股意向书")</f>
        <v>哈尔斯:首次公开发行股票招股意向书</v>
      </c>
      <c r="F1390" t="s">
        <v>2272</v>
      </c>
    </row>
    <row r="1391" spans="1:6" x14ac:dyDescent="0.15">
      <c r="A1391" s="1">
        <v>40778</v>
      </c>
      <c r="B1391" t="s">
        <v>278</v>
      </c>
      <c r="C1391" t="s">
        <v>763</v>
      </c>
      <c r="D1391" t="s">
        <v>465</v>
      </c>
      <c r="E1391" s="4" t="str">
        <f>HYPERLINK("http://snap.windin.com/ns/bulletin.php?id=197394&amp;type=1", "哈尔斯:首次公开发行股票招股意向书")</f>
        <v>哈尔斯:首次公开发行股票招股意向书</v>
      </c>
      <c r="F1391" t="s">
        <v>2273</v>
      </c>
    </row>
    <row r="1392" spans="1:6" x14ac:dyDescent="0.15">
      <c r="A1392" s="1">
        <v>40778</v>
      </c>
      <c r="B1392" t="s">
        <v>278</v>
      </c>
      <c r="C1392" t="s">
        <v>763</v>
      </c>
      <c r="D1392" t="s">
        <v>466</v>
      </c>
      <c r="E1392" s="4" t="str">
        <f>HYPERLINK("http://snap.windin.com/ns/bulletin.php?id=418594&amp;type=1", "哈尔斯:首次公开发行股票招股意向书摘要")</f>
        <v>哈尔斯:首次公开发行股票招股意向书摘要</v>
      </c>
      <c r="F1392" t="s">
        <v>2274</v>
      </c>
    </row>
    <row r="1393" spans="1:6" x14ac:dyDescent="0.15">
      <c r="A1393" s="1">
        <v>40778</v>
      </c>
      <c r="B1393" t="s">
        <v>279</v>
      </c>
      <c r="C1393" t="s">
        <v>764</v>
      </c>
      <c r="D1393" t="s">
        <v>478</v>
      </c>
      <c r="E1393" s="4" t="str">
        <f>HYPERLINK("http://snap.windin.com/ns/bulletin.php?id=1976109&amp;type=1", "蒙发利:首次公开发行股票并上市招股意向书")</f>
        <v>蒙发利:首次公开发行股票并上市招股意向书</v>
      </c>
      <c r="F1393" t="s">
        <v>2275</v>
      </c>
    </row>
    <row r="1394" spans="1:6" x14ac:dyDescent="0.15">
      <c r="A1394" s="1">
        <v>40778</v>
      </c>
      <c r="B1394" t="s">
        <v>279</v>
      </c>
      <c r="C1394" t="s">
        <v>764</v>
      </c>
      <c r="D1394" t="s">
        <v>477</v>
      </c>
      <c r="E1394" s="4" t="str">
        <f>HYPERLINK("http://snap.windin.com/ns/bulletin.php?id=160393&amp;type=1", "蒙发利:首次公开发行股票并上市招股意向书摘要")</f>
        <v>蒙发利:首次公开发行股票并上市招股意向书摘要</v>
      </c>
      <c r="F1394" t="s">
        <v>2276</v>
      </c>
    </row>
    <row r="1395" spans="1:6" x14ac:dyDescent="0.15">
      <c r="A1395" s="1">
        <v>40777</v>
      </c>
      <c r="B1395" t="s">
        <v>282</v>
      </c>
      <c r="C1395" t="s">
        <v>767</v>
      </c>
      <c r="D1395" t="s">
        <v>455</v>
      </c>
      <c r="E1395" s="4" t="str">
        <f>HYPERLINK("http://snap.windin.com/ns/bulletin.php?id=768710&amp;type=1", "新莱应材:首次公开发行股票并在创业板上市招股说明书")</f>
        <v>新莱应材:首次公开发行股票并在创业板上市招股说明书</v>
      </c>
      <c r="F1395" t="s">
        <v>2277</v>
      </c>
    </row>
    <row r="1396" spans="1:6" x14ac:dyDescent="0.15">
      <c r="A1396" s="1">
        <v>40777</v>
      </c>
      <c r="B1396" t="s">
        <v>283</v>
      </c>
      <c r="C1396" t="s">
        <v>770</v>
      </c>
      <c r="D1396" t="s">
        <v>399</v>
      </c>
      <c r="E1396" s="4" t="str">
        <f>HYPERLINK("http://snap.windin.com/ns/bulletin.php?id=2109245&amp;type=1", "北玻股份:首次公开发行股票招股说明书")</f>
        <v>北玻股份:首次公开发行股票招股说明书</v>
      </c>
      <c r="F1396" t="s">
        <v>2278</v>
      </c>
    </row>
    <row r="1397" spans="1:6" x14ac:dyDescent="0.15">
      <c r="A1397" s="1">
        <v>40777</v>
      </c>
      <c r="B1397" t="s">
        <v>283</v>
      </c>
      <c r="C1397" t="s">
        <v>770</v>
      </c>
      <c r="D1397" t="s">
        <v>400</v>
      </c>
      <c r="E1397" s="4" t="str">
        <f>HYPERLINK("http://snap.windin.com/ns/bulletin.php?id=1012548&amp;type=1", "北玻股份:首次公开发行股票招股说明书摘要")</f>
        <v>北玻股份:首次公开发行股票招股说明书摘要</v>
      </c>
      <c r="F1397" t="s">
        <v>2279</v>
      </c>
    </row>
    <row r="1398" spans="1:6" x14ac:dyDescent="0.15">
      <c r="A1398" s="1">
        <v>40774</v>
      </c>
      <c r="B1398" t="s">
        <v>281</v>
      </c>
      <c r="C1398" t="s">
        <v>766</v>
      </c>
      <c r="D1398" t="s">
        <v>471</v>
      </c>
      <c r="E1398" s="4" t="str">
        <f>HYPERLINK("http://snap.windin.com/ns/bulletin.php?id=19405586&amp;type=1", "雅本化学:首次公开发行股票并在创业板上市招股意向书")</f>
        <v>雅本化学:首次公开发行股票并在创业板上市招股意向书</v>
      </c>
      <c r="F1398" t="s">
        <v>2280</v>
      </c>
    </row>
    <row r="1399" spans="1:6" x14ac:dyDescent="0.15">
      <c r="A1399" s="1">
        <v>40774</v>
      </c>
      <c r="B1399" t="s">
        <v>281</v>
      </c>
      <c r="C1399" t="s">
        <v>766</v>
      </c>
      <c r="D1399" t="s">
        <v>471</v>
      </c>
      <c r="E1399" s="4" t="str">
        <f>HYPERLINK("http://snap.windin.com/ns/bulletin.php?id=1484036&amp;type=1", "雅本化学:首次公开发行股票并在创业板上市招股意向书")</f>
        <v>雅本化学:首次公开发行股票并在创业板上市招股意向书</v>
      </c>
      <c r="F1399" t="s">
        <v>2281</v>
      </c>
    </row>
    <row r="1400" spans="1:6" x14ac:dyDescent="0.15">
      <c r="A1400" s="1">
        <v>40773</v>
      </c>
      <c r="B1400" t="s">
        <v>280</v>
      </c>
      <c r="C1400" t="s">
        <v>765</v>
      </c>
      <c r="D1400" t="s">
        <v>673</v>
      </c>
      <c r="E1400" s="4" t="str">
        <f>HYPERLINK("http://snap.windin.com/ns/bulletin.php?id=1654071&amp;type=1", "京运通:首次公开发行股票（A股）招股意向书")</f>
        <v>京运通:首次公开发行股票（A股）招股意向书</v>
      </c>
      <c r="F1400" t="s">
        <v>2282</v>
      </c>
    </row>
    <row r="1401" spans="1:6" x14ac:dyDescent="0.15">
      <c r="A1401" s="1">
        <v>40773</v>
      </c>
      <c r="B1401" t="s">
        <v>280</v>
      </c>
      <c r="C1401" t="s">
        <v>765</v>
      </c>
      <c r="D1401" t="s">
        <v>769</v>
      </c>
      <c r="E1401" s="4" t="str">
        <f>HYPERLINK("http://snap.windin.com/ns/bulletin.php?id=1802947&amp;type=1", "京运通:首次公开发行股票（A股）招股意向书附录二")</f>
        <v>京运通:首次公开发行股票（A股）招股意向书附录二</v>
      </c>
      <c r="F1401" t="s">
        <v>2283</v>
      </c>
    </row>
    <row r="1402" spans="1:6" x14ac:dyDescent="0.15">
      <c r="A1402" s="1">
        <v>40773</v>
      </c>
      <c r="B1402" t="s">
        <v>280</v>
      </c>
      <c r="C1402" t="s">
        <v>765</v>
      </c>
      <c r="D1402" t="s">
        <v>768</v>
      </c>
      <c r="E1402" s="4" t="str">
        <f>HYPERLINK("http://snap.windin.com/ns/bulletin.php?id=1958563&amp;type=1", "京运通:首次公开发行股票（A股）招股意向书附录一")</f>
        <v>京运通:首次公开发行股票（A股）招股意向书附录一</v>
      </c>
      <c r="F1402" t="s">
        <v>2284</v>
      </c>
    </row>
    <row r="1403" spans="1:6" x14ac:dyDescent="0.15">
      <c r="A1403" s="1">
        <v>40773</v>
      </c>
      <c r="B1403" t="s">
        <v>280</v>
      </c>
      <c r="C1403" t="s">
        <v>765</v>
      </c>
      <c r="D1403" t="s">
        <v>672</v>
      </c>
      <c r="E1403" s="4" t="str">
        <f>HYPERLINK("http://snap.windin.com/ns/bulletin.php?id=1454749&amp;type=1", "京运通:首次公开发行股票（A股）招股意向书摘要")</f>
        <v>京运通:首次公开发行股票（A股）招股意向书摘要</v>
      </c>
      <c r="F1403" t="s">
        <v>2285</v>
      </c>
    </row>
    <row r="1404" spans="1:6" x14ac:dyDescent="0.15">
      <c r="A1404" s="1">
        <v>40773</v>
      </c>
      <c r="B1404" t="s">
        <v>289</v>
      </c>
      <c r="C1404" t="s">
        <v>776</v>
      </c>
      <c r="D1404" t="s">
        <v>417</v>
      </c>
      <c r="E1404" s="4" t="str">
        <f>HYPERLINK("http://snap.windin.com/ns/bulletin.php?id=1484847&amp;type=1", "开山股份:首次公开发行股票并在创业板上市公告书")</f>
        <v>开山股份:首次公开发行股票并在创业板上市公告书</v>
      </c>
      <c r="F1404" t="s">
        <v>2286</v>
      </c>
    </row>
    <row r="1405" spans="1:6" x14ac:dyDescent="0.15">
      <c r="A1405" s="1">
        <v>40773</v>
      </c>
      <c r="B1405" t="s">
        <v>289</v>
      </c>
      <c r="C1405" t="s">
        <v>776</v>
      </c>
      <c r="D1405" t="s">
        <v>383</v>
      </c>
      <c r="E1405" s="4" t="str">
        <f>HYPERLINK("http://snap.windin.com/ns/bulletin.php?id=1083088&amp;type=1", "开山股份:首次公开发行股票并在创业板上市上市公告书提示性公告")</f>
        <v>开山股份:首次公开发行股票并在创业板上市上市公告书提示性公告</v>
      </c>
      <c r="F1405" t="s">
        <v>2287</v>
      </c>
    </row>
    <row r="1406" spans="1:6" x14ac:dyDescent="0.15">
      <c r="A1406" s="1">
        <v>40773</v>
      </c>
      <c r="B1406" t="s">
        <v>290</v>
      </c>
      <c r="C1406" t="s">
        <v>777</v>
      </c>
      <c r="D1406" t="s">
        <v>412</v>
      </c>
      <c r="E1406" s="4" t="str">
        <f>HYPERLINK("http://snap.windin.com/ns/bulletin.php?id=732563&amp;type=1", "星星科技:首次公开发行股票并在创业板上市上市公告书")</f>
        <v>星星科技:首次公开发行股票并在创业板上市上市公告书</v>
      </c>
      <c r="F1406" t="s">
        <v>2288</v>
      </c>
    </row>
    <row r="1407" spans="1:6" x14ac:dyDescent="0.15">
      <c r="A1407" s="1">
        <v>40773</v>
      </c>
      <c r="B1407" t="s">
        <v>290</v>
      </c>
      <c r="C1407" t="s">
        <v>777</v>
      </c>
      <c r="D1407" t="s">
        <v>383</v>
      </c>
      <c r="E1407" s="4" t="str">
        <f>HYPERLINK("http://snap.windin.com/ns/bulletin.php?id=412735&amp;type=1", "星星科技:首次公开发行股票并在创业板上市上市公告书提示性公告")</f>
        <v>星星科技:首次公开发行股票并在创业板上市上市公告书提示性公告</v>
      </c>
      <c r="F1407" t="s">
        <v>2289</v>
      </c>
    </row>
    <row r="1408" spans="1:6" x14ac:dyDescent="0.15">
      <c r="A1408" s="1">
        <v>40773</v>
      </c>
      <c r="B1408" t="s">
        <v>288</v>
      </c>
      <c r="C1408" t="s">
        <v>775</v>
      </c>
      <c r="D1408" t="s">
        <v>417</v>
      </c>
      <c r="E1408" s="4" t="str">
        <f>HYPERLINK("http://snap.windin.com/ns/bulletin.php?id=733466&amp;type=1", "常山药业:首次公开发行股票并在创业板上市公告书")</f>
        <v>常山药业:首次公开发行股票并在创业板上市公告书</v>
      </c>
      <c r="F1408" t="s">
        <v>2290</v>
      </c>
    </row>
    <row r="1409" spans="1:6" x14ac:dyDescent="0.15">
      <c r="A1409" s="1">
        <v>40773</v>
      </c>
      <c r="B1409" t="s">
        <v>288</v>
      </c>
      <c r="C1409" t="s">
        <v>775</v>
      </c>
      <c r="D1409" t="s">
        <v>407</v>
      </c>
      <c r="E1409" s="4" t="str">
        <f>HYPERLINK("http://snap.windin.com/ns/bulletin.php?id=1948283&amp;type=1", "常山药业:首次公开发行股票并在创业板上市公告书提示性公告")</f>
        <v>常山药业:首次公开发行股票并在创业板上市公告书提示性公告</v>
      </c>
      <c r="F1409" t="s">
        <v>2291</v>
      </c>
    </row>
    <row r="1410" spans="1:6" x14ac:dyDescent="0.15">
      <c r="A1410" s="1">
        <v>40773</v>
      </c>
      <c r="B1410" t="s">
        <v>287</v>
      </c>
      <c r="C1410" t="s">
        <v>774</v>
      </c>
      <c r="D1410" t="s">
        <v>383</v>
      </c>
      <c r="E1410" s="4" t="str">
        <f>HYPERLINK("http://snap.windin.com/ns/bulletin.php?id=757834&amp;type=1", "仟源制药:首次公开发行股票并在创业板上市上市公告书提示性公告")</f>
        <v>仟源制药:首次公开发行股票并在创业板上市上市公告书提示性公告</v>
      </c>
      <c r="F1410" t="s">
        <v>2292</v>
      </c>
    </row>
    <row r="1411" spans="1:6" x14ac:dyDescent="0.15">
      <c r="A1411" s="1">
        <v>40773</v>
      </c>
      <c r="B1411" t="s">
        <v>287</v>
      </c>
      <c r="C1411" t="s">
        <v>774</v>
      </c>
      <c r="D1411" t="s">
        <v>408</v>
      </c>
      <c r="E1411" s="4" t="str">
        <f>HYPERLINK("http://snap.windin.com/ns/bulletin.php?id=1969779&amp;type=1", "仟源制药:首次公开发行股票并在创业板上市之上市公告书")</f>
        <v>仟源制药:首次公开发行股票并在创业板上市之上市公告书</v>
      </c>
      <c r="F1411" t="s">
        <v>2293</v>
      </c>
    </row>
    <row r="1412" spans="1:6" x14ac:dyDescent="0.15">
      <c r="A1412" s="1">
        <v>40773</v>
      </c>
      <c r="B1412" t="s">
        <v>285</v>
      </c>
      <c r="C1412" t="s">
        <v>772</v>
      </c>
      <c r="D1412" t="s">
        <v>399</v>
      </c>
      <c r="E1412" s="4" t="str">
        <f>HYPERLINK("http://snap.windin.com/ns/bulletin.php?id=1999300&amp;type=1", "朗姿股份:首次公开发行股票招股说明书")</f>
        <v>朗姿股份:首次公开发行股票招股说明书</v>
      </c>
      <c r="F1412" t="s">
        <v>2294</v>
      </c>
    </row>
    <row r="1413" spans="1:6" x14ac:dyDescent="0.15">
      <c r="A1413" s="1">
        <v>40773</v>
      </c>
      <c r="B1413" t="s">
        <v>285</v>
      </c>
      <c r="C1413" t="s">
        <v>772</v>
      </c>
      <c r="D1413" t="s">
        <v>400</v>
      </c>
      <c r="E1413" s="4" t="str">
        <f>HYPERLINK("http://snap.windin.com/ns/bulletin.php?id=1473471&amp;type=1", "朗姿股份:首次公开发行股票招股说明书摘要")</f>
        <v>朗姿股份:首次公开发行股票招股说明书摘要</v>
      </c>
      <c r="F1413" t="s">
        <v>2295</v>
      </c>
    </row>
    <row r="1414" spans="1:6" x14ac:dyDescent="0.15">
      <c r="A1414" s="1">
        <v>40772</v>
      </c>
      <c r="B1414" t="s">
        <v>291</v>
      </c>
      <c r="C1414" t="s">
        <v>778</v>
      </c>
      <c r="D1414" t="s">
        <v>402</v>
      </c>
      <c r="E1414" s="4" t="str">
        <f>HYPERLINK("http://snap.windin.com/ns/bulletin.php?id=2016831&amp;type=1", "江河幕墙:首次公开发行A股股票上市公告书")</f>
        <v>江河幕墙:首次公开发行A股股票上市公告书</v>
      </c>
      <c r="F1414" t="s">
        <v>2296</v>
      </c>
    </row>
    <row r="1415" spans="1:6" x14ac:dyDescent="0.15">
      <c r="A1415" s="1">
        <v>40772</v>
      </c>
      <c r="B1415" t="s">
        <v>291</v>
      </c>
      <c r="C1415" t="s">
        <v>778</v>
      </c>
      <c r="D1415" t="s">
        <v>462</v>
      </c>
      <c r="E1415" s="4" t="str">
        <f>HYPERLINK("http://snap.windin.com/ns/bulletin.php?id=504358&amp;type=1", "江河幕墙:首次公开发行A股股票招股说明书")</f>
        <v>江河幕墙:首次公开发行A股股票招股说明书</v>
      </c>
      <c r="F1415" t="s">
        <v>2297</v>
      </c>
    </row>
    <row r="1416" spans="1:6" x14ac:dyDescent="0.15">
      <c r="A1416" s="1">
        <v>40772</v>
      </c>
      <c r="B1416" t="s">
        <v>284</v>
      </c>
      <c r="C1416" t="s">
        <v>771</v>
      </c>
      <c r="D1416" t="s">
        <v>455</v>
      </c>
      <c r="E1416" s="4" t="str">
        <f>HYPERLINK("http://snap.windin.com/ns/bulletin.php?id=834511&amp;type=1", "新天科技:首次公开发行股票并在创业板上市招股说明书")</f>
        <v>新天科技:首次公开发行股票并在创业板上市招股说明书</v>
      </c>
      <c r="F1416" t="s">
        <v>2298</v>
      </c>
    </row>
    <row r="1417" spans="1:6" x14ac:dyDescent="0.15">
      <c r="A1417" s="1">
        <v>40772</v>
      </c>
      <c r="B1417" t="s">
        <v>293</v>
      </c>
      <c r="C1417" t="s">
        <v>780</v>
      </c>
      <c r="D1417" t="s">
        <v>407</v>
      </c>
      <c r="E1417" s="4" t="str">
        <f>HYPERLINK("http://snap.windin.com/ns/bulletin.php?id=1142277&amp;type=1", "卫宁软件:首次公开发行股票并在创业板上市公告书提示性公告")</f>
        <v>卫宁软件:首次公开发行股票并在创业板上市公告书提示性公告</v>
      </c>
      <c r="F1417" t="s">
        <v>2299</v>
      </c>
    </row>
    <row r="1418" spans="1:6" x14ac:dyDescent="0.15">
      <c r="A1418" s="1">
        <v>40772</v>
      </c>
      <c r="B1418" t="s">
        <v>293</v>
      </c>
      <c r="C1418" t="s">
        <v>780</v>
      </c>
      <c r="D1418" t="s">
        <v>408</v>
      </c>
      <c r="E1418" s="4" t="str">
        <f>HYPERLINK("http://snap.windin.com/ns/bulletin.php?id=479905&amp;type=1", "卫宁软件:首次公开发行股票并在创业板上市之上市公告书")</f>
        <v>卫宁软件:首次公开发行股票并在创业板上市之上市公告书</v>
      </c>
      <c r="F1418" t="s">
        <v>2300</v>
      </c>
    </row>
    <row r="1419" spans="1:6" x14ac:dyDescent="0.15">
      <c r="A1419" s="1">
        <v>40772</v>
      </c>
      <c r="B1419" t="s">
        <v>292</v>
      </c>
      <c r="C1419" t="s">
        <v>779</v>
      </c>
      <c r="D1419" t="s">
        <v>417</v>
      </c>
      <c r="E1419" s="4" t="str">
        <f>HYPERLINK("http://snap.windin.com/ns/bulletin.php?id=192868&amp;type=1", "金信诺:首次公开发行股票并在创业板上市公告书")</f>
        <v>金信诺:首次公开发行股票并在创业板上市公告书</v>
      </c>
      <c r="F1419" t="s">
        <v>2301</v>
      </c>
    </row>
    <row r="1420" spans="1:6" x14ac:dyDescent="0.15">
      <c r="A1420" s="1">
        <v>40772</v>
      </c>
      <c r="B1420" t="s">
        <v>292</v>
      </c>
      <c r="C1420" t="s">
        <v>779</v>
      </c>
      <c r="D1420" t="s">
        <v>383</v>
      </c>
      <c r="E1420" s="4" t="str">
        <f>HYPERLINK("http://snap.windin.com/ns/bulletin.php?id=1150762&amp;type=1", "金信诺:首次公开发行股票并在创业板上市上市公告书提示性公告")</f>
        <v>金信诺:首次公开发行股票并在创业板上市上市公告书提示性公告</v>
      </c>
      <c r="F1420" t="s">
        <v>2302</v>
      </c>
    </row>
    <row r="1421" spans="1:6" x14ac:dyDescent="0.15">
      <c r="A1421" s="1">
        <v>40771</v>
      </c>
      <c r="B1421" t="s">
        <v>286</v>
      </c>
      <c r="C1421" t="s">
        <v>773</v>
      </c>
      <c r="D1421" t="s">
        <v>455</v>
      </c>
      <c r="E1421" s="4" t="str">
        <f>HYPERLINK("http://snap.windin.com/ns/bulletin.php?id=1553493&amp;type=1", "精锻科技:首次公开发行股票并在创业板上市招股说明书")</f>
        <v>精锻科技:首次公开发行股票并在创业板上市招股说明书</v>
      </c>
      <c r="F1421" t="s">
        <v>2303</v>
      </c>
    </row>
    <row r="1422" spans="1:6" x14ac:dyDescent="0.15">
      <c r="A1422" s="1">
        <v>40771</v>
      </c>
      <c r="B1422" t="s">
        <v>271</v>
      </c>
      <c r="C1422" t="s">
        <v>756</v>
      </c>
      <c r="D1422" t="s">
        <v>399</v>
      </c>
      <c r="E1422" s="4" t="str">
        <f>HYPERLINK("http://snap.windin.com/ns/bulletin.php?id=1574061&amp;type=1", "东方精工:首次公开发行股票招股说明书")</f>
        <v>东方精工:首次公开发行股票招股说明书</v>
      </c>
      <c r="F1422" t="s">
        <v>2304</v>
      </c>
    </row>
    <row r="1423" spans="1:6" x14ac:dyDescent="0.15">
      <c r="A1423" s="1">
        <v>40771</v>
      </c>
      <c r="B1423" t="s">
        <v>271</v>
      </c>
      <c r="C1423" t="s">
        <v>756</v>
      </c>
      <c r="D1423" t="s">
        <v>400</v>
      </c>
      <c r="E1423" s="4" t="str">
        <f>HYPERLINK("http://snap.windin.com/ns/bulletin.php?id=1714058&amp;type=1", "东方精工:首次公开发行股票招股说明书摘要")</f>
        <v>东方精工:首次公开发行股票招股说明书摘要</v>
      </c>
      <c r="F1423" t="s">
        <v>2305</v>
      </c>
    </row>
    <row r="1424" spans="1:6" x14ac:dyDescent="0.15">
      <c r="A1424" s="1">
        <v>40770</v>
      </c>
      <c r="B1424" t="s">
        <v>294</v>
      </c>
      <c r="C1424" t="s">
        <v>781</v>
      </c>
      <c r="D1424" t="s">
        <v>402</v>
      </c>
      <c r="E1424" s="4" t="str">
        <f>HYPERLINK("http://snap.windin.com/ns/bulletin.php?id=713781&amp;type=1", "宁波建工:首次公开发行A股股票上市公告书")</f>
        <v>宁波建工:首次公开发行A股股票上市公告书</v>
      </c>
      <c r="F1424" t="s">
        <v>2306</v>
      </c>
    </row>
    <row r="1425" spans="1:6" x14ac:dyDescent="0.15">
      <c r="A1425" s="1">
        <v>40770</v>
      </c>
      <c r="B1425" t="s">
        <v>294</v>
      </c>
      <c r="C1425" t="s">
        <v>781</v>
      </c>
      <c r="D1425" t="s">
        <v>399</v>
      </c>
      <c r="E1425" s="4" t="str">
        <f>HYPERLINK("http://snap.windin.com/ns/bulletin.php?id=541030&amp;type=1", "宁波建工:首次公开发行股票招股说明书")</f>
        <v>宁波建工:首次公开发行股票招股说明书</v>
      </c>
      <c r="F1425" t="s">
        <v>2307</v>
      </c>
    </row>
    <row r="1426" spans="1:6" x14ac:dyDescent="0.15">
      <c r="A1426" s="1">
        <v>40770</v>
      </c>
      <c r="B1426" t="s">
        <v>283</v>
      </c>
      <c r="C1426" t="s">
        <v>770</v>
      </c>
      <c r="D1426" t="s">
        <v>465</v>
      </c>
      <c r="E1426" s="4" t="str">
        <f>HYPERLINK("http://snap.windin.com/ns/bulletin.php?id=18642594&amp;type=1", "北玻股份:首次公开发行股票招股意向书")</f>
        <v>北玻股份:首次公开发行股票招股意向书</v>
      </c>
      <c r="F1426" t="s">
        <v>2308</v>
      </c>
    </row>
    <row r="1427" spans="1:6" x14ac:dyDescent="0.15">
      <c r="A1427" s="1">
        <v>40770</v>
      </c>
      <c r="B1427" t="s">
        <v>283</v>
      </c>
      <c r="C1427" t="s">
        <v>770</v>
      </c>
      <c r="D1427" t="s">
        <v>465</v>
      </c>
      <c r="E1427" s="4" t="str">
        <f>HYPERLINK("http://snap.windin.com/ns/bulletin.php?id=1836843&amp;type=1", "北玻股份:首次公开发行股票招股意向书")</f>
        <v>北玻股份:首次公开发行股票招股意向书</v>
      </c>
      <c r="F1427" t="s">
        <v>2309</v>
      </c>
    </row>
    <row r="1428" spans="1:6" x14ac:dyDescent="0.15">
      <c r="A1428" s="1">
        <v>40770</v>
      </c>
      <c r="B1428" t="s">
        <v>283</v>
      </c>
      <c r="C1428" t="s">
        <v>770</v>
      </c>
      <c r="D1428" t="s">
        <v>466</v>
      </c>
      <c r="E1428" s="4" t="str">
        <f>HYPERLINK("http://snap.windin.com/ns/bulletin.php?id=1588546&amp;type=1", "北玻股份:首次公开发行股票招股意向书摘要")</f>
        <v>北玻股份:首次公开发行股票招股意向书摘要</v>
      </c>
      <c r="F1428" t="s">
        <v>2310</v>
      </c>
    </row>
    <row r="1429" spans="1:6" x14ac:dyDescent="0.15">
      <c r="A1429" s="1">
        <v>40767</v>
      </c>
      <c r="B1429" t="s">
        <v>282</v>
      </c>
      <c r="C1429" t="s">
        <v>767</v>
      </c>
      <c r="D1429" t="s">
        <v>471</v>
      </c>
      <c r="E1429" s="4" t="str">
        <f>HYPERLINK("http://snap.windin.com/ns/bulletin.php?id=18862768&amp;type=1", "新莱应材:首次公开发行股票并在创业板上市招股意向书")</f>
        <v>新莱应材:首次公开发行股票并在创业板上市招股意向书</v>
      </c>
      <c r="F1429" t="s">
        <v>2311</v>
      </c>
    </row>
    <row r="1430" spans="1:6" x14ac:dyDescent="0.15">
      <c r="A1430" s="1">
        <v>40767</v>
      </c>
      <c r="B1430" t="s">
        <v>282</v>
      </c>
      <c r="C1430" t="s">
        <v>767</v>
      </c>
      <c r="D1430" t="s">
        <v>471</v>
      </c>
      <c r="E1430" s="4" t="str">
        <f>HYPERLINK("http://snap.windin.com/ns/bulletin.php?id=96084&amp;type=1", "新莱应材:首次公开发行股票并在创业板上市招股意向书")</f>
        <v>新莱应材:首次公开发行股票并在创业板上市招股意向书</v>
      </c>
      <c r="F1430" t="s">
        <v>2312</v>
      </c>
    </row>
    <row r="1431" spans="1:6" x14ac:dyDescent="0.15">
      <c r="A1431" s="1">
        <v>40767</v>
      </c>
      <c r="B1431" t="s">
        <v>296</v>
      </c>
      <c r="C1431" t="s">
        <v>783</v>
      </c>
      <c r="D1431" t="s">
        <v>389</v>
      </c>
      <c r="E1431" s="4" t="str">
        <f>HYPERLINK("http://snap.windin.com/ns/bulletin.php?id=207086&amp;type=1", "爱康科技:首次公开发行股票上市公告书")</f>
        <v>爱康科技:首次公开发行股票上市公告书</v>
      </c>
      <c r="F1431" t="s">
        <v>2313</v>
      </c>
    </row>
    <row r="1432" spans="1:6" x14ac:dyDescent="0.15">
      <c r="A1432" s="1">
        <v>40767</v>
      </c>
      <c r="B1432" t="s">
        <v>295</v>
      </c>
      <c r="C1432" t="s">
        <v>782</v>
      </c>
      <c r="D1432" t="s">
        <v>389</v>
      </c>
      <c r="E1432" s="4" t="str">
        <f>HYPERLINK("http://snap.windin.com/ns/bulletin.php?id=714899&amp;type=1", "捷顺科技:首次公开发行股票上市公告书")</f>
        <v>捷顺科技:首次公开发行股票上市公告书</v>
      </c>
      <c r="F1432" t="s">
        <v>2314</v>
      </c>
    </row>
    <row r="1433" spans="1:6" x14ac:dyDescent="0.15">
      <c r="A1433" s="1">
        <v>40766</v>
      </c>
      <c r="B1433" t="s">
        <v>297</v>
      </c>
      <c r="C1433" t="s">
        <v>784</v>
      </c>
      <c r="D1433" t="s">
        <v>402</v>
      </c>
      <c r="E1433" s="4" t="str">
        <f>HYPERLINK("http://snap.windin.com/ns/bulletin.php?id=1499455&amp;type=1", "旗滨集团:首次公开发行A股股票上市公告书")</f>
        <v>旗滨集团:首次公开发行A股股票上市公告书</v>
      </c>
      <c r="F1433" t="s">
        <v>2315</v>
      </c>
    </row>
    <row r="1434" spans="1:6" x14ac:dyDescent="0.15">
      <c r="A1434" s="1">
        <v>40766</v>
      </c>
      <c r="B1434" t="s">
        <v>297</v>
      </c>
      <c r="C1434" t="s">
        <v>784</v>
      </c>
      <c r="D1434" t="s">
        <v>399</v>
      </c>
      <c r="E1434" s="4" t="str">
        <f>HYPERLINK("http://snap.windin.com/ns/bulletin.php?id=96903&amp;type=1", "旗滨集团:首次公开发行股票招股说明书")</f>
        <v>旗滨集团:首次公开发行股票招股说明书</v>
      </c>
      <c r="F1434" t="s">
        <v>2316</v>
      </c>
    </row>
    <row r="1435" spans="1:6" x14ac:dyDescent="0.15">
      <c r="A1435" s="1">
        <v>40766</v>
      </c>
      <c r="B1435" t="s">
        <v>285</v>
      </c>
      <c r="C1435" t="s">
        <v>772</v>
      </c>
      <c r="D1435" t="s">
        <v>465</v>
      </c>
      <c r="E1435" s="4" t="str">
        <f>HYPERLINK("http://snap.windin.com/ns/bulletin.php?id=19375290&amp;type=1", "朗姿股份:首次公开发行股票招股意向书")</f>
        <v>朗姿股份:首次公开发行股票招股意向书</v>
      </c>
      <c r="F1435" t="s">
        <v>2317</v>
      </c>
    </row>
    <row r="1436" spans="1:6" x14ac:dyDescent="0.15">
      <c r="A1436" s="1">
        <v>40766</v>
      </c>
      <c r="B1436" t="s">
        <v>285</v>
      </c>
      <c r="C1436" t="s">
        <v>772</v>
      </c>
      <c r="D1436" t="s">
        <v>465</v>
      </c>
      <c r="E1436" s="4" t="str">
        <f>HYPERLINK("http://snap.windin.com/ns/bulletin.php?id=497868&amp;type=1", "朗姿股份:首次公开发行股票招股意向书")</f>
        <v>朗姿股份:首次公开发行股票招股意向书</v>
      </c>
      <c r="F1436" t="s">
        <v>2318</v>
      </c>
    </row>
    <row r="1437" spans="1:6" x14ac:dyDescent="0.15">
      <c r="A1437" s="1">
        <v>40766</v>
      </c>
      <c r="B1437" t="s">
        <v>285</v>
      </c>
      <c r="C1437" t="s">
        <v>772</v>
      </c>
      <c r="D1437" t="s">
        <v>466</v>
      </c>
      <c r="E1437" s="4" t="str">
        <f>HYPERLINK("http://snap.windin.com/ns/bulletin.php?id=669958&amp;type=1", "朗姿股份:首次公开发行股票招股意向书摘要")</f>
        <v>朗姿股份:首次公开发行股票招股意向书摘要</v>
      </c>
      <c r="F1437" t="s">
        <v>2319</v>
      </c>
    </row>
    <row r="1438" spans="1:6" x14ac:dyDescent="0.15">
      <c r="A1438" s="1">
        <v>40764</v>
      </c>
      <c r="B1438" t="s">
        <v>299</v>
      </c>
      <c r="C1438" t="s">
        <v>786</v>
      </c>
      <c r="D1438" t="s">
        <v>402</v>
      </c>
      <c r="E1438" s="4" t="str">
        <f>HYPERLINK("http://snap.windin.com/ns/bulletin.php?id=486071&amp;type=1", "方正证券:首次公开发行A股股票上市公告书")</f>
        <v>方正证券:首次公开发行A股股票上市公告书</v>
      </c>
      <c r="F1438" t="s">
        <v>2320</v>
      </c>
    </row>
    <row r="1439" spans="1:6" x14ac:dyDescent="0.15">
      <c r="A1439" s="1">
        <v>40764</v>
      </c>
      <c r="B1439" t="s">
        <v>299</v>
      </c>
      <c r="C1439" t="s">
        <v>786</v>
      </c>
      <c r="D1439" t="s">
        <v>462</v>
      </c>
      <c r="E1439" s="4" t="str">
        <f>HYPERLINK("http://snap.windin.com/ns/bulletin.php?id=1060328&amp;type=1", "方正证券:首次公开发行A股股票招股说明书")</f>
        <v>方正证券:首次公开发行A股股票招股说明书</v>
      </c>
      <c r="F1439" t="s">
        <v>2321</v>
      </c>
    </row>
    <row r="1440" spans="1:6" x14ac:dyDescent="0.15">
      <c r="A1440" s="1">
        <v>40764</v>
      </c>
      <c r="B1440" t="s">
        <v>298</v>
      </c>
      <c r="C1440" t="s">
        <v>785</v>
      </c>
      <c r="D1440" t="s">
        <v>389</v>
      </c>
      <c r="E1440" s="4" t="str">
        <f>HYPERLINK("http://snap.windin.com/ns/bulletin.php?id=1300533&amp;type=1", "舜天船舶:首次公开发行股票上市公告书")</f>
        <v>舜天船舶:首次公开发行股票上市公告书</v>
      </c>
      <c r="F1440" t="s">
        <v>2322</v>
      </c>
    </row>
    <row r="1441" spans="1:6" x14ac:dyDescent="0.15">
      <c r="A1441" s="1">
        <v>40764</v>
      </c>
      <c r="B1441" t="s">
        <v>300</v>
      </c>
      <c r="C1441" t="s">
        <v>787</v>
      </c>
      <c r="D1441" t="s">
        <v>389</v>
      </c>
      <c r="E1441" s="4" t="str">
        <f>HYPERLINK("http://snap.windin.com/ns/bulletin.php?id=1044488&amp;type=1", "亚夏汽车:首次公开发行股票上市公告书")</f>
        <v>亚夏汽车:首次公开发行股票上市公告书</v>
      </c>
      <c r="F1441" t="s">
        <v>2323</v>
      </c>
    </row>
    <row r="1442" spans="1:6" x14ac:dyDescent="0.15">
      <c r="A1442" s="1">
        <v>40763</v>
      </c>
      <c r="B1442" t="s">
        <v>289</v>
      </c>
      <c r="C1442" t="s">
        <v>776</v>
      </c>
      <c r="D1442" t="s">
        <v>455</v>
      </c>
      <c r="E1442" s="4" t="str">
        <f>HYPERLINK("http://snap.windin.com/ns/bulletin.php?id=1273270&amp;type=1", "开山股份:首次公开发行股票并在创业板上市招股说明书")</f>
        <v>开山股份:首次公开发行股票并在创业板上市招股说明书</v>
      </c>
      <c r="F1442" t="s">
        <v>2324</v>
      </c>
    </row>
    <row r="1443" spans="1:6" x14ac:dyDescent="0.15">
      <c r="A1443" s="1">
        <v>40760</v>
      </c>
      <c r="B1443" t="s">
        <v>301</v>
      </c>
      <c r="C1443" t="s">
        <v>788</v>
      </c>
      <c r="D1443" t="s">
        <v>402</v>
      </c>
      <c r="E1443" s="4" t="str">
        <f>HYPERLINK("http://snap.windin.com/ns/bulletin.php?id=572488&amp;type=1", "林洋电子:首次公开发行A股股票上市公告书")</f>
        <v>林洋电子:首次公开发行A股股票上市公告书</v>
      </c>
      <c r="F1443" t="s">
        <v>2325</v>
      </c>
    </row>
    <row r="1444" spans="1:6" x14ac:dyDescent="0.15">
      <c r="A1444" s="1">
        <v>40760</v>
      </c>
      <c r="B1444" t="s">
        <v>301</v>
      </c>
      <c r="C1444" t="s">
        <v>788</v>
      </c>
      <c r="D1444" t="s">
        <v>399</v>
      </c>
      <c r="E1444" s="4" t="str">
        <f>HYPERLINK("http://snap.windin.com/ns/bulletin.php?id=202751&amp;type=1", "林洋电子:首次公开发行股票招股说明书")</f>
        <v>林洋电子:首次公开发行股票招股说明书</v>
      </c>
      <c r="F1444" t="s">
        <v>2326</v>
      </c>
    </row>
    <row r="1445" spans="1:6" x14ac:dyDescent="0.15">
      <c r="A1445" s="1">
        <v>40760</v>
      </c>
      <c r="B1445" t="s">
        <v>284</v>
      </c>
      <c r="C1445" t="s">
        <v>771</v>
      </c>
      <c r="D1445" t="s">
        <v>471</v>
      </c>
      <c r="E1445" s="4" t="str">
        <f>HYPERLINK("http://snap.windin.com/ns/bulletin.php?id=605341&amp;type=1", "新天科技:首次公开发行股票并在创业板上市招股意向书")</f>
        <v>新天科技:首次公开发行股票并在创业板上市招股意向书</v>
      </c>
      <c r="F1445" t="s">
        <v>2327</v>
      </c>
    </row>
    <row r="1446" spans="1:6" x14ac:dyDescent="0.15">
      <c r="A1446" s="1">
        <v>40760</v>
      </c>
      <c r="B1446" t="s">
        <v>286</v>
      </c>
      <c r="C1446" t="s">
        <v>773</v>
      </c>
      <c r="D1446" t="s">
        <v>471</v>
      </c>
      <c r="E1446" s="4" t="str">
        <f>HYPERLINK("http://snap.windin.com/ns/bulletin.php?id=929637&amp;type=1", "精锻科技:首次公开发行股票并在创业板上市招股意向书")</f>
        <v>精锻科技:首次公开发行股票并在创业板上市招股意向书</v>
      </c>
      <c r="F1446" t="s">
        <v>2328</v>
      </c>
    </row>
    <row r="1447" spans="1:6" x14ac:dyDescent="0.15">
      <c r="A1447" s="1">
        <v>40760</v>
      </c>
      <c r="B1447" t="s">
        <v>290</v>
      </c>
      <c r="C1447" t="s">
        <v>777</v>
      </c>
      <c r="D1447" t="s">
        <v>455</v>
      </c>
      <c r="E1447" s="4" t="str">
        <f>HYPERLINK("http://snap.windin.com/ns/bulletin.php?id=488897&amp;type=1", "星星科技:首次公开发行股票并在创业板上市招股说明书")</f>
        <v>星星科技:首次公开发行股票并在创业板上市招股说明书</v>
      </c>
      <c r="F1447" t="s">
        <v>2329</v>
      </c>
    </row>
    <row r="1448" spans="1:6" x14ac:dyDescent="0.15">
      <c r="A1448" s="1">
        <v>40760</v>
      </c>
      <c r="B1448" t="s">
        <v>288</v>
      </c>
      <c r="C1448" t="s">
        <v>775</v>
      </c>
      <c r="D1448" t="s">
        <v>455</v>
      </c>
      <c r="E1448" s="4" t="str">
        <f>HYPERLINK("http://snap.windin.com/ns/bulletin.php?id=850186&amp;type=1", "常山药业:首次公开发行股票并在创业板上市招股说明书")</f>
        <v>常山药业:首次公开发行股票并在创业板上市招股说明书</v>
      </c>
      <c r="F1448" t="s">
        <v>2330</v>
      </c>
    </row>
    <row r="1449" spans="1:6" x14ac:dyDescent="0.15">
      <c r="A1449" s="1">
        <v>40760</v>
      </c>
      <c r="B1449" t="s">
        <v>287</v>
      </c>
      <c r="C1449" t="s">
        <v>774</v>
      </c>
      <c r="D1449" t="s">
        <v>455</v>
      </c>
      <c r="E1449" s="4" t="str">
        <f>HYPERLINK("http://snap.windin.com/ns/bulletin.php?id=1140891&amp;type=1", "仟源制药:首次公开发行股票并在创业板上市招股说明书")</f>
        <v>仟源制药:首次公开发行股票并在创业板上市招股说明书</v>
      </c>
      <c r="F1449" t="s">
        <v>2331</v>
      </c>
    </row>
    <row r="1450" spans="1:6" x14ac:dyDescent="0.15">
      <c r="A1450" s="1">
        <v>40760</v>
      </c>
      <c r="B1450" t="s">
        <v>271</v>
      </c>
      <c r="C1450" t="s">
        <v>756</v>
      </c>
      <c r="D1450" t="s">
        <v>465</v>
      </c>
      <c r="E1450" s="4" t="str">
        <f>HYPERLINK("http://snap.windin.com/ns/bulletin.php?id=1884331&amp;type=1", "东方精工:首次公开发行股票招股意向书")</f>
        <v>东方精工:首次公开发行股票招股意向书</v>
      </c>
      <c r="F1450" t="s">
        <v>2332</v>
      </c>
    </row>
    <row r="1451" spans="1:6" x14ac:dyDescent="0.15">
      <c r="A1451" s="1">
        <v>40760</v>
      </c>
      <c r="B1451" t="s">
        <v>271</v>
      </c>
      <c r="C1451" t="s">
        <v>756</v>
      </c>
      <c r="D1451" t="s">
        <v>466</v>
      </c>
      <c r="E1451" s="4" t="str">
        <f>HYPERLINK("http://snap.windin.com/ns/bulletin.php?id=1268789&amp;type=1", "东方精工:首次公开发行股票招股意向书摘要")</f>
        <v>东方精工:首次公开发行股票招股意向书摘要</v>
      </c>
      <c r="F1451" t="s">
        <v>2333</v>
      </c>
    </row>
    <row r="1452" spans="1:6" x14ac:dyDescent="0.15">
      <c r="A1452" s="1">
        <v>40759</v>
      </c>
      <c r="B1452" t="s">
        <v>293</v>
      </c>
      <c r="C1452" t="s">
        <v>780</v>
      </c>
      <c r="D1452" t="s">
        <v>455</v>
      </c>
      <c r="E1452" s="4" t="str">
        <f>HYPERLINK("http://snap.windin.com/ns/bulletin.php?id=1001075&amp;type=1", "卫宁软件:首次公开发行股票并在创业板上市招股说明书")</f>
        <v>卫宁软件:首次公开发行股票并在创业板上市招股说明书</v>
      </c>
      <c r="F1452" t="s">
        <v>2334</v>
      </c>
    </row>
    <row r="1453" spans="1:6" x14ac:dyDescent="0.15">
      <c r="A1453" s="1">
        <v>40759</v>
      </c>
      <c r="B1453" t="s">
        <v>303</v>
      </c>
      <c r="C1453" t="s">
        <v>790</v>
      </c>
      <c r="D1453" t="s">
        <v>389</v>
      </c>
      <c r="E1453" s="4" t="str">
        <f>HYPERLINK("http://snap.windin.com/ns/bulletin.php?id=120708&amp;type=1", "大连电瓷:首次公开发行股票上市公告书")</f>
        <v>大连电瓷:首次公开发行股票上市公告书</v>
      </c>
      <c r="F1453" t="s">
        <v>2335</v>
      </c>
    </row>
    <row r="1454" spans="1:6" x14ac:dyDescent="0.15">
      <c r="A1454" s="1">
        <v>40759</v>
      </c>
      <c r="B1454" t="s">
        <v>302</v>
      </c>
      <c r="C1454" t="s">
        <v>789</v>
      </c>
      <c r="D1454" t="s">
        <v>389</v>
      </c>
      <c r="E1454" s="4" t="str">
        <f>HYPERLINK("http://snap.windin.com/ns/bulletin.php?id=2102786&amp;type=1", "姚记扑克:首次公开发行股票上市公告书")</f>
        <v>姚记扑克:首次公开发行股票上市公告书</v>
      </c>
      <c r="F1454" t="s">
        <v>2336</v>
      </c>
    </row>
    <row r="1455" spans="1:6" x14ac:dyDescent="0.15">
      <c r="A1455" s="1">
        <v>40757</v>
      </c>
      <c r="B1455" t="s">
        <v>306</v>
      </c>
      <c r="C1455" t="s">
        <v>793</v>
      </c>
      <c r="D1455" t="s">
        <v>417</v>
      </c>
      <c r="E1455" s="4" t="str">
        <f>HYPERLINK("http://snap.windin.com/ns/bulletin.php?id=1276011&amp;type=1", "光线传媒:首次公开发行股票并在创业板上市公告书")</f>
        <v>光线传媒:首次公开发行股票并在创业板上市公告书</v>
      </c>
      <c r="F1455" t="s">
        <v>2337</v>
      </c>
    </row>
    <row r="1456" spans="1:6" x14ac:dyDescent="0.15">
      <c r="A1456" s="1">
        <v>40757</v>
      </c>
      <c r="B1456" t="s">
        <v>306</v>
      </c>
      <c r="C1456" t="s">
        <v>793</v>
      </c>
      <c r="D1456" t="s">
        <v>383</v>
      </c>
      <c r="E1456" s="4" t="str">
        <f>HYPERLINK("http://snap.windin.com/ns/bulletin.php?id=459752&amp;type=1", "光线传媒:首次公开发行股票并在创业板上市上市公告书提示性公告")</f>
        <v>光线传媒:首次公开发行股票并在创业板上市上市公告书提示性公告</v>
      </c>
      <c r="F1456" t="s">
        <v>2338</v>
      </c>
    </row>
    <row r="1457" spans="1:6" x14ac:dyDescent="0.15">
      <c r="A1457" s="1">
        <v>40757</v>
      </c>
      <c r="B1457" t="s">
        <v>304</v>
      </c>
      <c r="C1457" t="s">
        <v>791</v>
      </c>
      <c r="D1457" t="s">
        <v>412</v>
      </c>
      <c r="E1457" s="4" t="str">
        <f>HYPERLINK("http://snap.windin.com/ns/bulletin.php?id=103760&amp;type=1", "初灵信息:首次公开发行股票并在创业板上市上市公告书")</f>
        <v>初灵信息:首次公开发行股票并在创业板上市上市公告书</v>
      </c>
      <c r="F1457" t="s">
        <v>2339</v>
      </c>
    </row>
    <row r="1458" spans="1:6" x14ac:dyDescent="0.15">
      <c r="A1458" s="1">
        <v>40757</v>
      </c>
      <c r="B1458" t="s">
        <v>304</v>
      </c>
      <c r="C1458" t="s">
        <v>791</v>
      </c>
      <c r="D1458" t="s">
        <v>383</v>
      </c>
      <c r="E1458" s="4" t="str">
        <f>HYPERLINK("http://snap.windin.com/ns/bulletin.php?id=1869753&amp;type=1", "初灵信息:首次公开发行股票并在创业板上市上市公告书提示性公告")</f>
        <v>初灵信息:首次公开发行股票并在创业板上市上市公告书提示性公告</v>
      </c>
      <c r="F1458" t="s">
        <v>2340</v>
      </c>
    </row>
    <row r="1459" spans="1:6" x14ac:dyDescent="0.15">
      <c r="A1459" s="1">
        <v>40757</v>
      </c>
      <c r="B1459" t="s">
        <v>305</v>
      </c>
      <c r="C1459" t="s">
        <v>792</v>
      </c>
      <c r="D1459" t="s">
        <v>383</v>
      </c>
      <c r="E1459" s="4" t="str">
        <f>HYPERLINK("http://snap.windin.com/ns/bulletin.php?id=1845971&amp;type=1", "依米康:首次公开发行股票并在创业板上市上市公告书提示性公告")</f>
        <v>依米康:首次公开发行股票并在创业板上市上市公告书提示性公告</v>
      </c>
      <c r="F1459" t="s">
        <v>2341</v>
      </c>
    </row>
    <row r="1460" spans="1:6" x14ac:dyDescent="0.15">
      <c r="A1460" s="1">
        <v>40757</v>
      </c>
      <c r="B1460" t="s">
        <v>305</v>
      </c>
      <c r="C1460" t="s">
        <v>792</v>
      </c>
      <c r="D1460" t="s">
        <v>408</v>
      </c>
      <c r="E1460" s="4" t="str">
        <f>HYPERLINK("http://snap.windin.com/ns/bulletin.php?id=479801&amp;type=1", "依米康:首次公开发行股票并在创业板上市之上市公告书")</f>
        <v>依米康:首次公开发行股票并在创业板上市之上市公告书</v>
      </c>
      <c r="F1460" t="s">
        <v>2342</v>
      </c>
    </row>
    <row r="1461" spans="1:6" x14ac:dyDescent="0.15">
      <c r="A1461" s="1">
        <v>40757</v>
      </c>
      <c r="B1461" t="s">
        <v>296</v>
      </c>
      <c r="C1461" t="s">
        <v>783</v>
      </c>
      <c r="D1461" t="s">
        <v>399</v>
      </c>
      <c r="E1461" s="4" t="str">
        <f>HYPERLINK("http://snap.windin.com/ns/bulletin.php?id=2058050&amp;type=1", "爱康科技:首次公开发行股票招股说明书")</f>
        <v>爱康科技:首次公开发行股票招股说明书</v>
      </c>
      <c r="F1461" t="s">
        <v>2343</v>
      </c>
    </row>
    <row r="1462" spans="1:6" x14ac:dyDescent="0.15">
      <c r="A1462" s="1">
        <v>40757</v>
      </c>
      <c r="B1462" t="s">
        <v>296</v>
      </c>
      <c r="C1462" t="s">
        <v>783</v>
      </c>
      <c r="D1462" t="s">
        <v>400</v>
      </c>
      <c r="E1462" s="4" t="str">
        <f>HYPERLINK("http://snap.windin.com/ns/bulletin.php?id=1056485&amp;type=1", "爱康科技:首次公开发行股票招股说明书摘要")</f>
        <v>爱康科技:首次公开发行股票招股说明书摘要</v>
      </c>
      <c r="F1462" t="s">
        <v>2344</v>
      </c>
    </row>
    <row r="1463" spans="1:6" x14ac:dyDescent="0.15">
      <c r="A1463" s="1">
        <v>40757</v>
      </c>
      <c r="B1463" t="s">
        <v>295</v>
      </c>
      <c r="C1463" t="s">
        <v>782</v>
      </c>
      <c r="D1463" t="s">
        <v>399</v>
      </c>
      <c r="E1463" s="4" t="str">
        <f>HYPERLINK("http://snap.windin.com/ns/bulletin.php?id=1715272&amp;type=1", "捷顺科技:首次公开发行股票招股说明书")</f>
        <v>捷顺科技:首次公开发行股票招股说明书</v>
      </c>
      <c r="F1463" t="s">
        <v>2345</v>
      </c>
    </row>
    <row r="1464" spans="1:6" x14ac:dyDescent="0.15">
      <c r="A1464" s="1">
        <v>40757</v>
      </c>
      <c r="B1464" t="s">
        <v>295</v>
      </c>
      <c r="C1464" t="s">
        <v>782</v>
      </c>
      <c r="D1464" t="s">
        <v>400</v>
      </c>
      <c r="E1464" s="4" t="str">
        <f>HYPERLINK("http://snap.windin.com/ns/bulletin.php?id=597191&amp;type=1", "捷顺科技:首次公开发行股票招股说明书摘要")</f>
        <v>捷顺科技:首次公开发行股票招股说明书摘要</v>
      </c>
      <c r="F1464" t="s">
        <v>2346</v>
      </c>
    </row>
    <row r="1465" spans="1:6" x14ac:dyDescent="0.15">
      <c r="A1465" s="1">
        <v>40756</v>
      </c>
      <c r="B1465" t="s">
        <v>298</v>
      </c>
      <c r="C1465" t="s">
        <v>785</v>
      </c>
      <c r="D1465" t="s">
        <v>399</v>
      </c>
      <c r="E1465" s="4" t="str">
        <f>HYPERLINK("http://snap.windin.com/ns/bulletin.php?id=181049&amp;type=1", "舜天船舶:首次公开发行股票招股说明书")</f>
        <v>舜天船舶:首次公开发行股票招股说明书</v>
      </c>
      <c r="F1465" t="s">
        <v>2347</v>
      </c>
    </row>
    <row r="1466" spans="1:6" x14ac:dyDescent="0.15">
      <c r="A1466" s="1">
        <v>40756</v>
      </c>
      <c r="B1466" t="s">
        <v>298</v>
      </c>
      <c r="C1466" t="s">
        <v>785</v>
      </c>
      <c r="D1466" t="s">
        <v>400</v>
      </c>
      <c r="E1466" s="4" t="str">
        <f>HYPERLINK("http://snap.windin.com/ns/bulletin.php?id=414930&amp;type=1", "舜天船舶:首次公开发行股票招股说明书摘要")</f>
        <v>舜天船舶:首次公开发行股票招股说明书摘要</v>
      </c>
      <c r="F1466" t="s">
        <v>2348</v>
      </c>
    </row>
    <row r="1467" spans="1:6" x14ac:dyDescent="0.15">
      <c r="A1467" s="1">
        <v>40753</v>
      </c>
      <c r="B1467" t="s">
        <v>289</v>
      </c>
      <c r="C1467" t="s">
        <v>776</v>
      </c>
      <c r="D1467" t="s">
        <v>471</v>
      </c>
      <c r="E1467" s="4" t="str">
        <f>HYPERLINK("http://snap.windin.com/ns/bulletin.php?id=18569520&amp;type=1", "开山股份:首次公开发行股票并在创业板上市招股意向书")</f>
        <v>开山股份:首次公开发行股票并在创业板上市招股意向书</v>
      </c>
      <c r="F1467" t="s">
        <v>2349</v>
      </c>
    </row>
    <row r="1468" spans="1:6" x14ac:dyDescent="0.15">
      <c r="A1468" s="1">
        <v>40753</v>
      </c>
      <c r="B1468" t="s">
        <v>289</v>
      </c>
      <c r="C1468" t="s">
        <v>776</v>
      </c>
      <c r="D1468" t="s">
        <v>471</v>
      </c>
      <c r="E1468" s="4" t="str">
        <f>HYPERLINK("http://snap.windin.com/ns/bulletin.php?id=18553784&amp;type=1", "开山股份:首次公开发行股票并在创业板上市招股意向书")</f>
        <v>开山股份:首次公开发行股票并在创业板上市招股意向书</v>
      </c>
      <c r="F1468" t="s">
        <v>2350</v>
      </c>
    </row>
    <row r="1469" spans="1:6" x14ac:dyDescent="0.15">
      <c r="A1469" s="1">
        <v>40753</v>
      </c>
      <c r="B1469" t="s">
        <v>289</v>
      </c>
      <c r="C1469" t="s">
        <v>776</v>
      </c>
      <c r="D1469" t="s">
        <v>471</v>
      </c>
      <c r="E1469" s="4" t="str">
        <f>HYPERLINK("http://snap.windin.com/ns/bulletin.php?id=2019206&amp;type=1", "开山股份:首次公开发行股票并在创业板上市招股意向书")</f>
        <v>开山股份:首次公开发行股票并在创业板上市招股意向书</v>
      </c>
      <c r="F1469" t="s">
        <v>2351</v>
      </c>
    </row>
    <row r="1470" spans="1:6" x14ac:dyDescent="0.15">
      <c r="A1470" s="1">
        <v>40753</v>
      </c>
      <c r="B1470" t="s">
        <v>290</v>
      </c>
      <c r="C1470" t="s">
        <v>777</v>
      </c>
      <c r="D1470" t="s">
        <v>471</v>
      </c>
      <c r="E1470" s="4" t="str">
        <f>HYPERLINK("http://snap.windin.com/ns/bulletin.php?id=19289808&amp;type=1", "星星科技:首次公开发行股票并在创业板上市招股意向书")</f>
        <v>星星科技:首次公开发行股票并在创业板上市招股意向书</v>
      </c>
      <c r="F1470" t="s">
        <v>2352</v>
      </c>
    </row>
    <row r="1471" spans="1:6" x14ac:dyDescent="0.15">
      <c r="A1471" s="1">
        <v>40753</v>
      </c>
      <c r="B1471" t="s">
        <v>290</v>
      </c>
      <c r="C1471" t="s">
        <v>777</v>
      </c>
      <c r="D1471" t="s">
        <v>471</v>
      </c>
      <c r="E1471" s="4" t="str">
        <f>HYPERLINK("http://snap.windin.com/ns/bulletin.php?id=585067&amp;type=1", "星星科技:首次公开发行股票并在创业板上市招股意向书")</f>
        <v>星星科技:首次公开发行股票并在创业板上市招股意向书</v>
      </c>
      <c r="F1471" t="s">
        <v>2353</v>
      </c>
    </row>
    <row r="1472" spans="1:6" x14ac:dyDescent="0.15">
      <c r="A1472" s="1">
        <v>40753</v>
      </c>
      <c r="B1472" t="s">
        <v>288</v>
      </c>
      <c r="C1472" t="s">
        <v>775</v>
      </c>
      <c r="D1472" t="s">
        <v>471</v>
      </c>
      <c r="E1472" s="4" t="str">
        <f>HYPERLINK("http://snap.windin.com/ns/bulletin.php?id=18594632&amp;type=1", "常山药业:首次公开发行股票并在创业板上市招股意向书")</f>
        <v>常山药业:首次公开发行股票并在创业板上市招股意向书</v>
      </c>
      <c r="F1472" t="s">
        <v>2354</v>
      </c>
    </row>
    <row r="1473" spans="1:6" x14ac:dyDescent="0.15">
      <c r="A1473" s="1">
        <v>40753</v>
      </c>
      <c r="B1473" t="s">
        <v>288</v>
      </c>
      <c r="C1473" t="s">
        <v>775</v>
      </c>
      <c r="D1473" t="s">
        <v>471</v>
      </c>
      <c r="E1473" s="4" t="str">
        <f>HYPERLINK("http://snap.windin.com/ns/bulletin.php?id=1418790&amp;type=1", "常山药业:首次公开发行股票并在创业板上市招股意向书")</f>
        <v>常山药业:首次公开发行股票并在创业板上市招股意向书</v>
      </c>
      <c r="F1473" t="s">
        <v>2355</v>
      </c>
    </row>
    <row r="1474" spans="1:6" x14ac:dyDescent="0.15">
      <c r="A1474" s="1">
        <v>40753</v>
      </c>
      <c r="B1474" t="s">
        <v>287</v>
      </c>
      <c r="C1474" t="s">
        <v>774</v>
      </c>
      <c r="D1474" t="s">
        <v>471</v>
      </c>
      <c r="E1474" s="4" t="str">
        <f>HYPERLINK("http://snap.windin.com/ns/bulletin.php?id=18546682&amp;type=1", "仟源制药:首次公开发行股票并在创业板上市招股意向书")</f>
        <v>仟源制药:首次公开发行股票并在创业板上市招股意向书</v>
      </c>
      <c r="F1474" t="s">
        <v>2356</v>
      </c>
    </row>
    <row r="1475" spans="1:6" x14ac:dyDescent="0.15">
      <c r="A1475" s="1">
        <v>40753</v>
      </c>
      <c r="B1475" t="s">
        <v>287</v>
      </c>
      <c r="C1475" t="s">
        <v>774</v>
      </c>
      <c r="D1475" t="s">
        <v>471</v>
      </c>
      <c r="E1475" s="4" t="str">
        <f>HYPERLINK("http://snap.windin.com/ns/bulletin.php?id=846483&amp;type=1", "仟源制药:首次公开发行股票并在创业板上市招股意向书")</f>
        <v>仟源制药:首次公开发行股票并在创业板上市招股意向书</v>
      </c>
      <c r="F1475" t="s">
        <v>2357</v>
      </c>
    </row>
    <row r="1476" spans="1:6" x14ac:dyDescent="0.15">
      <c r="A1476" s="1">
        <v>40753</v>
      </c>
      <c r="B1476" t="s">
        <v>292</v>
      </c>
      <c r="C1476" t="s">
        <v>779</v>
      </c>
      <c r="D1476" t="s">
        <v>455</v>
      </c>
      <c r="E1476" s="4" t="str">
        <f>HYPERLINK("http://snap.windin.com/ns/bulletin.php?id=1210201&amp;type=1", "金信诺:首次公开发行股票并在创业板上市招股说明书")</f>
        <v>金信诺:首次公开发行股票并在创业板上市招股说明书</v>
      </c>
      <c r="F1476" t="s">
        <v>2358</v>
      </c>
    </row>
    <row r="1477" spans="1:6" x14ac:dyDescent="0.15">
      <c r="A1477" s="1">
        <v>40752</v>
      </c>
      <c r="B1477" t="s">
        <v>291</v>
      </c>
      <c r="C1477" t="s">
        <v>778</v>
      </c>
      <c r="D1477" t="s">
        <v>475</v>
      </c>
      <c r="E1477" s="4" t="str">
        <f>HYPERLINK("http://snap.windin.com/ns/bulletin.php?id=579993&amp;type=1", "江河幕墙:首次公开发行A股股票招股意向书")</f>
        <v>江河幕墙:首次公开发行A股股票招股意向书</v>
      </c>
      <c r="F1477" t="s">
        <v>2359</v>
      </c>
    </row>
    <row r="1478" spans="1:6" x14ac:dyDescent="0.15">
      <c r="A1478" s="1">
        <v>40752</v>
      </c>
      <c r="B1478" t="s">
        <v>291</v>
      </c>
      <c r="C1478" t="s">
        <v>778</v>
      </c>
      <c r="D1478" t="s">
        <v>476</v>
      </c>
      <c r="E1478" s="4" t="str">
        <f>HYPERLINK("http://snap.windin.com/ns/bulletin.php?id=1320470&amp;type=1", "江河幕墙:首次公开发行A股股票招股意向书摘要")</f>
        <v>江河幕墙:首次公开发行A股股票招股意向书摘要</v>
      </c>
      <c r="F1478" t="s">
        <v>2360</v>
      </c>
    </row>
    <row r="1479" spans="1:6" x14ac:dyDescent="0.15">
      <c r="A1479" s="1">
        <v>40752</v>
      </c>
      <c r="B1479" t="s">
        <v>291</v>
      </c>
      <c r="C1479" t="s">
        <v>778</v>
      </c>
      <c r="D1479" t="s">
        <v>522</v>
      </c>
      <c r="E1479" s="4" t="str">
        <f>HYPERLINK("http://snap.windin.com/ns/bulletin.php?id=1719973&amp;type=1", "江河幕墙:首次公开发行股票招股意向书附录二")</f>
        <v>江河幕墙:首次公开发行股票招股意向书附录二</v>
      </c>
      <c r="F1479" t="s">
        <v>2361</v>
      </c>
    </row>
    <row r="1480" spans="1:6" x14ac:dyDescent="0.15">
      <c r="A1480" s="1">
        <v>40752</v>
      </c>
      <c r="B1480" t="s">
        <v>291</v>
      </c>
      <c r="C1480" t="s">
        <v>778</v>
      </c>
      <c r="D1480" t="s">
        <v>521</v>
      </c>
      <c r="E1480" s="4" t="str">
        <f>HYPERLINK("http://snap.windin.com/ns/bulletin.php?id=1154885&amp;type=1", "江河幕墙:首次公开发行股票招股意向书附录三")</f>
        <v>江河幕墙:首次公开发行股票招股意向书附录三</v>
      </c>
      <c r="F1480" t="s">
        <v>2362</v>
      </c>
    </row>
    <row r="1481" spans="1:6" x14ac:dyDescent="0.15">
      <c r="A1481" s="1">
        <v>40752</v>
      </c>
      <c r="B1481" t="s">
        <v>291</v>
      </c>
      <c r="C1481" t="s">
        <v>778</v>
      </c>
      <c r="D1481" t="s">
        <v>523</v>
      </c>
      <c r="E1481" s="4" t="str">
        <f>HYPERLINK("http://snap.windin.com/ns/bulletin.php?id=1431168&amp;type=1", "江河幕墙:首次公开发行股票招股意向书附录四")</f>
        <v>江河幕墙:首次公开发行股票招股意向书附录四</v>
      </c>
      <c r="F1481" t="s">
        <v>2363</v>
      </c>
    </row>
    <row r="1482" spans="1:6" x14ac:dyDescent="0.15">
      <c r="A1482" s="1">
        <v>40752</v>
      </c>
      <c r="B1482" t="s">
        <v>291</v>
      </c>
      <c r="C1482" t="s">
        <v>778</v>
      </c>
      <c r="D1482" t="s">
        <v>520</v>
      </c>
      <c r="E1482" s="4" t="str">
        <f>HYPERLINK("http://snap.windin.com/ns/bulletin.php?id=1812628&amp;type=1", "江河幕墙:首次公开发行股票招股意向书附录一")</f>
        <v>江河幕墙:首次公开发行股票招股意向书附录一</v>
      </c>
      <c r="F1482" t="s">
        <v>2364</v>
      </c>
    </row>
    <row r="1483" spans="1:6" x14ac:dyDescent="0.15">
      <c r="A1483" s="1">
        <v>40752</v>
      </c>
      <c r="B1483" t="s">
        <v>308</v>
      </c>
      <c r="C1483" t="s">
        <v>795</v>
      </c>
      <c r="D1483" t="s">
        <v>407</v>
      </c>
      <c r="E1483" s="4" t="str">
        <f>HYPERLINK("http://snap.windin.com/ns/bulletin.php?id=1301296&amp;type=1", "新开普:首次公开发行股票并在创业板上市公告书提示性公告")</f>
        <v>新开普:首次公开发行股票并在创业板上市公告书提示性公告</v>
      </c>
      <c r="F1483" t="s">
        <v>2365</v>
      </c>
    </row>
    <row r="1484" spans="1:6" x14ac:dyDescent="0.15">
      <c r="A1484" s="1">
        <v>40752</v>
      </c>
      <c r="B1484" t="s">
        <v>308</v>
      </c>
      <c r="C1484" t="s">
        <v>795</v>
      </c>
      <c r="D1484" t="s">
        <v>408</v>
      </c>
      <c r="E1484" s="4" t="str">
        <f>HYPERLINK("http://snap.windin.com/ns/bulletin.php?id=1136947&amp;type=1", "新开普:首次公开发行股票并在创业板上市之上市公告书")</f>
        <v>新开普:首次公开发行股票并在创业板上市之上市公告书</v>
      </c>
      <c r="F1484" t="s">
        <v>2366</v>
      </c>
    </row>
    <row r="1485" spans="1:6" x14ac:dyDescent="0.15">
      <c r="A1485" s="1">
        <v>40752</v>
      </c>
      <c r="B1485" t="s">
        <v>307</v>
      </c>
      <c r="C1485" t="s">
        <v>794</v>
      </c>
      <c r="D1485" t="s">
        <v>417</v>
      </c>
      <c r="E1485" s="4" t="str">
        <f>HYPERLINK("http://snap.windin.com/ns/bulletin.php?id=2123644&amp;type=1", "桑乐金:首次公开发行股票并在创业板上市公告书")</f>
        <v>桑乐金:首次公开发行股票并在创业板上市公告书</v>
      </c>
      <c r="F1485" t="s">
        <v>2367</v>
      </c>
    </row>
    <row r="1486" spans="1:6" x14ac:dyDescent="0.15">
      <c r="A1486" s="1">
        <v>40752</v>
      </c>
      <c r="B1486" t="s">
        <v>307</v>
      </c>
      <c r="C1486" t="s">
        <v>794</v>
      </c>
      <c r="D1486" t="s">
        <v>407</v>
      </c>
      <c r="E1486" s="4" t="str">
        <f>HYPERLINK("http://snap.windin.com/ns/bulletin.php?id=149384&amp;type=1", "桑乐金:首次公开发行股票并在创业板上市公告书提示性公告")</f>
        <v>桑乐金:首次公开发行股票并在创业板上市公告书提示性公告</v>
      </c>
      <c r="F1486" t="s">
        <v>2368</v>
      </c>
    </row>
    <row r="1487" spans="1:6" x14ac:dyDescent="0.15">
      <c r="A1487" s="1">
        <v>40752</v>
      </c>
      <c r="B1487" t="s">
        <v>300</v>
      </c>
      <c r="C1487" t="s">
        <v>787</v>
      </c>
      <c r="D1487" t="s">
        <v>399</v>
      </c>
      <c r="E1487" s="4" t="str">
        <f>HYPERLINK("http://snap.windin.com/ns/bulletin.php?id=488527&amp;type=1", "亚夏汽车:首次公开发行股票招股说明书")</f>
        <v>亚夏汽车:首次公开发行股票招股说明书</v>
      </c>
      <c r="F1487" t="s">
        <v>2369</v>
      </c>
    </row>
    <row r="1488" spans="1:6" x14ac:dyDescent="0.15">
      <c r="A1488" s="1">
        <v>40752</v>
      </c>
      <c r="B1488" t="s">
        <v>300</v>
      </c>
      <c r="C1488" t="s">
        <v>787</v>
      </c>
      <c r="D1488" t="s">
        <v>400</v>
      </c>
      <c r="E1488" s="4" t="str">
        <f>HYPERLINK("http://snap.windin.com/ns/bulletin.php?id=1136036&amp;type=1", "亚夏汽车:首次公开发行股票招股说明书摘要")</f>
        <v>亚夏汽车:首次公开发行股票招股说明书摘要</v>
      </c>
      <c r="F1488" t="s">
        <v>2370</v>
      </c>
    </row>
    <row r="1489" spans="1:6" x14ac:dyDescent="0.15">
      <c r="A1489" s="1">
        <v>40751</v>
      </c>
      <c r="B1489" t="s">
        <v>294</v>
      </c>
      <c r="C1489" t="s">
        <v>781</v>
      </c>
      <c r="D1489" t="s">
        <v>800</v>
      </c>
      <c r="E1489" s="4" t="str">
        <f>HYPERLINK("http://snap.windin.com/ns/bulletin.php?id=1390923&amp;type=1", "宁波建工:首次公开发行A股招股意向书附录二")</f>
        <v>宁波建工:首次公开发行A股招股意向书附录二</v>
      </c>
      <c r="F1489" t="s">
        <v>2371</v>
      </c>
    </row>
    <row r="1490" spans="1:6" x14ac:dyDescent="0.15">
      <c r="A1490" s="1">
        <v>40751</v>
      </c>
      <c r="B1490" t="s">
        <v>294</v>
      </c>
      <c r="C1490" t="s">
        <v>781</v>
      </c>
      <c r="D1490" t="s">
        <v>801</v>
      </c>
      <c r="E1490" s="4" t="str">
        <f>HYPERLINK("http://snap.windin.com/ns/bulletin.php?id=139219&amp;type=1", "宁波建工:首次公开发行A股招股意向书附录三")</f>
        <v>宁波建工:首次公开发行A股招股意向书附录三</v>
      </c>
      <c r="F1490" t="s">
        <v>2372</v>
      </c>
    </row>
    <row r="1491" spans="1:6" x14ac:dyDescent="0.15">
      <c r="A1491" s="1">
        <v>40751</v>
      </c>
      <c r="B1491" t="s">
        <v>294</v>
      </c>
      <c r="C1491" t="s">
        <v>781</v>
      </c>
      <c r="D1491" t="s">
        <v>798</v>
      </c>
      <c r="E1491" s="4" t="str">
        <f>HYPERLINK("http://snap.windin.com/ns/bulletin.php?id=1693119&amp;type=1", "宁波建工:首次公开发行A股招股意向书附录一")</f>
        <v>宁波建工:首次公开发行A股招股意向书附录一</v>
      </c>
      <c r="F1491" t="s">
        <v>2373</v>
      </c>
    </row>
    <row r="1492" spans="1:6" x14ac:dyDescent="0.15">
      <c r="A1492" s="1">
        <v>40751</v>
      </c>
      <c r="B1492" t="s">
        <v>294</v>
      </c>
      <c r="C1492" t="s">
        <v>781</v>
      </c>
      <c r="D1492" t="s">
        <v>465</v>
      </c>
      <c r="E1492" s="4" t="str">
        <f>HYPERLINK("http://snap.windin.com/ns/bulletin.php?id=658459&amp;type=1", "宁波建工:首次公开发行股票招股意向书")</f>
        <v>宁波建工:首次公开发行股票招股意向书</v>
      </c>
      <c r="F1492" t="s">
        <v>2374</v>
      </c>
    </row>
    <row r="1493" spans="1:6" x14ac:dyDescent="0.15">
      <c r="A1493" s="1">
        <v>40751</v>
      </c>
      <c r="B1493" t="s">
        <v>294</v>
      </c>
      <c r="C1493" t="s">
        <v>781</v>
      </c>
      <c r="D1493" t="s">
        <v>466</v>
      </c>
      <c r="E1493" s="4" t="str">
        <f>HYPERLINK("http://snap.windin.com/ns/bulletin.php?id=436663&amp;type=1", "宁波建工:首次公开发行股票招股意向书摘要")</f>
        <v>宁波建工:首次公开发行股票招股意向书摘要</v>
      </c>
      <c r="F1493" t="s">
        <v>2375</v>
      </c>
    </row>
    <row r="1494" spans="1:6" x14ac:dyDescent="0.15">
      <c r="A1494" s="1">
        <v>40751</v>
      </c>
      <c r="B1494" t="s">
        <v>293</v>
      </c>
      <c r="C1494" t="s">
        <v>780</v>
      </c>
      <c r="D1494" t="s">
        <v>471</v>
      </c>
      <c r="E1494" s="4" t="str">
        <f>HYPERLINK("http://snap.windin.com/ns/bulletin.php?id=18807672&amp;type=1", "卫宁软件:首次公开发行股票并在创业板上市招股意向书")</f>
        <v>卫宁软件:首次公开发行股票并在创业板上市招股意向书</v>
      </c>
      <c r="F1494" t="s">
        <v>2376</v>
      </c>
    </row>
    <row r="1495" spans="1:6" x14ac:dyDescent="0.15">
      <c r="A1495" s="1">
        <v>40751</v>
      </c>
      <c r="B1495" t="s">
        <v>293</v>
      </c>
      <c r="C1495" t="s">
        <v>780</v>
      </c>
      <c r="D1495" t="s">
        <v>471</v>
      </c>
      <c r="E1495" s="4" t="str">
        <f>HYPERLINK("http://snap.windin.com/ns/bulletin.php?id=962103&amp;type=1", "卫宁软件:首次公开发行股票并在创业板上市招股意向书")</f>
        <v>卫宁软件:首次公开发行股票并在创业板上市招股意向书</v>
      </c>
      <c r="F1495" t="s">
        <v>2377</v>
      </c>
    </row>
    <row r="1496" spans="1:6" x14ac:dyDescent="0.15">
      <c r="A1496" s="1">
        <v>40751</v>
      </c>
      <c r="B1496" t="s">
        <v>303</v>
      </c>
      <c r="C1496" t="s">
        <v>790</v>
      </c>
      <c r="D1496" t="s">
        <v>399</v>
      </c>
      <c r="E1496" s="4" t="str">
        <f>HYPERLINK("http://snap.windin.com/ns/bulletin.php?id=2113685&amp;type=1", "大连电瓷:首次公开发行股票招股说明书")</f>
        <v>大连电瓷:首次公开发行股票招股说明书</v>
      </c>
      <c r="F1496" t="s">
        <v>2378</v>
      </c>
    </row>
    <row r="1497" spans="1:6" x14ac:dyDescent="0.15">
      <c r="A1497" s="1">
        <v>40751</v>
      </c>
      <c r="B1497" t="s">
        <v>303</v>
      </c>
      <c r="C1497" t="s">
        <v>790</v>
      </c>
      <c r="D1497" t="s">
        <v>400</v>
      </c>
      <c r="E1497" s="4" t="str">
        <f>HYPERLINK("http://snap.windin.com/ns/bulletin.php?id=463564&amp;type=1", "大连电瓷:首次公开发行股票招股说明书摘要")</f>
        <v>大连电瓷:首次公开发行股票招股说明书摘要</v>
      </c>
      <c r="F1497" t="s">
        <v>2379</v>
      </c>
    </row>
    <row r="1498" spans="1:6" x14ac:dyDescent="0.15">
      <c r="A1498" s="1">
        <v>40751</v>
      </c>
      <c r="B1498" t="s">
        <v>311</v>
      </c>
      <c r="C1498" t="s">
        <v>799</v>
      </c>
      <c r="D1498" t="s">
        <v>389</v>
      </c>
      <c r="E1498" s="4" t="str">
        <f>HYPERLINK("http://snap.windin.com/ns/bulletin.php?id=1658817&amp;type=1", "龙力生物:首次公开发行股票上市公告书")</f>
        <v>龙力生物:首次公开发行股票上市公告书</v>
      </c>
      <c r="F1498" t="s">
        <v>2380</v>
      </c>
    </row>
    <row r="1499" spans="1:6" x14ac:dyDescent="0.15">
      <c r="A1499" s="1">
        <v>40751</v>
      </c>
      <c r="B1499" t="s">
        <v>309</v>
      </c>
      <c r="C1499" t="s">
        <v>796</v>
      </c>
      <c r="D1499" t="s">
        <v>389</v>
      </c>
      <c r="E1499" s="4" t="str">
        <f>HYPERLINK("http://snap.windin.com/ns/bulletin.php?id=1865842&amp;type=1", "以岭药业:首次公开发行股票上市公告书")</f>
        <v>以岭药业:首次公开发行股票上市公告书</v>
      </c>
      <c r="F1499" t="s">
        <v>2381</v>
      </c>
    </row>
    <row r="1500" spans="1:6" x14ac:dyDescent="0.15">
      <c r="A1500" s="1">
        <v>40751</v>
      </c>
      <c r="B1500" t="s">
        <v>310</v>
      </c>
      <c r="C1500" t="s">
        <v>797</v>
      </c>
      <c r="D1500" t="s">
        <v>389</v>
      </c>
      <c r="E1500" s="4" t="str">
        <f>HYPERLINK("http://snap.windin.com/ns/bulletin.php?id=1818716&amp;type=1", "世纪华通:首次公开发行股票上市公告书")</f>
        <v>世纪华通:首次公开发行股票上市公告书</v>
      </c>
      <c r="F1500" t="s">
        <v>2382</v>
      </c>
    </row>
    <row r="1501" spans="1:6" x14ac:dyDescent="0.15">
      <c r="A1501" s="1">
        <v>40750</v>
      </c>
      <c r="B1501" t="s">
        <v>296</v>
      </c>
      <c r="C1501" t="s">
        <v>783</v>
      </c>
      <c r="D1501" t="s">
        <v>465</v>
      </c>
      <c r="E1501" s="4" t="str">
        <f>HYPERLINK("http://snap.windin.com/ns/bulletin.php?id=18663600&amp;type=1", "爱康科技:首次公开发行股票招股意向书")</f>
        <v>爱康科技:首次公开发行股票招股意向书</v>
      </c>
      <c r="F1501" t="s">
        <v>2383</v>
      </c>
    </row>
    <row r="1502" spans="1:6" x14ac:dyDescent="0.15">
      <c r="A1502" s="1">
        <v>40750</v>
      </c>
      <c r="B1502" t="s">
        <v>296</v>
      </c>
      <c r="C1502" t="s">
        <v>783</v>
      </c>
      <c r="D1502" t="s">
        <v>465</v>
      </c>
      <c r="E1502" s="4" t="str">
        <f>HYPERLINK("http://snap.windin.com/ns/bulletin.php?id=1069847&amp;type=1", "爱康科技:首次公开发行股票招股意向书")</f>
        <v>爱康科技:首次公开发行股票招股意向书</v>
      </c>
      <c r="F1502" t="s">
        <v>2384</v>
      </c>
    </row>
    <row r="1503" spans="1:6" x14ac:dyDescent="0.15">
      <c r="A1503" s="1">
        <v>40750</v>
      </c>
      <c r="B1503" t="s">
        <v>296</v>
      </c>
      <c r="C1503" t="s">
        <v>783</v>
      </c>
      <c r="D1503" t="s">
        <v>466</v>
      </c>
      <c r="E1503" s="4" t="str">
        <f>HYPERLINK("http://snap.windin.com/ns/bulletin.php?id=589575&amp;type=1", "爱康科技:首次公开发行股票招股意向书摘要")</f>
        <v>爱康科技:首次公开发行股票招股意向书摘要</v>
      </c>
      <c r="F1503" t="s">
        <v>2385</v>
      </c>
    </row>
    <row r="1504" spans="1:6" x14ac:dyDescent="0.15">
      <c r="A1504" s="1">
        <v>40749</v>
      </c>
      <c r="B1504" t="s">
        <v>297</v>
      </c>
      <c r="C1504" t="s">
        <v>784</v>
      </c>
      <c r="D1504" t="s">
        <v>638</v>
      </c>
      <c r="E1504" s="4" t="str">
        <f>HYPERLINK("http://snap.windin.com/ns/bulletin.php?id=1370662&amp;type=1", "旗滨集团:首次公开发行股票并上市招股意向书附录")</f>
        <v>旗滨集团:首次公开发行股票并上市招股意向书附录</v>
      </c>
      <c r="F1504" t="s">
        <v>2386</v>
      </c>
    </row>
    <row r="1505" spans="1:6" x14ac:dyDescent="0.15">
      <c r="A1505" s="1">
        <v>40749</v>
      </c>
      <c r="B1505" t="s">
        <v>297</v>
      </c>
      <c r="C1505" t="s">
        <v>784</v>
      </c>
      <c r="D1505" t="s">
        <v>465</v>
      </c>
      <c r="E1505" s="4" t="str">
        <f>HYPERLINK("http://snap.windin.com/ns/bulletin.php?id=468105&amp;type=1", "旗滨集团:首次公开发行股票招股意向书")</f>
        <v>旗滨集团:首次公开发行股票招股意向书</v>
      </c>
      <c r="F1505" t="s">
        <v>2387</v>
      </c>
    </row>
    <row r="1506" spans="1:6" x14ac:dyDescent="0.15">
      <c r="A1506" s="1">
        <v>40749</v>
      </c>
      <c r="B1506" t="s">
        <v>297</v>
      </c>
      <c r="C1506" t="s">
        <v>784</v>
      </c>
      <c r="D1506" t="s">
        <v>466</v>
      </c>
      <c r="E1506" s="4" t="str">
        <f>HYPERLINK("http://snap.windin.com/ns/bulletin.php?id=2101087&amp;type=1", "旗滨集团:首次公开发行股票招股意向书摘要")</f>
        <v>旗滨集团:首次公开发行股票招股意向书摘要</v>
      </c>
      <c r="F1506" t="s">
        <v>2388</v>
      </c>
    </row>
    <row r="1507" spans="1:6" x14ac:dyDescent="0.15">
      <c r="A1507" s="1">
        <v>40749</v>
      </c>
      <c r="B1507" t="s">
        <v>306</v>
      </c>
      <c r="C1507" t="s">
        <v>793</v>
      </c>
      <c r="D1507" t="s">
        <v>455</v>
      </c>
      <c r="E1507" s="4" t="str">
        <f>HYPERLINK("http://snap.windin.com/ns/bulletin.php?id=479594&amp;type=1", "光线传媒:首次公开发行股票并在创业板上市招股说明书")</f>
        <v>光线传媒:首次公开发行股票并在创业板上市招股说明书</v>
      </c>
      <c r="F1507" t="s">
        <v>2389</v>
      </c>
    </row>
    <row r="1508" spans="1:6" x14ac:dyDescent="0.15">
      <c r="A1508" s="1">
        <v>40749</v>
      </c>
      <c r="B1508" t="s">
        <v>295</v>
      </c>
      <c r="C1508" t="s">
        <v>782</v>
      </c>
      <c r="D1508" t="s">
        <v>465</v>
      </c>
      <c r="E1508" s="4" t="str">
        <f>HYPERLINK("http://snap.windin.com/ns/bulletin.php?id=18694800&amp;type=1", "捷顺科技:首次公开发行股票招股意向书")</f>
        <v>捷顺科技:首次公开发行股票招股意向书</v>
      </c>
      <c r="F1508" t="s">
        <v>2390</v>
      </c>
    </row>
    <row r="1509" spans="1:6" x14ac:dyDescent="0.15">
      <c r="A1509" s="1">
        <v>40749</v>
      </c>
      <c r="B1509" t="s">
        <v>295</v>
      </c>
      <c r="C1509" t="s">
        <v>782</v>
      </c>
      <c r="D1509" t="s">
        <v>465</v>
      </c>
      <c r="E1509" s="4" t="str">
        <f>HYPERLINK("http://snap.windin.com/ns/bulletin.php?id=548367&amp;type=1", "捷顺科技:首次公开发行股票招股意向书")</f>
        <v>捷顺科技:首次公开发行股票招股意向书</v>
      </c>
      <c r="F1509" t="s">
        <v>2391</v>
      </c>
    </row>
    <row r="1510" spans="1:6" x14ac:dyDescent="0.15">
      <c r="A1510" s="1">
        <v>40749</v>
      </c>
      <c r="B1510" t="s">
        <v>295</v>
      </c>
      <c r="C1510" t="s">
        <v>782</v>
      </c>
      <c r="D1510" t="s">
        <v>466</v>
      </c>
      <c r="E1510" s="4" t="str">
        <f>HYPERLINK("http://snap.windin.com/ns/bulletin.php?id=2077301&amp;type=1", "捷顺科技:首次公开发行股票招股意向书摘要")</f>
        <v>捷顺科技:首次公开发行股票招股意向书摘要</v>
      </c>
      <c r="F1510" t="s">
        <v>2392</v>
      </c>
    </row>
    <row r="1511" spans="1:6" x14ac:dyDescent="0.15">
      <c r="A1511" s="1">
        <v>40749</v>
      </c>
      <c r="B1511" t="s">
        <v>298</v>
      </c>
      <c r="C1511" t="s">
        <v>785</v>
      </c>
      <c r="D1511" t="s">
        <v>465</v>
      </c>
      <c r="E1511" s="4" t="str">
        <f>HYPERLINK("http://snap.windin.com/ns/bulletin.php?id=19172020&amp;type=1", "舜天船舶:首次公开发行股票招股意向书")</f>
        <v>舜天船舶:首次公开发行股票招股意向书</v>
      </c>
      <c r="F1511" t="s">
        <v>2393</v>
      </c>
    </row>
    <row r="1512" spans="1:6" x14ac:dyDescent="0.15">
      <c r="A1512" s="1">
        <v>40749</v>
      </c>
      <c r="B1512" t="s">
        <v>298</v>
      </c>
      <c r="C1512" t="s">
        <v>785</v>
      </c>
      <c r="D1512" t="s">
        <v>465</v>
      </c>
      <c r="E1512" s="4" t="str">
        <f>HYPERLINK("http://snap.windin.com/ns/bulletin.php?id=927635&amp;type=1", "舜天船舶:首次公开发行股票招股意向书")</f>
        <v>舜天船舶:首次公开发行股票招股意向书</v>
      </c>
      <c r="F1512" t="s">
        <v>2394</v>
      </c>
    </row>
    <row r="1513" spans="1:6" x14ac:dyDescent="0.15">
      <c r="A1513" s="1">
        <v>40749</v>
      </c>
      <c r="B1513" t="s">
        <v>298</v>
      </c>
      <c r="C1513" t="s">
        <v>785</v>
      </c>
      <c r="D1513" t="s">
        <v>466</v>
      </c>
      <c r="E1513" s="4" t="str">
        <f>HYPERLINK("http://snap.windin.com/ns/bulletin.php?id=1708787&amp;type=1", "舜天船舶:首次公开发行股票招股意向书摘要")</f>
        <v>舜天船舶:首次公开发行股票招股意向书摘要</v>
      </c>
      <c r="F1513" t="s">
        <v>2395</v>
      </c>
    </row>
    <row r="1514" spans="1:6" x14ac:dyDescent="0.15">
      <c r="A1514" s="1">
        <v>40749</v>
      </c>
      <c r="B1514" t="s">
        <v>302</v>
      </c>
      <c r="C1514" t="s">
        <v>789</v>
      </c>
      <c r="D1514" t="s">
        <v>399</v>
      </c>
      <c r="E1514" s="4" t="str">
        <f>HYPERLINK("http://snap.windin.com/ns/bulletin.php?id=1160669&amp;type=1", "姚记扑克:首次公开发行股票招股说明书")</f>
        <v>姚记扑克:首次公开发行股票招股说明书</v>
      </c>
      <c r="F1514" t="s">
        <v>2396</v>
      </c>
    </row>
    <row r="1515" spans="1:6" x14ac:dyDescent="0.15">
      <c r="A1515" s="1">
        <v>40746</v>
      </c>
      <c r="B1515" t="s">
        <v>292</v>
      </c>
      <c r="C1515" t="s">
        <v>779</v>
      </c>
      <c r="D1515" t="s">
        <v>471</v>
      </c>
      <c r="E1515" s="4" t="str">
        <f>HYPERLINK("http://snap.windin.com/ns/bulletin.php?id=18533640&amp;type=1", "金信诺:首次公开发行股票并在创业板上市招股意向书")</f>
        <v>金信诺:首次公开发行股票并在创业板上市招股意向书</v>
      </c>
      <c r="F1515" t="s">
        <v>2397</v>
      </c>
    </row>
    <row r="1516" spans="1:6" x14ac:dyDescent="0.15">
      <c r="A1516" s="1">
        <v>40746</v>
      </c>
      <c r="B1516" t="s">
        <v>292</v>
      </c>
      <c r="C1516" t="s">
        <v>779</v>
      </c>
      <c r="D1516" t="s">
        <v>471</v>
      </c>
      <c r="E1516" s="4" t="str">
        <f>HYPERLINK("http://snap.windin.com/ns/bulletin.php?id=1802323&amp;type=1", "金信诺:首次公开发行股票并在创业板上市招股意向书")</f>
        <v>金信诺:首次公开发行股票并在创业板上市招股意向书</v>
      </c>
      <c r="F1516" t="s">
        <v>2398</v>
      </c>
    </row>
    <row r="1517" spans="1:6" x14ac:dyDescent="0.15">
      <c r="A1517" s="1">
        <v>40746</v>
      </c>
      <c r="B1517" t="s">
        <v>304</v>
      </c>
      <c r="C1517" t="s">
        <v>791</v>
      </c>
      <c r="D1517" t="s">
        <v>455</v>
      </c>
      <c r="E1517" s="4" t="str">
        <f>HYPERLINK("http://snap.windin.com/ns/bulletin.php?id=800070&amp;type=1", "初灵信息:首次公开发行股票并在创业板上市招股说明书")</f>
        <v>初灵信息:首次公开发行股票并在创业板上市招股说明书</v>
      </c>
      <c r="F1517" t="s">
        <v>2399</v>
      </c>
    </row>
    <row r="1518" spans="1:6" x14ac:dyDescent="0.15">
      <c r="A1518" s="1">
        <v>40746</v>
      </c>
      <c r="B1518" t="s">
        <v>305</v>
      </c>
      <c r="C1518" t="s">
        <v>792</v>
      </c>
      <c r="D1518" t="s">
        <v>455</v>
      </c>
      <c r="E1518" s="4" t="str">
        <f>HYPERLINK("http://snap.windin.com/ns/bulletin.php?id=1771394&amp;type=1", "依米康:首次公开发行股票并在创业板上市招股说明书")</f>
        <v>依米康:首次公开发行股票并在创业板上市招股说明书</v>
      </c>
      <c r="F1518" t="s">
        <v>2400</v>
      </c>
    </row>
    <row r="1519" spans="1:6" x14ac:dyDescent="0.15">
      <c r="A1519" s="1">
        <v>40745</v>
      </c>
      <c r="B1519" t="s">
        <v>299</v>
      </c>
      <c r="C1519" t="s">
        <v>786</v>
      </c>
      <c r="D1519" t="s">
        <v>475</v>
      </c>
      <c r="E1519" s="4" t="str">
        <f>HYPERLINK("http://snap.windin.com/ns/bulletin.php?id=1265060&amp;type=1", "方正证券:首次公开发行A股股票招股意向书")</f>
        <v>方正证券:首次公开发行A股股票招股意向书</v>
      </c>
      <c r="F1519" t="s">
        <v>2401</v>
      </c>
    </row>
    <row r="1520" spans="1:6" x14ac:dyDescent="0.15">
      <c r="A1520" s="1">
        <v>40745</v>
      </c>
      <c r="B1520" t="s">
        <v>299</v>
      </c>
      <c r="C1520" t="s">
        <v>786</v>
      </c>
      <c r="D1520" t="s">
        <v>476</v>
      </c>
      <c r="E1520" s="4" t="str">
        <f>HYPERLINK("http://snap.windin.com/ns/bulletin.php?id=1461233&amp;type=1", "方正证券:首次公开发行A股股票招股意向书摘要")</f>
        <v>方正证券:首次公开发行A股股票招股意向书摘要</v>
      </c>
      <c r="F1520" t="s">
        <v>2402</v>
      </c>
    </row>
    <row r="1521" spans="1:6" x14ac:dyDescent="0.15">
      <c r="A1521" s="1">
        <v>40745</v>
      </c>
      <c r="B1521" t="s">
        <v>299</v>
      </c>
      <c r="C1521" t="s">
        <v>786</v>
      </c>
      <c r="D1521" t="s">
        <v>522</v>
      </c>
      <c r="E1521" s="4" t="str">
        <f>HYPERLINK("http://snap.windin.com/ns/bulletin.php?id=1173339&amp;type=1", "方正证券:首次公开发行股票招股意向书附录二")</f>
        <v>方正证券:首次公开发行股票招股意向书附录二</v>
      </c>
      <c r="F1521" t="s">
        <v>2403</v>
      </c>
    </row>
    <row r="1522" spans="1:6" x14ac:dyDescent="0.15">
      <c r="A1522" s="1">
        <v>40745</v>
      </c>
      <c r="B1522" t="s">
        <v>299</v>
      </c>
      <c r="C1522" t="s">
        <v>786</v>
      </c>
      <c r="D1522" t="s">
        <v>521</v>
      </c>
      <c r="E1522" s="4" t="str">
        <f>HYPERLINK("http://snap.windin.com/ns/bulletin.php?id=1501852&amp;type=1", "方正证券:首次公开发行股票招股意向书附录三")</f>
        <v>方正证券:首次公开发行股票招股意向书附录三</v>
      </c>
      <c r="F1522" t="s">
        <v>2404</v>
      </c>
    </row>
    <row r="1523" spans="1:6" x14ac:dyDescent="0.15">
      <c r="A1523" s="1">
        <v>40745</v>
      </c>
      <c r="B1523" t="s">
        <v>299</v>
      </c>
      <c r="C1523" t="s">
        <v>786</v>
      </c>
      <c r="D1523" t="s">
        <v>520</v>
      </c>
      <c r="E1523" s="4" t="str">
        <f>HYPERLINK("http://snap.windin.com/ns/bulletin.php?id=85748&amp;type=1", "方正证券:首次公开发行股票招股意向书附录一")</f>
        <v>方正证券:首次公开发行股票招股意向书附录一</v>
      </c>
      <c r="F1523" t="s">
        <v>2405</v>
      </c>
    </row>
    <row r="1524" spans="1:6" x14ac:dyDescent="0.15">
      <c r="A1524" s="1">
        <v>40745</v>
      </c>
      <c r="B1524" t="s">
        <v>301</v>
      </c>
      <c r="C1524" t="s">
        <v>788</v>
      </c>
      <c r="D1524" t="s">
        <v>465</v>
      </c>
      <c r="E1524" s="4" t="str">
        <f>HYPERLINK("http://snap.windin.com/ns/bulletin.php?id=91317&amp;type=1", "林洋电子:首次公开发行股票招股意向书")</f>
        <v>林洋电子:首次公开发行股票招股意向书</v>
      </c>
      <c r="F1524" t="s">
        <v>2406</v>
      </c>
    </row>
    <row r="1525" spans="1:6" x14ac:dyDescent="0.15">
      <c r="A1525" s="1">
        <v>40745</v>
      </c>
      <c r="B1525" t="s">
        <v>301</v>
      </c>
      <c r="C1525" t="s">
        <v>788</v>
      </c>
      <c r="D1525" t="s">
        <v>467</v>
      </c>
      <c r="E1525" s="4" t="str">
        <f>HYPERLINK("http://snap.windin.com/ns/bulletin.php?id=514012&amp;type=1", "林洋电子:首次公开发行股票招股意向书附录")</f>
        <v>林洋电子:首次公开发行股票招股意向书附录</v>
      </c>
      <c r="F1525" t="s">
        <v>2407</v>
      </c>
    </row>
    <row r="1526" spans="1:6" x14ac:dyDescent="0.15">
      <c r="A1526" s="1">
        <v>40745</v>
      </c>
      <c r="B1526" t="s">
        <v>301</v>
      </c>
      <c r="C1526" t="s">
        <v>788</v>
      </c>
      <c r="D1526" t="s">
        <v>466</v>
      </c>
      <c r="E1526" s="4" t="str">
        <f>HYPERLINK("http://snap.windin.com/ns/bulletin.php?id=1516834&amp;type=1", "林洋电子:首次公开发行股票招股意向书摘要")</f>
        <v>林洋电子:首次公开发行股票招股意向书摘要</v>
      </c>
      <c r="F1526" t="s">
        <v>2408</v>
      </c>
    </row>
    <row r="1527" spans="1:6" x14ac:dyDescent="0.15">
      <c r="A1527" s="1">
        <v>40745</v>
      </c>
      <c r="B1527" t="s">
        <v>300</v>
      </c>
      <c r="C1527" t="s">
        <v>787</v>
      </c>
      <c r="D1527" t="s">
        <v>465</v>
      </c>
      <c r="E1527" s="4" t="str">
        <f>HYPERLINK("http://snap.windin.com/ns/bulletin.php?id=976917&amp;type=1", "亚夏汽车:首次公开发行股票招股意向书")</f>
        <v>亚夏汽车:首次公开发行股票招股意向书</v>
      </c>
      <c r="F1527" t="s">
        <v>2409</v>
      </c>
    </row>
    <row r="1528" spans="1:6" x14ac:dyDescent="0.15">
      <c r="A1528" s="1">
        <v>40745</v>
      </c>
      <c r="B1528" t="s">
        <v>300</v>
      </c>
      <c r="C1528" t="s">
        <v>787</v>
      </c>
      <c r="D1528" t="s">
        <v>466</v>
      </c>
      <c r="E1528" s="4" t="str">
        <f>HYPERLINK("http://snap.windin.com/ns/bulletin.php?id=1662088&amp;type=1", "亚夏汽车:首次公开发行股票招股意向书摘要")</f>
        <v>亚夏汽车:首次公开发行股票招股意向书摘要</v>
      </c>
      <c r="F1528" t="s">
        <v>2410</v>
      </c>
    </row>
    <row r="1529" spans="1:6" x14ac:dyDescent="0.15">
      <c r="A1529" s="1">
        <v>40743</v>
      </c>
      <c r="B1529" t="s">
        <v>308</v>
      </c>
      <c r="C1529" t="s">
        <v>795</v>
      </c>
      <c r="D1529" t="s">
        <v>455</v>
      </c>
      <c r="E1529" s="4" t="str">
        <f>HYPERLINK("http://snap.windin.com/ns/bulletin.php?id=1684979&amp;type=1", "新开普:首次公开发行股票并在创业板上市招股说明书")</f>
        <v>新开普:首次公开发行股票并在创业板上市招股说明书</v>
      </c>
      <c r="F1529" t="s">
        <v>2411</v>
      </c>
    </row>
    <row r="1530" spans="1:6" x14ac:dyDescent="0.15">
      <c r="A1530" s="1">
        <v>40743</v>
      </c>
      <c r="B1530" t="s">
        <v>311</v>
      </c>
      <c r="C1530" t="s">
        <v>799</v>
      </c>
      <c r="D1530" t="s">
        <v>399</v>
      </c>
      <c r="E1530" s="4" t="str">
        <f>HYPERLINK("http://snap.windin.com/ns/bulletin.php?id=133222&amp;type=1", "龙力生物:首次公开发行股票招股说明书")</f>
        <v>龙力生物:首次公开发行股票招股说明书</v>
      </c>
      <c r="F1530" t="s">
        <v>2412</v>
      </c>
    </row>
    <row r="1531" spans="1:6" x14ac:dyDescent="0.15">
      <c r="A1531" s="1">
        <v>40743</v>
      </c>
      <c r="B1531" t="s">
        <v>311</v>
      </c>
      <c r="C1531" t="s">
        <v>799</v>
      </c>
      <c r="D1531" t="s">
        <v>400</v>
      </c>
      <c r="E1531" s="4" t="str">
        <f>HYPERLINK("http://snap.windin.com/ns/bulletin.php?id=2079212&amp;type=1", "龙力生物:首次公开发行股票招股说明书摘要")</f>
        <v>龙力生物:首次公开发行股票招股说明书摘要</v>
      </c>
      <c r="F1531" t="s">
        <v>2413</v>
      </c>
    </row>
    <row r="1532" spans="1:6" x14ac:dyDescent="0.15">
      <c r="A1532" s="1">
        <v>40742</v>
      </c>
      <c r="B1532" t="s">
        <v>312</v>
      </c>
      <c r="C1532" t="s">
        <v>802</v>
      </c>
      <c r="D1532" t="s">
        <v>417</v>
      </c>
      <c r="E1532" s="4" t="str">
        <f>HYPERLINK("http://snap.windin.com/ns/bulletin.php?id=1966035&amp;type=1", "宝莱特:首次公开发行股票并在创业板上市公告书")</f>
        <v>宝莱特:首次公开发行股票并在创业板上市公告书</v>
      </c>
      <c r="F1532" t="s">
        <v>2414</v>
      </c>
    </row>
    <row r="1533" spans="1:6" x14ac:dyDescent="0.15">
      <c r="A1533" s="1">
        <v>40742</v>
      </c>
      <c r="B1533" t="s">
        <v>312</v>
      </c>
      <c r="C1533" t="s">
        <v>802</v>
      </c>
      <c r="D1533" t="s">
        <v>407</v>
      </c>
      <c r="E1533" s="4" t="str">
        <f>HYPERLINK("http://snap.windin.com/ns/bulletin.php?id=408982&amp;type=1", "宝莱特:首次公开发行股票并在创业板上市公告书提示性公告")</f>
        <v>宝莱特:首次公开发行股票并在创业板上市公告书提示性公告</v>
      </c>
      <c r="F1533" t="s">
        <v>2415</v>
      </c>
    </row>
    <row r="1534" spans="1:6" x14ac:dyDescent="0.15">
      <c r="A1534" s="1">
        <v>40742</v>
      </c>
      <c r="B1534" t="s">
        <v>313</v>
      </c>
      <c r="C1534" t="s">
        <v>803</v>
      </c>
      <c r="D1534" t="s">
        <v>412</v>
      </c>
      <c r="E1534" s="4" t="str">
        <f>HYPERLINK("http://snap.windin.com/ns/bulletin.php?id=431455&amp;type=1", "天玑科技:首次公开发行股票并在创业板上市上市公告书")</f>
        <v>天玑科技:首次公开发行股票并在创业板上市上市公告书</v>
      </c>
      <c r="F1534" t="s">
        <v>2416</v>
      </c>
    </row>
    <row r="1535" spans="1:6" x14ac:dyDescent="0.15">
      <c r="A1535" s="1">
        <v>40742</v>
      </c>
      <c r="B1535" t="s">
        <v>313</v>
      </c>
      <c r="C1535" t="s">
        <v>803</v>
      </c>
      <c r="D1535" t="s">
        <v>383</v>
      </c>
      <c r="E1535" s="4" t="str">
        <f>HYPERLINK("http://snap.windin.com/ns/bulletin.php?id=1332365&amp;type=1", "天玑科技:首次公开发行股票并在创业板上市上市公告书提示性公告")</f>
        <v>天玑科技:首次公开发行股票并在创业板上市上市公告书提示性公告</v>
      </c>
      <c r="F1535" t="s">
        <v>2417</v>
      </c>
    </row>
    <row r="1536" spans="1:6" x14ac:dyDescent="0.15">
      <c r="A1536" s="1">
        <v>40742</v>
      </c>
      <c r="B1536" t="s">
        <v>314</v>
      </c>
      <c r="C1536" t="s">
        <v>804</v>
      </c>
      <c r="D1536" t="s">
        <v>407</v>
      </c>
      <c r="E1536" s="4" t="str">
        <f>HYPERLINK("http://snap.windin.com/ns/bulletin.php?id=566695&amp;type=1", "迪安诊断:首次公开发行股票并在创业板上市公告书提示性公告")</f>
        <v>迪安诊断:首次公开发行股票并在创业板上市公告书提示性公告</v>
      </c>
      <c r="F1536" t="s">
        <v>2418</v>
      </c>
    </row>
    <row r="1537" spans="1:6" x14ac:dyDescent="0.15">
      <c r="A1537" s="1">
        <v>40742</v>
      </c>
      <c r="B1537" t="s">
        <v>314</v>
      </c>
      <c r="C1537" t="s">
        <v>804</v>
      </c>
      <c r="D1537" t="s">
        <v>412</v>
      </c>
      <c r="E1537" s="4" t="str">
        <f>HYPERLINK("http://snap.windin.com/ns/bulletin.php?id=459279&amp;type=1", "迪安诊断:首次公开发行股票并在创业板上市上市公告书")</f>
        <v>迪安诊断:首次公开发行股票并在创业板上市上市公告书</v>
      </c>
      <c r="F1537" t="s">
        <v>2419</v>
      </c>
    </row>
    <row r="1538" spans="1:6" x14ac:dyDescent="0.15">
      <c r="A1538" s="1">
        <v>40742</v>
      </c>
      <c r="B1538" t="s">
        <v>303</v>
      </c>
      <c r="C1538" t="s">
        <v>790</v>
      </c>
      <c r="D1538" t="s">
        <v>465</v>
      </c>
      <c r="E1538" s="4" t="str">
        <f>HYPERLINK("http://snap.windin.com/ns/bulletin.php?id=18561106&amp;type=1", "大连电瓷:首次公开发行股票招股意向书")</f>
        <v>大连电瓷:首次公开发行股票招股意向书</v>
      </c>
      <c r="F1538" t="s">
        <v>2420</v>
      </c>
    </row>
    <row r="1539" spans="1:6" x14ac:dyDescent="0.15">
      <c r="A1539" s="1">
        <v>40742</v>
      </c>
      <c r="B1539" t="s">
        <v>303</v>
      </c>
      <c r="C1539" t="s">
        <v>790</v>
      </c>
      <c r="D1539" t="s">
        <v>465</v>
      </c>
      <c r="E1539" s="4" t="str">
        <f>HYPERLINK("http://snap.windin.com/ns/bulletin.php?id=18494774&amp;type=1", "大连电瓷:首次公开发行股票招股意向书")</f>
        <v>大连电瓷:首次公开发行股票招股意向书</v>
      </c>
      <c r="F1539" t="s">
        <v>2421</v>
      </c>
    </row>
    <row r="1540" spans="1:6" x14ac:dyDescent="0.15">
      <c r="A1540" s="1">
        <v>40742</v>
      </c>
      <c r="B1540" t="s">
        <v>303</v>
      </c>
      <c r="C1540" t="s">
        <v>790</v>
      </c>
      <c r="D1540" t="s">
        <v>465</v>
      </c>
      <c r="E1540" s="4" t="str">
        <f>HYPERLINK("http://snap.windin.com/ns/bulletin.php?id=1156695&amp;type=1", "大连电瓷:首次公开发行股票招股意向书")</f>
        <v>大连电瓷:首次公开发行股票招股意向书</v>
      </c>
      <c r="F1540" t="s">
        <v>2422</v>
      </c>
    </row>
    <row r="1541" spans="1:6" x14ac:dyDescent="0.15">
      <c r="A1541" s="1">
        <v>40742</v>
      </c>
      <c r="B1541" t="s">
        <v>303</v>
      </c>
      <c r="C1541" t="s">
        <v>790</v>
      </c>
      <c r="D1541" t="s">
        <v>466</v>
      </c>
      <c r="E1541" s="4" t="str">
        <f>HYPERLINK("http://snap.windin.com/ns/bulletin.php?id=864667&amp;type=1", "大连电瓷:首次公开发行股票招股意向书摘要")</f>
        <v>大连电瓷:首次公开发行股票招股意向书摘要</v>
      </c>
      <c r="F1541" t="s">
        <v>2423</v>
      </c>
    </row>
    <row r="1542" spans="1:6" x14ac:dyDescent="0.15">
      <c r="A1542" s="1">
        <v>40742</v>
      </c>
      <c r="B1542" t="s">
        <v>302</v>
      </c>
      <c r="C1542" t="s">
        <v>789</v>
      </c>
      <c r="D1542" t="s">
        <v>465</v>
      </c>
      <c r="E1542" s="4" t="str">
        <f>HYPERLINK("http://snap.windin.com/ns/bulletin.php?id=1613556&amp;type=1", "姚记扑克:首次公开发行股票招股意向书")</f>
        <v>姚记扑克:首次公开发行股票招股意向书</v>
      </c>
      <c r="F1542" t="s">
        <v>2424</v>
      </c>
    </row>
    <row r="1543" spans="1:6" x14ac:dyDescent="0.15">
      <c r="A1543" s="1">
        <v>40742</v>
      </c>
      <c r="B1543" t="s">
        <v>302</v>
      </c>
      <c r="C1543" t="s">
        <v>789</v>
      </c>
      <c r="D1543" t="s">
        <v>466</v>
      </c>
      <c r="E1543" s="4" t="str">
        <f>HYPERLINK("http://snap.windin.com/ns/bulletin.php?id=243284&amp;type=1", "姚记扑克:首次公开发行股票招股意向书摘要")</f>
        <v>姚记扑克:首次公开发行股票招股意向书摘要</v>
      </c>
      <c r="F1543" t="s">
        <v>2425</v>
      </c>
    </row>
    <row r="1544" spans="1:6" x14ac:dyDescent="0.15">
      <c r="A1544" s="1">
        <v>40742</v>
      </c>
      <c r="B1544" t="s">
        <v>309</v>
      </c>
      <c r="C1544" t="s">
        <v>796</v>
      </c>
      <c r="D1544" t="s">
        <v>661</v>
      </c>
      <c r="E1544" s="4" t="str">
        <f>HYPERLINK("http://snap.windin.com/ns/bulletin.php?id=1627233&amp;type=1", "以岭药业:首次公开发行股票（A股）招股说明书")</f>
        <v>以岭药业:首次公开发行股票（A股）招股说明书</v>
      </c>
      <c r="F1544" t="s">
        <v>2426</v>
      </c>
    </row>
    <row r="1545" spans="1:6" x14ac:dyDescent="0.15">
      <c r="A1545" s="1">
        <v>40742</v>
      </c>
      <c r="B1545" t="s">
        <v>309</v>
      </c>
      <c r="C1545" t="s">
        <v>796</v>
      </c>
      <c r="D1545" t="s">
        <v>708</v>
      </c>
      <c r="E1545" s="4" t="str">
        <f>HYPERLINK("http://snap.windin.com/ns/bulletin.php?id=186311&amp;type=1", "以岭药业:首次公开发行股票（A股）招股说明书摘要")</f>
        <v>以岭药业:首次公开发行股票（A股）招股说明书摘要</v>
      </c>
      <c r="F1545" t="s">
        <v>2427</v>
      </c>
    </row>
    <row r="1546" spans="1:6" x14ac:dyDescent="0.15">
      <c r="A1546" s="1">
        <v>40739</v>
      </c>
      <c r="B1546" t="s">
        <v>306</v>
      </c>
      <c r="C1546" t="s">
        <v>793</v>
      </c>
      <c r="D1546" t="s">
        <v>471</v>
      </c>
      <c r="E1546" s="4" t="str">
        <f>HYPERLINK("http://snap.windin.com/ns/bulletin.php?id=18409718&amp;type=1", "光线传媒:首次公开发行股票并在创业板上市招股意向书")</f>
        <v>光线传媒:首次公开发行股票并在创业板上市招股意向书</v>
      </c>
      <c r="F1546" t="s">
        <v>2428</v>
      </c>
    </row>
    <row r="1547" spans="1:6" x14ac:dyDescent="0.15">
      <c r="A1547" s="1">
        <v>40739</v>
      </c>
      <c r="B1547" t="s">
        <v>306</v>
      </c>
      <c r="C1547" t="s">
        <v>793</v>
      </c>
      <c r="D1547" t="s">
        <v>471</v>
      </c>
      <c r="E1547" s="4" t="str">
        <f>HYPERLINK("http://snap.windin.com/ns/bulletin.php?id=18408030&amp;type=1", "光线传媒:首次公开发行股票并在创业板上市招股意向书")</f>
        <v>光线传媒:首次公开发行股票并在创业板上市招股意向书</v>
      </c>
      <c r="F1547" t="s">
        <v>2429</v>
      </c>
    </row>
    <row r="1548" spans="1:6" x14ac:dyDescent="0.15">
      <c r="A1548" s="1">
        <v>40739</v>
      </c>
      <c r="B1548" t="s">
        <v>306</v>
      </c>
      <c r="C1548" t="s">
        <v>793</v>
      </c>
      <c r="D1548" t="s">
        <v>471</v>
      </c>
      <c r="E1548" s="4" t="str">
        <f>HYPERLINK("http://snap.windin.com/ns/bulletin.php?id=1336874&amp;type=1", "光线传媒:首次公开发行股票并在创业板上市招股意向书")</f>
        <v>光线传媒:首次公开发行股票并在创业板上市招股意向书</v>
      </c>
      <c r="F1548" t="s">
        <v>2430</v>
      </c>
    </row>
    <row r="1549" spans="1:6" x14ac:dyDescent="0.15">
      <c r="A1549" s="1">
        <v>40739</v>
      </c>
      <c r="B1549" t="s">
        <v>304</v>
      </c>
      <c r="C1549" t="s">
        <v>791</v>
      </c>
      <c r="D1549" t="s">
        <v>471</v>
      </c>
      <c r="E1549" s="4" t="str">
        <f>HYPERLINK("http://snap.windin.com/ns/bulletin.php?id=19027610&amp;type=1", "初灵信息:首次公开发行股票并在创业板上市招股意向书")</f>
        <v>初灵信息:首次公开发行股票并在创业板上市招股意向书</v>
      </c>
      <c r="F1549" t="s">
        <v>2431</v>
      </c>
    </row>
    <row r="1550" spans="1:6" x14ac:dyDescent="0.15">
      <c r="A1550" s="1">
        <v>40739</v>
      </c>
      <c r="B1550" t="s">
        <v>304</v>
      </c>
      <c r="C1550" t="s">
        <v>791</v>
      </c>
      <c r="D1550" t="s">
        <v>471</v>
      </c>
      <c r="E1550" s="4" t="str">
        <f>HYPERLINK("http://snap.windin.com/ns/bulletin.php?id=18567946&amp;type=1", "初灵信息:首次公开发行股票并在创业板上市招股意向书")</f>
        <v>初灵信息:首次公开发行股票并在创业板上市招股意向书</v>
      </c>
      <c r="F1550" t="s">
        <v>2432</v>
      </c>
    </row>
    <row r="1551" spans="1:6" x14ac:dyDescent="0.15">
      <c r="A1551" s="1">
        <v>40739</v>
      </c>
      <c r="B1551" t="s">
        <v>304</v>
      </c>
      <c r="C1551" t="s">
        <v>791</v>
      </c>
      <c r="D1551" t="s">
        <v>471</v>
      </c>
      <c r="E1551" s="4" t="str">
        <f>HYPERLINK("http://snap.windin.com/ns/bulletin.php?id=1988773&amp;type=1", "初灵信息:首次公开发行股票并在创业板上市招股意向书")</f>
        <v>初灵信息:首次公开发行股票并在创业板上市招股意向书</v>
      </c>
      <c r="F1551" t="s">
        <v>2433</v>
      </c>
    </row>
    <row r="1552" spans="1:6" x14ac:dyDescent="0.15">
      <c r="A1552" s="1">
        <v>40739</v>
      </c>
      <c r="B1552" t="s">
        <v>305</v>
      </c>
      <c r="C1552" t="s">
        <v>792</v>
      </c>
      <c r="D1552" t="s">
        <v>471</v>
      </c>
      <c r="E1552" s="4" t="str">
        <f>HYPERLINK("http://snap.windin.com/ns/bulletin.php?id=18398712&amp;type=1", "依米康:首次公开发行股票并在创业板上市招股意向书")</f>
        <v>依米康:首次公开发行股票并在创业板上市招股意向书</v>
      </c>
      <c r="F1552" t="s">
        <v>2434</v>
      </c>
    </row>
    <row r="1553" spans="1:6" x14ac:dyDescent="0.15">
      <c r="A1553" s="1">
        <v>40739</v>
      </c>
      <c r="B1553" t="s">
        <v>305</v>
      </c>
      <c r="C1553" t="s">
        <v>792</v>
      </c>
      <c r="D1553" t="s">
        <v>471</v>
      </c>
      <c r="E1553" s="4" t="str">
        <f>HYPERLINK("http://snap.windin.com/ns/bulletin.php?id=1382635&amp;type=1", "依米康:首次公开发行股票并在创业板上市招股意向书")</f>
        <v>依米康:首次公开发行股票并在创业板上市招股意向书</v>
      </c>
      <c r="F1553" t="s">
        <v>2435</v>
      </c>
    </row>
    <row r="1554" spans="1:6" x14ac:dyDescent="0.15">
      <c r="A1554" s="1">
        <v>40739</v>
      </c>
      <c r="B1554" t="s">
        <v>307</v>
      </c>
      <c r="C1554" t="s">
        <v>794</v>
      </c>
      <c r="D1554" t="s">
        <v>455</v>
      </c>
      <c r="E1554" s="4" t="str">
        <f>HYPERLINK("http://snap.windin.com/ns/bulletin.php?id=2116583&amp;type=1", "桑乐金:首次公开发行股票并在创业板上市招股说明书")</f>
        <v>桑乐金:首次公开发行股票并在创业板上市招股说明书</v>
      </c>
      <c r="F1554" t="s">
        <v>2436</v>
      </c>
    </row>
    <row r="1555" spans="1:6" x14ac:dyDescent="0.15">
      <c r="A1555" s="1">
        <v>40738</v>
      </c>
      <c r="B1555" t="s">
        <v>316</v>
      </c>
      <c r="C1555" t="s">
        <v>806</v>
      </c>
      <c r="D1555" t="s">
        <v>389</v>
      </c>
      <c r="E1555" s="4" t="str">
        <f>HYPERLINK("http://snap.windin.com/ns/bulletin.php?id=509760&amp;type=1", "佰利联:首次公开发行股票上市公告书")</f>
        <v>佰利联:首次公开发行股票上市公告书</v>
      </c>
      <c r="F1555" t="s">
        <v>2437</v>
      </c>
    </row>
    <row r="1556" spans="1:6" x14ac:dyDescent="0.15">
      <c r="A1556" s="1">
        <v>40738</v>
      </c>
      <c r="B1556" t="s">
        <v>315</v>
      </c>
      <c r="C1556" t="s">
        <v>805</v>
      </c>
      <c r="D1556" t="s">
        <v>389</v>
      </c>
      <c r="E1556" s="4" t="str">
        <f>HYPERLINK("http://snap.windin.com/ns/bulletin.php?id=1448798&amp;type=1", "江粉磁材:首次公开发行股票上市公告书")</f>
        <v>江粉磁材:首次公开发行股票上市公告书</v>
      </c>
      <c r="F1556" t="s">
        <v>2438</v>
      </c>
    </row>
    <row r="1557" spans="1:6" x14ac:dyDescent="0.15">
      <c r="A1557" s="1">
        <v>40738</v>
      </c>
      <c r="B1557" t="s">
        <v>317</v>
      </c>
      <c r="C1557" t="s">
        <v>807</v>
      </c>
      <c r="D1557" t="s">
        <v>389</v>
      </c>
      <c r="E1557" s="4" t="str">
        <f>HYPERLINK("http://snap.windin.com/ns/bulletin.php?id=425089&amp;type=1", "盛通股份:首次公开发行股票上市公告书")</f>
        <v>盛通股份:首次公开发行股票上市公告书</v>
      </c>
      <c r="F1557" t="s">
        <v>2439</v>
      </c>
    </row>
    <row r="1558" spans="1:6" x14ac:dyDescent="0.15">
      <c r="A1558" s="1">
        <v>40736</v>
      </c>
      <c r="B1558" t="s">
        <v>318</v>
      </c>
      <c r="C1558" t="s">
        <v>808</v>
      </c>
      <c r="D1558" t="s">
        <v>809</v>
      </c>
      <c r="E1558" s="4" t="str">
        <f>HYPERLINK("http://snap.windin.com/ns/bulletin.php?id=2077087&amp;type=1", "N瑞高:关于《山东瑞丰高分子材料股份有限公司首次公开发行股票并在创业板上市公告书》更正公告")</f>
        <v>N瑞高:关于《山东瑞丰高分子材料股份有限公司首次公开发行股票并在创业板上市公告书》更正公告</v>
      </c>
      <c r="F1558" t="s">
        <v>2440</v>
      </c>
    </row>
    <row r="1559" spans="1:6" x14ac:dyDescent="0.15">
      <c r="A1559" s="1">
        <v>40736</v>
      </c>
      <c r="B1559" t="s">
        <v>318</v>
      </c>
      <c r="C1559" t="s">
        <v>808</v>
      </c>
      <c r="D1559" t="s">
        <v>810</v>
      </c>
      <c r="E1559" s="4" t="str">
        <f>HYPERLINK("http://snap.windin.com/ns/bulletin.php?id=2029605&amp;type=1", "N瑞高:首次公开发行股票并在创业板上市公告书（更正后）")</f>
        <v>N瑞高:首次公开发行股票并在创业板上市公告书（更正后）</v>
      </c>
      <c r="F1559" t="s">
        <v>2441</v>
      </c>
    </row>
    <row r="1560" spans="1:6" x14ac:dyDescent="0.15">
      <c r="A1560" s="1">
        <v>40736</v>
      </c>
      <c r="B1560" t="s">
        <v>310</v>
      </c>
      <c r="C1560" t="s">
        <v>797</v>
      </c>
      <c r="D1560" t="s">
        <v>399</v>
      </c>
      <c r="E1560" s="4" t="str">
        <f>HYPERLINK("http://snap.windin.com/ns/bulletin.php?id=2006246&amp;type=1", "世纪华通:首次公开发行股票招股说明书")</f>
        <v>世纪华通:首次公开发行股票招股说明书</v>
      </c>
      <c r="F1560" t="s">
        <v>2442</v>
      </c>
    </row>
    <row r="1561" spans="1:6" x14ac:dyDescent="0.15">
      <c r="A1561" s="1">
        <v>40736</v>
      </c>
      <c r="B1561" t="s">
        <v>310</v>
      </c>
      <c r="C1561" t="s">
        <v>797</v>
      </c>
      <c r="D1561" t="s">
        <v>400</v>
      </c>
      <c r="E1561" s="4" t="str">
        <f>HYPERLINK("http://snap.windin.com/ns/bulletin.php?id=2087729&amp;type=1", "世纪华通:首次公开发行股票招股说明书摘要")</f>
        <v>世纪华通:首次公开发行股票招股说明书摘要</v>
      </c>
      <c r="F1561" t="s">
        <v>2443</v>
      </c>
    </row>
    <row r="1562" spans="1:6" x14ac:dyDescent="0.15">
      <c r="A1562" s="1">
        <v>40735</v>
      </c>
      <c r="B1562" t="s">
        <v>318</v>
      </c>
      <c r="C1562" t="s">
        <v>812</v>
      </c>
      <c r="D1562" t="s">
        <v>417</v>
      </c>
      <c r="E1562" s="4" t="str">
        <f>HYPERLINK("http://snap.windin.com/ns/bulletin.php?id=1553073&amp;type=1", "瑞丰高材:首次公开发行股票并在创业板上市公告书")</f>
        <v>瑞丰高材:首次公开发行股票并在创业板上市公告书</v>
      </c>
      <c r="F1562" t="s">
        <v>2444</v>
      </c>
    </row>
    <row r="1563" spans="1:6" x14ac:dyDescent="0.15">
      <c r="A1563" s="1">
        <v>40735</v>
      </c>
      <c r="B1563" t="s">
        <v>318</v>
      </c>
      <c r="C1563" t="s">
        <v>812</v>
      </c>
      <c r="D1563" t="s">
        <v>407</v>
      </c>
      <c r="E1563" s="4" t="str">
        <f>HYPERLINK("http://snap.windin.com/ns/bulletin.php?id=1382955&amp;type=1", "瑞丰高材:首次公开发行股票并在创业板上市公告书提示性公告")</f>
        <v>瑞丰高材:首次公开发行股票并在创业板上市公告书提示性公告</v>
      </c>
      <c r="F1563" t="s">
        <v>2445</v>
      </c>
    </row>
    <row r="1564" spans="1:6" x14ac:dyDescent="0.15">
      <c r="A1564" s="1">
        <v>40735</v>
      </c>
      <c r="B1564" t="s">
        <v>319</v>
      </c>
      <c r="C1564" t="s">
        <v>811</v>
      </c>
      <c r="D1564" t="s">
        <v>407</v>
      </c>
      <c r="E1564" s="4" t="str">
        <f>HYPERLINK("http://snap.windin.com/ns/bulletin.php?id=606780&amp;type=1", "明家科技:首次公开发行股票并在创业板上市公告书提示性公告")</f>
        <v>明家科技:首次公开发行股票并在创业板上市公告书提示性公告</v>
      </c>
      <c r="F1564" t="s">
        <v>2446</v>
      </c>
    </row>
    <row r="1565" spans="1:6" x14ac:dyDescent="0.15">
      <c r="A1565" s="1">
        <v>40735</v>
      </c>
      <c r="B1565" t="s">
        <v>319</v>
      </c>
      <c r="C1565" t="s">
        <v>811</v>
      </c>
      <c r="D1565" t="s">
        <v>408</v>
      </c>
      <c r="E1565" s="4" t="str">
        <f>HYPERLINK("http://snap.windin.com/ns/bulletin.php?id=1819521&amp;type=1", "明家科技:首次公开发行股票并在创业板上市之上市公告书")</f>
        <v>明家科技:首次公开发行股票并在创业板上市之上市公告书</v>
      </c>
      <c r="F1565" t="s">
        <v>2447</v>
      </c>
    </row>
    <row r="1566" spans="1:6" x14ac:dyDescent="0.15">
      <c r="A1566" s="1">
        <v>40735</v>
      </c>
      <c r="B1566" t="s">
        <v>320</v>
      </c>
      <c r="C1566" t="s">
        <v>813</v>
      </c>
      <c r="D1566" t="s">
        <v>417</v>
      </c>
      <c r="E1566" s="4" t="str">
        <f>HYPERLINK("http://snap.windin.com/ns/bulletin.php?id=583332&amp;type=1", "瑞丰光电:首次公开发行股票并在创业板上市公告书")</f>
        <v>瑞丰光电:首次公开发行股票并在创业板上市公告书</v>
      </c>
      <c r="F1566" t="s">
        <v>2448</v>
      </c>
    </row>
    <row r="1567" spans="1:6" x14ac:dyDescent="0.15">
      <c r="A1567" s="1">
        <v>40735</v>
      </c>
      <c r="B1567" t="s">
        <v>320</v>
      </c>
      <c r="C1567" t="s">
        <v>813</v>
      </c>
      <c r="D1567" t="s">
        <v>407</v>
      </c>
      <c r="E1567" s="4" t="str">
        <f>HYPERLINK("http://snap.windin.com/ns/bulletin.php?id=406216&amp;type=1", "瑞丰光电:首次公开发行股票并在创业板上市公告书提示性公告")</f>
        <v>瑞丰光电:首次公开发行股票并在创业板上市公告书提示性公告</v>
      </c>
      <c r="F1567" t="s">
        <v>2449</v>
      </c>
    </row>
    <row r="1568" spans="1:6" x14ac:dyDescent="0.15">
      <c r="A1568" s="1">
        <v>40735</v>
      </c>
      <c r="B1568" t="s">
        <v>311</v>
      </c>
      <c r="C1568" t="s">
        <v>799</v>
      </c>
      <c r="D1568" t="s">
        <v>465</v>
      </c>
      <c r="E1568" s="4" t="str">
        <f>HYPERLINK("http://snap.windin.com/ns/bulletin.php?id=19310568&amp;type=1", "龙力生物:首次公开发行股票招股意向书")</f>
        <v>龙力生物:首次公开发行股票招股意向书</v>
      </c>
      <c r="F1568" t="s">
        <v>2450</v>
      </c>
    </row>
    <row r="1569" spans="1:6" x14ac:dyDescent="0.15">
      <c r="A1569" s="1">
        <v>40735</v>
      </c>
      <c r="B1569" t="s">
        <v>311</v>
      </c>
      <c r="C1569" t="s">
        <v>799</v>
      </c>
      <c r="D1569" t="s">
        <v>465</v>
      </c>
      <c r="E1569" s="4" t="str">
        <f>HYPERLINK("http://snap.windin.com/ns/bulletin.php?id=1132480&amp;type=1", "龙力生物:首次公开发行股票招股意向书")</f>
        <v>龙力生物:首次公开发行股票招股意向书</v>
      </c>
      <c r="F1569" t="s">
        <v>2451</v>
      </c>
    </row>
    <row r="1570" spans="1:6" x14ac:dyDescent="0.15">
      <c r="A1570" s="1">
        <v>40735</v>
      </c>
      <c r="B1570" t="s">
        <v>311</v>
      </c>
      <c r="C1570" t="s">
        <v>799</v>
      </c>
      <c r="D1570" t="s">
        <v>466</v>
      </c>
      <c r="E1570" s="4" t="str">
        <f>HYPERLINK("http://snap.windin.com/ns/bulletin.php?id=1598866&amp;type=1", "龙力生物:首次公开发行股票招股意向书摘要")</f>
        <v>龙力生物:首次公开发行股票招股意向书摘要</v>
      </c>
      <c r="F1570" t="s">
        <v>2452</v>
      </c>
    </row>
    <row r="1571" spans="1:6" x14ac:dyDescent="0.15">
      <c r="A1571" s="1">
        <v>40735</v>
      </c>
      <c r="B1571" t="s">
        <v>309</v>
      </c>
      <c r="C1571" t="s">
        <v>796</v>
      </c>
      <c r="D1571" t="s">
        <v>673</v>
      </c>
      <c r="E1571" s="4" t="str">
        <f>HYPERLINK("http://snap.windin.com/ns/bulletin.php?id=567194&amp;type=1", "以岭药业:首次公开发行股票（A股）招股意向书")</f>
        <v>以岭药业:首次公开发行股票（A股）招股意向书</v>
      </c>
      <c r="F1571" t="s">
        <v>2453</v>
      </c>
    </row>
    <row r="1572" spans="1:6" x14ac:dyDescent="0.15">
      <c r="A1572" s="1">
        <v>40735</v>
      </c>
      <c r="B1572" t="s">
        <v>309</v>
      </c>
      <c r="C1572" t="s">
        <v>796</v>
      </c>
      <c r="D1572" t="s">
        <v>672</v>
      </c>
      <c r="E1572" s="4" t="str">
        <f>HYPERLINK("http://snap.windin.com/ns/bulletin.php?id=1260607&amp;type=1", "以岭药业:首次公开发行股票（A股）招股意向书摘要")</f>
        <v>以岭药业:首次公开发行股票（A股）招股意向书摘要</v>
      </c>
      <c r="F1572" t="s">
        <v>2454</v>
      </c>
    </row>
    <row r="1573" spans="1:6" x14ac:dyDescent="0.15">
      <c r="A1573" s="1">
        <v>40735</v>
      </c>
      <c r="B1573" t="s">
        <v>309</v>
      </c>
      <c r="C1573" t="s">
        <v>796</v>
      </c>
      <c r="D1573" t="s">
        <v>465</v>
      </c>
      <c r="E1573" s="4" t="str">
        <f>HYPERLINK("http://snap.windin.com/ns/bulletin.php?id=19259332&amp;type=1", "以岭药业:首次公开发行股票招股意向书")</f>
        <v>以岭药业:首次公开发行股票招股意向书</v>
      </c>
      <c r="F1573" t="s">
        <v>2455</v>
      </c>
    </row>
    <row r="1574" spans="1:6" x14ac:dyDescent="0.15">
      <c r="A1574" s="1">
        <v>40732</v>
      </c>
      <c r="B1574" t="s">
        <v>308</v>
      </c>
      <c r="C1574" t="s">
        <v>795</v>
      </c>
      <c r="D1574" t="s">
        <v>471</v>
      </c>
      <c r="E1574" s="4" t="str">
        <f>HYPERLINK("http://snap.windin.com/ns/bulletin.php?id=1202516&amp;type=1", "新开普:首次公开发行股票并在创业板上市招股意向书")</f>
        <v>新开普:首次公开发行股票并在创业板上市招股意向书</v>
      </c>
      <c r="F1574" t="s">
        <v>2456</v>
      </c>
    </row>
    <row r="1575" spans="1:6" x14ac:dyDescent="0.15">
      <c r="A1575" s="1">
        <v>40732</v>
      </c>
      <c r="B1575" t="s">
        <v>307</v>
      </c>
      <c r="C1575" t="s">
        <v>794</v>
      </c>
      <c r="D1575" t="s">
        <v>471</v>
      </c>
      <c r="E1575" s="4" t="str">
        <f>HYPERLINK("http://snap.windin.com/ns/bulletin.php?id=18847344&amp;type=1", "桑乐金:首次公开发行股票并在创业板上市招股意向书")</f>
        <v>桑乐金:首次公开发行股票并在创业板上市招股意向书</v>
      </c>
      <c r="F1575" t="s">
        <v>2457</v>
      </c>
    </row>
    <row r="1576" spans="1:6" x14ac:dyDescent="0.15">
      <c r="A1576" s="1">
        <v>40732</v>
      </c>
      <c r="B1576" t="s">
        <v>307</v>
      </c>
      <c r="C1576" t="s">
        <v>794</v>
      </c>
      <c r="D1576" t="s">
        <v>471</v>
      </c>
      <c r="E1576" s="4" t="str">
        <f>HYPERLINK("http://snap.windin.com/ns/bulletin.php?id=1576192&amp;type=1", "桑乐金:首次公开发行股票并在创业板上市招股意向书")</f>
        <v>桑乐金:首次公开发行股票并在创业板上市招股意向书</v>
      </c>
      <c r="F1576" t="s">
        <v>2458</v>
      </c>
    </row>
    <row r="1577" spans="1:6" x14ac:dyDescent="0.15">
      <c r="A1577" s="1">
        <v>40732</v>
      </c>
      <c r="B1577" t="s">
        <v>312</v>
      </c>
      <c r="C1577" t="s">
        <v>802</v>
      </c>
      <c r="D1577" t="s">
        <v>455</v>
      </c>
      <c r="E1577" s="4" t="str">
        <f>HYPERLINK("http://snap.windin.com/ns/bulletin.php?id=1695196&amp;type=1", "宝莱特:首次公开发行股票并在创业板上市招股说明书")</f>
        <v>宝莱特:首次公开发行股票并在创业板上市招股说明书</v>
      </c>
      <c r="F1577" t="s">
        <v>2459</v>
      </c>
    </row>
    <row r="1578" spans="1:6" x14ac:dyDescent="0.15">
      <c r="A1578" s="1">
        <v>40732</v>
      </c>
      <c r="B1578" t="s">
        <v>313</v>
      </c>
      <c r="C1578" t="s">
        <v>803</v>
      </c>
      <c r="D1578" t="s">
        <v>455</v>
      </c>
      <c r="E1578" s="4" t="str">
        <f>HYPERLINK("http://snap.windin.com/ns/bulletin.php?id=406116&amp;type=1", "天玑科技:首次公开发行股票并在创业板上市招股说明书")</f>
        <v>天玑科技:首次公开发行股票并在创业板上市招股说明书</v>
      </c>
      <c r="F1578" t="s">
        <v>2460</v>
      </c>
    </row>
    <row r="1579" spans="1:6" x14ac:dyDescent="0.15">
      <c r="A1579" s="1">
        <v>40732</v>
      </c>
      <c r="B1579" t="s">
        <v>314</v>
      </c>
      <c r="C1579" t="s">
        <v>804</v>
      </c>
      <c r="D1579" t="s">
        <v>455</v>
      </c>
      <c r="E1579" s="4" t="str">
        <f>HYPERLINK("http://snap.windin.com/ns/bulletin.php?id=1355562&amp;type=1", "迪安诊断:首次公开发行股票并在创业板上市招股说明书")</f>
        <v>迪安诊断:首次公开发行股票并在创业板上市招股说明书</v>
      </c>
      <c r="F1579" t="s">
        <v>2461</v>
      </c>
    </row>
    <row r="1580" spans="1:6" x14ac:dyDescent="0.15">
      <c r="A1580" s="1">
        <v>40730</v>
      </c>
      <c r="B1580" t="s">
        <v>322</v>
      </c>
      <c r="C1580" t="s">
        <v>815</v>
      </c>
      <c r="D1580" t="s">
        <v>389</v>
      </c>
      <c r="E1580" s="4" t="str">
        <f>HYPERLINK("http://snap.windin.com/ns/bulletin.php?id=1839669&amp;type=1", "山东章鼓:首次公开发行股票上市公告书")</f>
        <v>山东章鼓:首次公开发行股票上市公告书</v>
      </c>
      <c r="F1580" t="s">
        <v>2462</v>
      </c>
    </row>
    <row r="1581" spans="1:6" x14ac:dyDescent="0.15">
      <c r="A1581" s="1">
        <v>40730</v>
      </c>
      <c r="B1581" t="s">
        <v>321</v>
      </c>
      <c r="C1581" t="s">
        <v>814</v>
      </c>
      <c r="D1581" t="s">
        <v>389</v>
      </c>
      <c r="E1581" s="4" t="str">
        <f>HYPERLINK("http://snap.windin.com/ns/bulletin.php?id=2055177&amp;type=1", "金禾实业:首次公开发行股票上市公告书")</f>
        <v>金禾实业:首次公开发行股票上市公告书</v>
      </c>
      <c r="F1581" t="s">
        <v>2463</v>
      </c>
    </row>
    <row r="1582" spans="1:6" x14ac:dyDescent="0.15">
      <c r="A1582" s="1">
        <v>40730</v>
      </c>
      <c r="B1582" t="s">
        <v>323</v>
      </c>
      <c r="C1582" t="s">
        <v>816</v>
      </c>
      <c r="D1582" t="s">
        <v>389</v>
      </c>
      <c r="E1582" s="4" t="str">
        <f>HYPERLINK("http://snap.windin.com/ns/bulletin.php?id=186579&amp;type=1", "海南瑞泽:首次公开发行股票上市公告书")</f>
        <v>海南瑞泽:首次公开发行股票上市公告书</v>
      </c>
      <c r="F1582" t="s">
        <v>2464</v>
      </c>
    </row>
    <row r="1583" spans="1:6" x14ac:dyDescent="0.15">
      <c r="A1583" s="1">
        <v>40729</v>
      </c>
      <c r="B1583" t="s">
        <v>325</v>
      </c>
      <c r="C1583" t="s">
        <v>818</v>
      </c>
      <c r="D1583" t="s">
        <v>417</v>
      </c>
      <c r="E1583" s="4" t="str">
        <f>HYPERLINK("http://snap.windin.com/ns/bulletin.php?id=600457&amp;type=1", "飞力达:首次公开发行股票并在创业板上市公告书")</f>
        <v>飞力达:首次公开发行股票并在创业板上市公告书</v>
      </c>
      <c r="F1583" t="s">
        <v>2465</v>
      </c>
    </row>
    <row r="1584" spans="1:6" x14ac:dyDescent="0.15">
      <c r="A1584" s="1">
        <v>40729</v>
      </c>
      <c r="B1584" t="s">
        <v>325</v>
      </c>
      <c r="C1584" t="s">
        <v>818</v>
      </c>
      <c r="D1584" t="s">
        <v>407</v>
      </c>
      <c r="E1584" s="4" t="str">
        <f>HYPERLINK("http://snap.windin.com/ns/bulletin.php?id=1632875&amp;type=1", "飞力达:首次公开发行股票并在创业板上市公告书提示性公告")</f>
        <v>飞力达:首次公开发行股票并在创业板上市公告书提示性公告</v>
      </c>
      <c r="F1584" t="s">
        <v>2466</v>
      </c>
    </row>
    <row r="1585" spans="1:6" x14ac:dyDescent="0.15">
      <c r="A1585" s="1">
        <v>40729</v>
      </c>
      <c r="B1585" t="s">
        <v>326</v>
      </c>
      <c r="C1585" t="s">
        <v>819</v>
      </c>
      <c r="D1585" t="s">
        <v>383</v>
      </c>
      <c r="E1585" s="4" t="str">
        <f>HYPERLINK("http://snap.windin.com/ns/bulletin.php?id=1585030&amp;type=1", "东宝生物:首次公开发行股票并在创业板上市上市公告书提示性公告")</f>
        <v>东宝生物:首次公开发行股票并在创业板上市上市公告书提示性公告</v>
      </c>
      <c r="F1585" t="s">
        <v>2467</v>
      </c>
    </row>
    <row r="1586" spans="1:6" x14ac:dyDescent="0.15">
      <c r="A1586" s="1">
        <v>40729</v>
      </c>
      <c r="B1586" t="s">
        <v>326</v>
      </c>
      <c r="C1586" t="s">
        <v>819</v>
      </c>
      <c r="D1586" t="s">
        <v>408</v>
      </c>
      <c r="E1586" s="4" t="str">
        <f>HYPERLINK("http://snap.windin.com/ns/bulletin.php?id=586086&amp;type=1", "东宝生物:首次公开发行股票并在创业板上市之上市公告书")</f>
        <v>东宝生物:首次公开发行股票并在创业板上市之上市公告书</v>
      </c>
      <c r="F1586" t="s">
        <v>2468</v>
      </c>
    </row>
    <row r="1587" spans="1:6" x14ac:dyDescent="0.15">
      <c r="A1587" s="1">
        <v>40729</v>
      </c>
      <c r="B1587" t="s">
        <v>324</v>
      </c>
      <c r="C1587" t="s">
        <v>817</v>
      </c>
      <c r="D1587" t="s">
        <v>407</v>
      </c>
      <c r="E1587" s="4" t="str">
        <f>HYPERLINK("http://snap.windin.com/ns/bulletin.php?id=2121252&amp;type=1", "冠昊生物:首次公开发行股票并在创业板上市公告书提示性公告")</f>
        <v>冠昊生物:首次公开发行股票并在创业板上市公告书提示性公告</v>
      </c>
      <c r="F1587" t="s">
        <v>2469</v>
      </c>
    </row>
    <row r="1588" spans="1:6" x14ac:dyDescent="0.15">
      <c r="A1588" s="1">
        <v>40729</v>
      </c>
      <c r="B1588" t="s">
        <v>324</v>
      </c>
      <c r="C1588" t="s">
        <v>817</v>
      </c>
      <c r="D1588" t="s">
        <v>412</v>
      </c>
      <c r="E1588" s="4" t="str">
        <f>HYPERLINK("http://snap.windin.com/ns/bulletin.php?id=1954024&amp;type=1", "冠昊生物:首次公开发行股票并在创业板上市上市公告书")</f>
        <v>冠昊生物:首次公开发行股票并在创业板上市上市公告书</v>
      </c>
      <c r="F1588" t="s">
        <v>2470</v>
      </c>
    </row>
    <row r="1589" spans="1:6" x14ac:dyDescent="0.15">
      <c r="A1589" s="1">
        <v>40729</v>
      </c>
      <c r="B1589" t="s">
        <v>310</v>
      </c>
      <c r="C1589" t="s">
        <v>797</v>
      </c>
      <c r="D1589" t="s">
        <v>478</v>
      </c>
      <c r="E1589" s="4" t="str">
        <f>HYPERLINK("http://snap.windin.com/ns/bulletin.php?id=19267638&amp;type=1", "世纪华通:首次公开发行股票并上市招股意向书")</f>
        <v>世纪华通:首次公开发行股票并上市招股意向书</v>
      </c>
      <c r="F1589" t="s">
        <v>2471</v>
      </c>
    </row>
    <row r="1590" spans="1:6" x14ac:dyDescent="0.15">
      <c r="A1590" s="1">
        <v>40729</v>
      </c>
      <c r="B1590" t="s">
        <v>310</v>
      </c>
      <c r="C1590" t="s">
        <v>797</v>
      </c>
      <c r="D1590" t="s">
        <v>478</v>
      </c>
      <c r="E1590" s="4" t="str">
        <f>HYPERLINK("http://snap.windin.com/ns/bulletin.php?id=18487742&amp;type=1", "世纪华通:首次公开发行股票并上市招股意向书")</f>
        <v>世纪华通:首次公开发行股票并上市招股意向书</v>
      </c>
      <c r="F1590" t="s">
        <v>2472</v>
      </c>
    </row>
    <row r="1591" spans="1:6" x14ac:dyDescent="0.15">
      <c r="A1591" s="1">
        <v>40729</v>
      </c>
      <c r="B1591" t="s">
        <v>310</v>
      </c>
      <c r="C1591" t="s">
        <v>797</v>
      </c>
      <c r="D1591" t="s">
        <v>465</v>
      </c>
      <c r="E1591" s="4" t="str">
        <f>HYPERLINK("http://snap.windin.com/ns/bulletin.php?id=2120970&amp;type=1", "世纪华通:首次公开发行股票招股意向书")</f>
        <v>世纪华通:首次公开发行股票招股意向书</v>
      </c>
      <c r="F1591" t="s">
        <v>2473</v>
      </c>
    </row>
    <row r="1592" spans="1:6" x14ac:dyDescent="0.15">
      <c r="A1592" s="1">
        <v>40729</v>
      </c>
      <c r="B1592" t="s">
        <v>310</v>
      </c>
      <c r="C1592" t="s">
        <v>797</v>
      </c>
      <c r="D1592" t="s">
        <v>466</v>
      </c>
      <c r="E1592" s="4" t="str">
        <f>HYPERLINK("http://snap.windin.com/ns/bulletin.php?id=1892418&amp;type=1", "世纪华通:首次公开发行股票招股意向书摘要")</f>
        <v>世纪华通:首次公开发行股票招股意向书摘要</v>
      </c>
      <c r="F1592" t="s">
        <v>2474</v>
      </c>
    </row>
    <row r="1593" spans="1:6" x14ac:dyDescent="0.15">
      <c r="A1593" s="1">
        <v>40729</v>
      </c>
      <c r="B1593" t="s">
        <v>316</v>
      </c>
      <c r="C1593" t="s">
        <v>806</v>
      </c>
      <c r="D1593" t="s">
        <v>399</v>
      </c>
      <c r="E1593" s="4" t="str">
        <f>HYPERLINK("http://snap.windin.com/ns/bulletin.php?id=2019338&amp;type=1", "佰利联:首次公开发行股票招股说明书")</f>
        <v>佰利联:首次公开发行股票招股说明书</v>
      </c>
      <c r="F1593" t="s">
        <v>2475</v>
      </c>
    </row>
    <row r="1594" spans="1:6" x14ac:dyDescent="0.15">
      <c r="A1594" s="1">
        <v>40729</v>
      </c>
      <c r="B1594" t="s">
        <v>316</v>
      </c>
      <c r="C1594" t="s">
        <v>806</v>
      </c>
      <c r="D1594" t="s">
        <v>400</v>
      </c>
      <c r="E1594" s="4" t="str">
        <f>HYPERLINK("http://snap.windin.com/ns/bulletin.php?id=1110139&amp;type=1", "佰利联:首次公开发行股票招股说明书摘要")</f>
        <v>佰利联:首次公开发行股票招股说明书摘要</v>
      </c>
      <c r="F1594" t="s">
        <v>2476</v>
      </c>
    </row>
    <row r="1595" spans="1:6" x14ac:dyDescent="0.15">
      <c r="A1595" s="1">
        <v>40729</v>
      </c>
      <c r="B1595" t="s">
        <v>315</v>
      </c>
      <c r="C1595" t="s">
        <v>805</v>
      </c>
      <c r="D1595" t="s">
        <v>399</v>
      </c>
      <c r="E1595" s="4" t="str">
        <f>HYPERLINK("http://snap.windin.com/ns/bulletin.php?id=1815597&amp;type=1", "江粉磁材:首次公开发行股票招股说明书")</f>
        <v>江粉磁材:首次公开发行股票招股说明书</v>
      </c>
      <c r="F1595" t="s">
        <v>2477</v>
      </c>
    </row>
    <row r="1596" spans="1:6" x14ac:dyDescent="0.15">
      <c r="A1596" s="1">
        <v>40729</v>
      </c>
      <c r="B1596" t="s">
        <v>315</v>
      </c>
      <c r="C1596" t="s">
        <v>805</v>
      </c>
      <c r="D1596" t="s">
        <v>400</v>
      </c>
      <c r="E1596" s="4" t="str">
        <f>HYPERLINK("http://snap.windin.com/ns/bulletin.php?id=197878&amp;type=1", "江粉磁材:首次公开发行股票招股说明书摘要")</f>
        <v>江粉磁材:首次公开发行股票招股说明书摘要</v>
      </c>
      <c r="F1596" t="s">
        <v>2478</v>
      </c>
    </row>
    <row r="1597" spans="1:6" x14ac:dyDescent="0.15">
      <c r="A1597" s="1">
        <v>40729</v>
      </c>
      <c r="B1597" t="s">
        <v>317</v>
      </c>
      <c r="C1597" t="s">
        <v>807</v>
      </c>
      <c r="D1597" t="s">
        <v>399</v>
      </c>
      <c r="E1597" s="4" t="str">
        <f>HYPERLINK("http://snap.windin.com/ns/bulletin.php?id=527532&amp;type=1", "盛通股份:首次公开发行股票招股说明书")</f>
        <v>盛通股份:首次公开发行股票招股说明书</v>
      </c>
      <c r="F1597" t="s">
        <v>2479</v>
      </c>
    </row>
    <row r="1598" spans="1:6" x14ac:dyDescent="0.15">
      <c r="A1598" s="1">
        <v>40729</v>
      </c>
      <c r="B1598" t="s">
        <v>317</v>
      </c>
      <c r="C1598" t="s">
        <v>807</v>
      </c>
      <c r="D1598" t="s">
        <v>400</v>
      </c>
      <c r="E1598" s="4" t="str">
        <f>HYPERLINK("http://snap.windin.com/ns/bulletin.php?id=1652455&amp;type=1", "盛通股份:首次公开发行股票招股说明书摘要")</f>
        <v>盛通股份:首次公开发行股票招股说明书摘要</v>
      </c>
      <c r="F1598" t="s">
        <v>2480</v>
      </c>
    </row>
    <row r="1599" spans="1:6" x14ac:dyDescent="0.15">
      <c r="A1599" s="1">
        <v>40725</v>
      </c>
      <c r="B1599" t="s">
        <v>312</v>
      </c>
      <c r="C1599" t="s">
        <v>802</v>
      </c>
      <c r="D1599" t="s">
        <v>471</v>
      </c>
      <c r="E1599" s="4" t="str">
        <f>HYPERLINK("http://snap.windin.com/ns/bulletin.php?id=18846082&amp;type=1", "宝莱特:首次公开发行股票并在创业板上市招股意向书")</f>
        <v>宝莱特:首次公开发行股票并在创业板上市招股意向书</v>
      </c>
      <c r="F1599" t="s">
        <v>2481</v>
      </c>
    </row>
    <row r="1600" spans="1:6" x14ac:dyDescent="0.15">
      <c r="A1600" s="1">
        <v>40725</v>
      </c>
      <c r="B1600" t="s">
        <v>312</v>
      </c>
      <c r="C1600" t="s">
        <v>802</v>
      </c>
      <c r="D1600" t="s">
        <v>471</v>
      </c>
      <c r="E1600" s="4" t="str">
        <f>HYPERLINK("http://snap.windin.com/ns/bulletin.php?id=1427607&amp;type=1", "宝莱特:首次公开发行股票并在创业板上市招股意向书")</f>
        <v>宝莱特:首次公开发行股票并在创业板上市招股意向书</v>
      </c>
      <c r="F1600" t="s">
        <v>2482</v>
      </c>
    </row>
    <row r="1601" spans="1:6" x14ac:dyDescent="0.15">
      <c r="A1601" s="1">
        <v>40725</v>
      </c>
      <c r="B1601" t="s">
        <v>313</v>
      </c>
      <c r="C1601" t="s">
        <v>803</v>
      </c>
      <c r="D1601" t="s">
        <v>471</v>
      </c>
      <c r="E1601" s="4" t="str">
        <f>HYPERLINK("http://snap.windin.com/ns/bulletin.php?id=18557752&amp;type=1", "天玑科技:首次公开发行股票并在创业板上市招股意向书")</f>
        <v>天玑科技:首次公开发行股票并在创业板上市招股意向书</v>
      </c>
      <c r="F1601" t="s">
        <v>2483</v>
      </c>
    </row>
    <row r="1602" spans="1:6" x14ac:dyDescent="0.15">
      <c r="A1602" s="1">
        <v>40725</v>
      </c>
      <c r="B1602" t="s">
        <v>313</v>
      </c>
      <c r="C1602" t="s">
        <v>803</v>
      </c>
      <c r="D1602" t="s">
        <v>471</v>
      </c>
      <c r="E1602" s="4" t="str">
        <f>HYPERLINK("http://snap.windin.com/ns/bulletin.php?id=522494&amp;type=1", "天玑科技:首次公开发行股票并在创业板上市招股意向书")</f>
        <v>天玑科技:首次公开发行股票并在创业板上市招股意向书</v>
      </c>
      <c r="F1602" t="s">
        <v>2484</v>
      </c>
    </row>
    <row r="1603" spans="1:6" x14ac:dyDescent="0.15">
      <c r="A1603" s="1">
        <v>40725</v>
      </c>
      <c r="B1603" t="s">
        <v>314</v>
      </c>
      <c r="C1603" t="s">
        <v>804</v>
      </c>
      <c r="D1603" t="s">
        <v>471</v>
      </c>
      <c r="E1603" s="4" t="str">
        <f>HYPERLINK("http://snap.windin.com/ns/bulletin.php?id=19185208&amp;type=1", "迪安诊断:首次公开发行股票并在创业板上市招股意向书")</f>
        <v>迪安诊断:首次公开发行股票并在创业板上市招股意向书</v>
      </c>
      <c r="F1603" t="s">
        <v>2485</v>
      </c>
    </row>
    <row r="1604" spans="1:6" x14ac:dyDescent="0.15">
      <c r="A1604" s="1">
        <v>40725</v>
      </c>
      <c r="B1604" t="s">
        <v>314</v>
      </c>
      <c r="C1604" t="s">
        <v>804</v>
      </c>
      <c r="D1604" t="s">
        <v>471</v>
      </c>
      <c r="E1604" s="4" t="str">
        <f>HYPERLINK("http://snap.windin.com/ns/bulletin.php?id=18535422&amp;type=1", "迪安诊断:首次公开发行股票并在创业板上市招股意向书")</f>
        <v>迪安诊断:首次公开发行股票并在创业板上市招股意向书</v>
      </c>
      <c r="F1604" t="s">
        <v>2486</v>
      </c>
    </row>
    <row r="1605" spans="1:6" x14ac:dyDescent="0.15">
      <c r="A1605" s="1">
        <v>40725</v>
      </c>
      <c r="B1605" t="s">
        <v>314</v>
      </c>
      <c r="C1605" t="s">
        <v>804</v>
      </c>
      <c r="D1605" t="s">
        <v>471</v>
      </c>
      <c r="E1605" s="4" t="str">
        <f>HYPERLINK("http://snap.windin.com/ns/bulletin.php?id=922036&amp;type=1", "迪安诊断:首次公开发行股票并在创业板上市招股意向书")</f>
        <v>迪安诊断:首次公开发行股票并在创业板上市招股意向书</v>
      </c>
      <c r="F1605" t="s">
        <v>2487</v>
      </c>
    </row>
    <row r="1606" spans="1:6" x14ac:dyDescent="0.15">
      <c r="A1606" s="1">
        <v>40725</v>
      </c>
      <c r="B1606" t="s">
        <v>318</v>
      </c>
      <c r="C1606" t="s">
        <v>812</v>
      </c>
      <c r="D1606" t="s">
        <v>455</v>
      </c>
      <c r="E1606" s="4" t="str">
        <f>HYPERLINK("http://snap.windin.com/ns/bulletin.php?id=1390101&amp;type=1", "瑞丰高材:首次公开发行股票并在创业板上市招股说明书")</f>
        <v>瑞丰高材:首次公开发行股票并在创业板上市招股说明书</v>
      </c>
      <c r="F1606" t="s">
        <v>2488</v>
      </c>
    </row>
    <row r="1607" spans="1:6" x14ac:dyDescent="0.15">
      <c r="A1607" s="1">
        <v>40725</v>
      </c>
      <c r="B1607" t="s">
        <v>319</v>
      </c>
      <c r="C1607" t="s">
        <v>811</v>
      </c>
      <c r="D1607" t="s">
        <v>455</v>
      </c>
      <c r="E1607" s="4" t="str">
        <f>HYPERLINK("http://snap.windin.com/ns/bulletin.php?id=1508990&amp;type=1", "明家科技:首次公开发行股票并在创业板上市招股说明书")</f>
        <v>明家科技:首次公开发行股票并在创业板上市招股说明书</v>
      </c>
      <c r="F1607" t="s">
        <v>2489</v>
      </c>
    </row>
    <row r="1608" spans="1:6" x14ac:dyDescent="0.15">
      <c r="A1608" s="1">
        <v>40725</v>
      </c>
      <c r="B1608" t="s">
        <v>320</v>
      </c>
      <c r="C1608" t="s">
        <v>813</v>
      </c>
      <c r="D1608" t="s">
        <v>455</v>
      </c>
      <c r="E1608" s="4" t="str">
        <f>HYPERLINK("http://snap.windin.com/ns/bulletin.php?id=1169257&amp;type=1", "瑞丰光电:首次公开发行股票并在创业板上市招股说明书")</f>
        <v>瑞丰光电:首次公开发行股票并在创业板上市招股说明书</v>
      </c>
      <c r="F1608" t="s">
        <v>2490</v>
      </c>
    </row>
    <row r="1609" spans="1:6" x14ac:dyDescent="0.15">
      <c r="A1609" s="1">
        <v>40723</v>
      </c>
      <c r="B1609" t="s">
        <v>327</v>
      </c>
      <c r="C1609" t="s">
        <v>820</v>
      </c>
      <c r="D1609" t="s">
        <v>402</v>
      </c>
      <c r="E1609" s="4" t="str">
        <f>HYPERLINK("http://snap.windin.com/ns/bulletin.php?id=1735789&amp;type=1", "赛轮股份:首次公开发行A股股票上市公告书")</f>
        <v>赛轮股份:首次公开发行A股股票上市公告书</v>
      </c>
      <c r="F1609" t="s">
        <v>2491</v>
      </c>
    </row>
    <row r="1610" spans="1:6" x14ac:dyDescent="0.15">
      <c r="A1610" s="1">
        <v>40723</v>
      </c>
      <c r="B1610" t="s">
        <v>327</v>
      </c>
      <c r="C1610" t="s">
        <v>820</v>
      </c>
      <c r="D1610" t="s">
        <v>399</v>
      </c>
      <c r="E1610" s="4" t="str">
        <f>HYPERLINK("http://snap.windin.com/ns/bulletin.php?id=2083826&amp;type=1", "赛轮股份:首次公开发行股票招股说明书")</f>
        <v>赛轮股份:首次公开发行股票招股说明书</v>
      </c>
      <c r="F1610" t="s">
        <v>2492</v>
      </c>
    </row>
    <row r="1611" spans="1:6" x14ac:dyDescent="0.15">
      <c r="A1611" s="1">
        <v>40723</v>
      </c>
      <c r="B1611" t="s">
        <v>328</v>
      </c>
      <c r="C1611" t="s">
        <v>821</v>
      </c>
      <c r="D1611" t="s">
        <v>389</v>
      </c>
      <c r="E1611" s="4" t="str">
        <f>HYPERLINK("http://snap.windin.com/ns/bulletin.php?id=542649&amp;type=1", "比亚迪:首次公开发行股票上市公告书")</f>
        <v>比亚迪:首次公开发行股票上市公告书</v>
      </c>
      <c r="F1611" t="s">
        <v>2493</v>
      </c>
    </row>
    <row r="1612" spans="1:6" x14ac:dyDescent="0.15">
      <c r="A1612" s="1">
        <v>40722</v>
      </c>
      <c r="B1612" t="s">
        <v>331</v>
      </c>
      <c r="C1612" t="s">
        <v>824</v>
      </c>
      <c r="D1612" t="s">
        <v>417</v>
      </c>
      <c r="E1612" s="4" t="str">
        <f>HYPERLINK("http://snap.windin.com/ns/bulletin.php?id=1097160&amp;type=1", "美晨科技:首次公开发行股票并在创业板上市公告书")</f>
        <v>美晨科技:首次公开发行股票并在创业板上市公告书</v>
      </c>
      <c r="F1612" t="s">
        <v>2494</v>
      </c>
    </row>
    <row r="1613" spans="1:6" x14ac:dyDescent="0.15">
      <c r="A1613" s="1">
        <v>40722</v>
      </c>
      <c r="B1613" t="s">
        <v>331</v>
      </c>
      <c r="C1613" t="s">
        <v>824</v>
      </c>
      <c r="D1613" t="s">
        <v>383</v>
      </c>
      <c r="E1613" s="4" t="str">
        <f>HYPERLINK("http://snap.windin.com/ns/bulletin.php?id=1101578&amp;type=1", "美晨科技:首次公开发行股票并在创业板上市上市公告书提示性公告")</f>
        <v>美晨科技:首次公开发行股票并在创业板上市上市公告书提示性公告</v>
      </c>
      <c r="F1613" t="s">
        <v>2495</v>
      </c>
    </row>
    <row r="1614" spans="1:6" x14ac:dyDescent="0.15">
      <c r="A1614" s="1">
        <v>40722</v>
      </c>
      <c r="B1614" t="s">
        <v>329</v>
      </c>
      <c r="C1614" t="s">
        <v>822</v>
      </c>
      <c r="D1614" t="s">
        <v>407</v>
      </c>
      <c r="E1614" s="4" t="str">
        <f>HYPERLINK("http://snap.windin.com/ns/bulletin.php?id=1364164&amp;type=1", "上海新阳:首次公开发行股票并在创业板上市公告书提示性公告")</f>
        <v>上海新阳:首次公开发行股票并在创业板上市公告书提示性公告</v>
      </c>
      <c r="F1614" t="s">
        <v>2496</v>
      </c>
    </row>
    <row r="1615" spans="1:6" x14ac:dyDescent="0.15">
      <c r="A1615" s="1">
        <v>40722</v>
      </c>
      <c r="B1615" t="s">
        <v>329</v>
      </c>
      <c r="C1615" t="s">
        <v>822</v>
      </c>
      <c r="D1615" t="s">
        <v>389</v>
      </c>
      <c r="E1615" s="4" t="str">
        <f>HYPERLINK("http://snap.windin.com/ns/bulletin.php?id=1044530&amp;type=1", "上海新阳:首次公开发行股票上市公告书")</f>
        <v>上海新阳:首次公开发行股票上市公告书</v>
      </c>
      <c r="F1615" t="s">
        <v>2497</v>
      </c>
    </row>
    <row r="1616" spans="1:6" x14ac:dyDescent="0.15">
      <c r="A1616" s="1">
        <v>40722</v>
      </c>
      <c r="B1616" t="s">
        <v>330</v>
      </c>
      <c r="C1616" t="s">
        <v>823</v>
      </c>
      <c r="D1616" t="s">
        <v>417</v>
      </c>
      <c r="E1616" s="4" t="str">
        <f>HYPERLINK("http://snap.windin.com/ns/bulletin.php?id=1206585&amp;type=1", "方直科技:首次公开发行股票并在创业板上市公告书")</f>
        <v>方直科技:首次公开发行股票并在创业板上市公告书</v>
      </c>
      <c r="F1616" t="s">
        <v>2498</v>
      </c>
    </row>
    <row r="1617" spans="1:6" x14ac:dyDescent="0.15">
      <c r="A1617" s="1">
        <v>40722</v>
      </c>
      <c r="B1617" t="s">
        <v>330</v>
      </c>
      <c r="C1617" t="s">
        <v>823</v>
      </c>
      <c r="D1617" t="s">
        <v>407</v>
      </c>
      <c r="E1617" s="4" t="str">
        <f>HYPERLINK("http://snap.windin.com/ns/bulletin.php?id=1142714&amp;type=1", "方直科技:首次公开发行股票并在创业板上市公告书提示性公告")</f>
        <v>方直科技:首次公开发行股票并在创业板上市公告书提示性公告</v>
      </c>
      <c r="F1617" t="s">
        <v>2499</v>
      </c>
    </row>
    <row r="1618" spans="1:6" x14ac:dyDescent="0.15">
      <c r="A1618" s="1">
        <v>40722</v>
      </c>
      <c r="B1618" t="s">
        <v>316</v>
      </c>
      <c r="C1618" t="s">
        <v>806</v>
      </c>
      <c r="D1618" t="s">
        <v>465</v>
      </c>
      <c r="E1618" s="4" t="str">
        <f>HYPERLINK("http://snap.windin.com/ns/bulletin.php?id=18516138&amp;type=1", "佰利联:首次公开发行股票招股意向书")</f>
        <v>佰利联:首次公开发行股票招股意向书</v>
      </c>
      <c r="F1618" t="s">
        <v>2500</v>
      </c>
    </row>
    <row r="1619" spans="1:6" x14ac:dyDescent="0.15">
      <c r="A1619" s="1">
        <v>40722</v>
      </c>
      <c r="B1619" t="s">
        <v>316</v>
      </c>
      <c r="C1619" t="s">
        <v>806</v>
      </c>
      <c r="D1619" t="s">
        <v>465</v>
      </c>
      <c r="E1619" s="4" t="str">
        <f>HYPERLINK("http://snap.windin.com/ns/bulletin.php?id=18428632&amp;type=1", "佰利联:首次公开发行股票招股意向书")</f>
        <v>佰利联:首次公开发行股票招股意向书</v>
      </c>
      <c r="F1619" t="s">
        <v>2501</v>
      </c>
    </row>
    <row r="1620" spans="1:6" x14ac:dyDescent="0.15">
      <c r="A1620" s="1">
        <v>40722</v>
      </c>
      <c r="B1620" t="s">
        <v>316</v>
      </c>
      <c r="C1620" t="s">
        <v>806</v>
      </c>
      <c r="D1620" t="s">
        <v>465</v>
      </c>
      <c r="E1620" s="4" t="str">
        <f>HYPERLINK("http://snap.windin.com/ns/bulletin.php?id=1427303&amp;type=1", "佰利联:首次公开发行股票招股意向书")</f>
        <v>佰利联:首次公开发行股票招股意向书</v>
      </c>
      <c r="F1620" t="s">
        <v>2502</v>
      </c>
    </row>
    <row r="1621" spans="1:6" x14ac:dyDescent="0.15">
      <c r="A1621" s="1">
        <v>40722</v>
      </c>
      <c r="B1621" t="s">
        <v>316</v>
      </c>
      <c r="C1621" t="s">
        <v>806</v>
      </c>
      <c r="D1621" t="s">
        <v>466</v>
      </c>
      <c r="E1621" s="4" t="str">
        <f>HYPERLINK("http://snap.windin.com/ns/bulletin.php?id=1658270&amp;type=1", "佰利联:首次公开发行股票招股意向书摘要")</f>
        <v>佰利联:首次公开发行股票招股意向书摘要</v>
      </c>
      <c r="F1621" t="s">
        <v>2503</v>
      </c>
    </row>
    <row r="1622" spans="1:6" x14ac:dyDescent="0.15">
      <c r="A1622" s="1">
        <v>40722</v>
      </c>
      <c r="B1622" t="s">
        <v>315</v>
      </c>
      <c r="C1622" t="s">
        <v>805</v>
      </c>
      <c r="D1622" t="s">
        <v>465</v>
      </c>
      <c r="E1622" s="4" t="str">
        <f>HYPERLINK("http://snap.windin.com/ns/bulletin.php?id=19138148&amp;type=1", "江粉磁材:首次公开发行股票招股意向书")</f>
        <v>江粉磁材:首次公开发行股票招股意向书</v>
      </c>
      <c r="F1622" t="s">
        <v>2504</v>
      </c>
    </row>
    <row r="1623" spans="1:6" x14ac:dyDescent="0.15">
      <c r="A1623" s="1">
        <v>40722</v>
      </c>
      <c r="B1623" t="s">
        <v>315</v>
      </c>
      <c r="C1623" t="s">
        <v>805</v>
      </c>
      <c r="D1623" t="s">
        <v>465</v>
      </c>
      <c r="E1623" s="4" t="str">
        <f>HYPERLINK("http://snap.windin.com/ns/bulletin.php?id=160022&amp;type=1", "江粉磁材:首次公开发行股票招股意向书")</f>
        <v>江粉磁材:首次公开发行股票招股意向书</v>
      </c>
      <c r="F1623" t="s">
        <v>2505</v>
      </c>
    </row>
    <row r="1624" spans="1:6" x14ac:dyDescent="0.15">
      <c r="A1624" s="1">
        <v>40722</v>
      </c>
      <c r="B1624" t="s">
        <v>315</v>
      </c>
      <c r="C1624" t="s">
        <v>805</v>
      </c>
      <c r="D1624" t="s">
        <v>466</v>
      </c>
      <c r="E1624" s="4" t="str">
        <f>HYPERLINK("http://snap.windin.com/ns/bulletin.php?id=1536747&amp;type=1", "江粉磁材:首次公开发行股票招股意向书摘要")</f>
        <v>江粉磁材:首次公开发行股票招股意向书摘要</v>
      </c>
      <c r="F1624" t="s">
        <v>2506</v>
      </c>
    </row>
    <row r="1625" spans="1:6" x14ac:dyDescent="0.15">
      <c r="A1625" s="1">
        <v>40722</v>
      </c>
      <c r="B1625" t="s">
        <v>317</v>
      </c>
      <c r="C1625" t="s">
        <v>807</v>
      </c>
      <c r="D1625" t="s">
        <v>465</v>
      </c>
      <c r="E1625" s="4" t="str">
        <f>HYPERLINK("http://snap.windin.com/ns/bulletin.php?id=19282754&amp;type=1", "盛通股份:首次公开发行股票招股意向书")</f>
        <v>盛通股份:首次公开发行股票招股意向书</v>
      </c>
      <c r="F1625" t="s">
        <v>2507</v>
      </c>
    </row>
    <row r="1626" spans="1:6" x14ac:dyDescent="0.15">
      <c r="A1626" s="1">
        <v>40722</v>
      </c>
      <c r="B1626" t="s">
        <v>317</v>
      </c>
      <c r="C1626" t="s">
        <v>807</v>
      </c>
      <c r="D1626" t="s">
        <v>465</v>
      </c>
      <c r="E1626" s="4" t="str">
        <f>HYPERLINK("http://snap.windin.com/ns/bulletin.php?id=18564364&amp;type=1", "盛通股份:首次公开发行股票招股意向书")</f>
        <v>盛通股份:首次公开发行股票招股意向书</v>
      </c>
      <c r="F1626" t="s">
        <v>2508</v>
      </c>
    </row>
    <row r="1627" spans="1:6" x14ac:dyDescent="0.15">
      <c r="A1627" s="1">
        <v>40722</v>
      </c>
      <c r="B1627" t="s">
        <v>317</v>
      </c>
      <c r="C1627" t="s">
        <v>807</v>
      </c>
      <c r="D1627" t="s">
        <v>465</v>
      </c>
      <c r="E1627" s="4" t="str">
        <f>HYPERLINK("http://snap.windin.com/ns/bulletin.php?id=1959010&amp;type=1", "盛通股份:首次公开发行股票招股意向书")</f>
        <v>盛通股份:首次公开发行股票招股意向书</v>
      </c>
      <c r="F1627" t="s">
        <v>2509</v>
      </c>
    </row>
    <row r="1628" spans="1:6" x14ac:dyDescent="0.15">
      <c r="A1628" s="1">
        <v>40722</v>
      </c>
      <c r="B1628" t="s">
        <v>317</v>
      </c>
      <c r="C1628" t="s">
        <v>807</v>
      </c>
      <c r="D1628" t="s">
        <v>466</v>
      </c>
      <c r="E1628" s="4" t="str">
        <f>HYPERLINK("http://snap.windin.com/ns/bulletin.php?id=1478449&amp;type=1", "盛通股份:首次公开发行股票招股意向书摘要")</f>
        <v>盛通股份:首次公开发行股票招股意向书摘要</v>
      </c>
      <c r="F1628" t="s">
        <v>2510</v>
      </c>
    </row>
    <row r="1629" spans="1:6" x14ac:dyDescent="0.15">
      <c r="A1629" s="1">
        <v>40722</v>
      </c>
      <c r="B1629" t="s">
        <v>322</v>
      </c>
      <c r="C1629" t="s">
        <v>815</v>
      </c>
      <c r="D1629" t="s">
        <v>399</v>
      </c>
      <c r="E1629" s="4" t="str">
        <f>HYPERLINK("http://snap.windin.com/ns/bulletin.php?id=946238&amp;type=1", "山东章鼓:首次公开发行股票招股说明书")</f>
        <v>山东章鼓:首次公开发行股票招股说明书</v>
      </c>
      <c r="F1629" t="s">
        <v>2511</v>
      </c>
    </row>
    <row r="1630" spans="1:6" x14ac:dyDescent="0.15">
      <c r="A1630" s="1">
        <v>40722</v>
      </c>
      <c r="B1630" t="s">
        <v>322</v>
      </c>
      <c r="C1630" t="s">
        <v>815</v>
      </c>
      <c r="D1630" t="s">
        <v>400</v>
      </c>
      <c r="E1630" s="4" t="str">
        <f>HYPERLINK("http://snap.windin.com/ns/bulletin.php?id=1837193&amp;type=1", "山东章鼓:首次公开发行股票招股说明书摘要")</f>
        <v>山东章鼓:首次公开发行股票招股说明书摘要</v>
      </c>
      <c r="F1630" t="s">
        <v>2512</v>
      </c>
    </row>
    <row r="1631" spans="1:6" x14ac:dyDescent="0.15">
      <c r="A1631" s="1">
        <v>40722</v>
      </c>
      <c r="B1631" t="s">
        <v>321</v>
      </c>
      <c r="C1631" t="s">
        <v>814</v>
      </c>
      <c r="D1631" t="s">
        <v>399</v>
      </c>
      <c r="E1631" s="4" t="str">
        <f>HYPERLINK("http://snap.windin.com/ns/bulletin.php?id=147273&amp;type=1", "金禾实业:首次公开发行股票招股说明书")</f>
        <v>金禾实业:首次公开发行股票招股说明书</v>
      </c>
      <c r="F1631" t="s">
        <v>2513</v>
      </c>
    </row>
    <row r="1632" spans="1:6" x14ac:dyDescent="0.15">
      <c r="A1632" s="1">
        <v>40722</v>
      </c>
      <c r="B1632" t="s">
        <v>321</v>
      </c>
      <c r="C1632" t="s">
        <v>814</v>
      </c>
      <c r="D1632" t="s">
        <v>400</v>
      </c>
      <c r="E1632" s="4" t="str">
        <f>HYPERLINK("http://snap.windin.com/ns/bulletin.php?id=1992114&amp;type=1", "金禾实业:首次公开发行股票招股说明书摘要")</f>
        <v>金禾实业:首次公开发行股票招股说明书摘要</v>
      </c>
      <c r="F1632" t="s">
        <v>2514</v>
      </c>
    </row>
    <row r="1633" spans="1:6" x14ac:dyDescent="0.15">
      <c r="A1633" s="1">
        <v>40721</v>
      </c>
      <c r="B1633" t="s">
        <v>332</v>
      </c>
      <c r="C1633" t="s">
        <v>825</v>
      </c>
      <c r="D1633" t="s">
        <v>389</v>
      </c>
      <c r="E1633" s="4" t="str">
        <f>HYPERLINK("http://snap.windin.com/ns/bulletin.php?id=1247280&amp;type=1", "豪迈科技:首次公开发行股票上市公告书")</f>
        <v>豪迈科技:首次公开发行股票上市公告书</v>
      </c>
      <c r="F1633" t="s">
        <v>2515</v>
      </c>
    </row>
    <row r="1634" spans="1:6" x14ac:dyDescent="0.15">
      <c r="A1634" s="1">
        <v>40721</v>
      </c>
      <c r="B1634" t="s">
        <v>333</v>
      </c>
      <c r="C1634" t="s">
        <v>826</v>
      </c>
      <c r="D1634" t="s">
        <v>389</v>
      </c>
      <c r="E1634" s="4" t="str">
        <f>HYPERLINK("http://snap.windin.com/ns/bulletin.php?id=1090362&amp;type=1", "日上集团:首次公开发行股票上市公告书")</f>
        <v>日上集团:首次公开发行股票上市公告书</v>
      </c>
      <c r="F1634" t="s">
        <v>2516</v>
      </c>
    </row>
    <row r="1635" spans="1:6" x14ac:dyDescent="0.15">
      <c r="A1635" s="1">
        <v>40718</v>
      </c>
      <c r="B1635" t="s">
        <v>318</v>
      </c>
      <c r="C1635" t="s">
        <v>812</v>
      </c>
      <c r="D1635" t="s">
        <v>471</v>
      </c>
      <c r="E1635" s="4" t="str">
        <f>HYPERLINK("http://snap.windin.com/ns/bulletin.php?id=2017348&amp;type=1", "瑞丰高材:首次公开发行股票并在创业板上市招股意向书")</f>
        <v>瑞丰高材:首次公开发行股票并在创业板上市招股意向书</v>
      </c>
      <c r="F1635" t="s">
        <v>2517</v>
      </c>
    </row>
    <row r="1636" spans="1:6" x14ac:dyDescent="0.15">
      <c r="A1636" s="1">
        <v>40718</v>
      </c>
      <c r="B1636" t="s">
        <v>319</v>
      </c>
      <c r="C1636" t="s">
        <v>811</v>
      </c>
      <c r="D1636" t="s">
        <v>471</v>
      </c>
      <c r="E1636" s="4" t="str">
        <f>HYPERLINK("http://snap.windin.com/ns/bulletin.php?id=1934948&amp;type=1", "明家科技:首次公开发行股票并在创业板上市招股意向书")</f>
        <v>明家科技:首次公开发行股票并在创业板上市招股意向书</v>
      </c>
      <c r="F1636" t="s">
        <v>2518</v>
      </c>
    </row>
    <row r="1637" spans="1:6" x14ac:dyDescent="0.15">
      <c r="A1637" s="1">
        <v>40718</v>
      </c>
      <c r="B1637" t="s">
        <v>320</v>
      </c>
      <c r="C1637" t="s">
        <v>813</v>
      </c>
      <c r="D1637" t="s">
        <v>471</v>
      </c>
      <c r="E1637" s="4" t="str">
        <f>HYPERLINK("http://snap.windin.com/ns/bulletin.php?id=18535990&amp;type=1", "瑞丰光电:首次公开发行股票并在创业板上市招股意向书")</f>
        <v>瑞丰光电:首次公开发行股票并在创业板上市招股意向书</v>
      </c>
      <c r="F1637" t="s">
        <v>2519</v>
      </c>
    </row>
    <row r="1638" spans="1:6" x14ac:dyDescent="0.15">
      <c r="A1638" s="1">
        <v>40718</v>
      </c>
      <c r="B1638" t="s">
        <v>320</v>
      </c>
      <c r="C1638" t="s">
        <v>813</v>
      </c>
      <c r="D1638" t="s">
        <v>471</v>
      </c>
      <c r="E1638" s="4" t="str">
        <f>HYPERLINK("http://snap.windin.com/ns/bulletin.php?id=2108326&amp;type=1", "瑞丰光电:首次公开发行股票并在创业板上市招股意向书")</f>
        <v>瑞丰光电:首次公开发行股票并在创业板上市招股意向书</v>
      </c>
      <c r="F1638" t="s">
        <v>2520</v>
      </c>
    </row>
    <row r="1639" spans="1:6" x14ac:dyDescent="0.15">
      <c r="A1639" s="1">
        <v>40718</v>
      </c>
      <c r="B1639" t="s">
        <v>325</v>
      </c>
      <c r="C1639" t="s">
        <v>818</v>
      </c>
      <c r="D1639" t="s">
        <v>455</v>
      </c>
      <c r="E1639" s="4" t="str">
        <f>HYPERLINK("http://snap.windin.com/ns/bulletin.php?id=1556743&amp;type=1", "飞力达:首次公开发行股票并在创业板上市招股说明书")</f>
        <v>飞力达:首次公开发行股票并在创业板上市招股说明书</v>
      </c>
      <c r="F1639" t="s">
        <v>2521</v>
      </c>
    </row>
    <row r="1640" spans="1:6" x14ac:dyDescent="0.15">
      <c r="A1640" s="1">
        <v>40718</v>
      </c>
      <c r="B1640" t="s">
        <v>326</v>
      </c>
      <c r="C1640" t="s">
        <v>819</v>
      </c>
      <c r="D1640" t="s">
        <v>455</v>
      </c>
      <c r="E1640" s="4" t="str">
        <f>HYPERLINK("http://snap.windin.com/ns/bulletin.php?id=1697923&amp;type=1", "东宝生物:首次公开发行股票并在创业板上市招股说明书")</f>
        <v>东宝生物:首次公开发行股票并在创业板上市招股说明书</v>
      </c>
      <c r="F1640" t="s">
        <v>2522</v>
      </c>
    </row>
    <row r="1641" spans="1:6" x14ac:dyDescent="0.15">
      <c r="A1641" s="1">
        <v>40718</v>
      </c>
      <c r="B1641" t="s">
        <v>324</v>
      </c>
      <c r="C1641" t="s">
        <v>817</v>
      </c>
      <c r="D1641" t="s">
        <v>455</v>
      </c>
      <c r="E1641" s="4" t="str">
        <f>HYPERLINK("http://snap.windin.com/ns/bulletin.php?id=822610&amp;type=1", "冠昊生物:首次公开发行股票并在创业板上市招股说明书")</f>
        <v>冠昊生物:首次公开发行股票并在创业板上市招股说明书</v>
      </c>
      <c r="F1641" t="s">
        <v>2523</v>
      </c>
    </row>
    <row r="1642" spans="1:6" x14ac:dyDescent="0.15">
      <c r="A1642" s="1">
        <v>40715</v>
      </c>
      <c r="B1642" t="s">
        <v>337</v>
      </c>
      <c r="C1642" t="s">
        <v>830</v>
      </c>
      <c r="D1642" t="s">
        <v>402</v>
      </c>
      <c r="E1642" s="4" t="str">
        <f>HYPERLINK("http://snap.windin.com/ns/bulletin.php?id=84360&amp;type=1", "蓝科高新:首次公开发行A股股票上市公告书")</f>
        <v>蓝科高新:首次公开发行A股股票上市公告书</v>
      </c>
      <c r="F1642" t="s">
        <v>2524</v>
      </c>
    </row>
    <row r="1643" spans="1:6" x14ac:dyDescent="0.15">
      <c r="A1643" s="1">
        <v>40715</v>
      </c>
      <c r="B1643" t="s">
        <v>337</v>
      </c>
      <c r="C1643" t="s">
        <v>830</v>
      </c>
      <c r="D1643" t="s">
        <v>399</v>
      </c>
      <c r="E1643" s="4" t="str">
        <f>HYPERLINK("http://snap.windin.com/ns/bulletin.php?id=185586&amp;type=1", "蓝科高新:首次公开发行股票招股说明书")</f>
        <v>蓝科高新:首次公开发行股票招股说明书</v>
      </c>
      <c r="F1643" t="s">
        <v>2525</v>
      </c>
    </row>
    <row r="1644" spans="1:6" x14ac:dyDescent="0.15">
      <c r="A1644" s="1">
        <v>40715</v>
      </c>
      <c r="B1644" t="s">
        <v>335</v>
      </c>
      <c r="C1644" t="s">
        <v>828</v>
      </c>
      <c r="D1644" t="s">
        <v>408</v>
      </c>
      <c r="E1644" s="4" t="str">
        <f>HYPERLINK("http://snap.windin.com/ns/bulletin.php?id=1726713&amp;type=1", "开尔新材:首次公开发行股票并在创业板上市之上市公告书")</f>
        <v>开尔新材:首次公开发行股票并在创业板上市之上市公告书</v>
      </c>
      <c r="F1644" t="s">
        <v>2526</v>
      </c>
    </row>
    <row r="1645" spans="1:6" x14ac:dyDescent="0.15">
      <c r="A1645" s="1">
        <v>40715</v>
      </c>
      <c r="B1645" t="s">
        <v>336</v>
      </c>
      <c r="C1645" t="s">
        <v>829</v>
      </c>
      <c r="D1645" t="s">
        <v>408</v>
      </c>
      <c r="E1645" s="4" t="str">
        <f>HYPERLINK("http://snap.windin.com/ns/bulletin.php?id=72972&amp;type=1", "金城医药:首次公开发行股票并在创业板上市之上市公告书")</f>
        <v>金城医药:首次公开发行股票并在创业板上市之上市公告书</v>
      </c>
      <c r="F1645" t="s">
        <v>2527</v>
      </c>
    </row>
    <row r="1646" spans="1:6" x14ac:dyDescent="0.15">
      <c r="A1646" s="1">
        <v>40715</v>
      </c>
      <c r="B1646" t="s">
        <v>336</v>
      </c>
      <c r="C1646" t="s">
        <v>829</v>
      </c>
      <c r="D1646" t="s">
        <v>410</v>
      </c>
      <c r="E1646" s="4" t="str">
        <f>HYPERLINK("http://snap.windin.com/ns/bulletin.php?id=718731&amp;type=1", "金城医药:首次公开发行股票并在创业板上市之上市公告书提示性公告")</f>
        <v>金城医药:首次公开发行股票并在创业板上市之上市公告书提示性公告</v>
      </c>
      <c r="F1646" t="s">
        <v>2528</v>
      </c>
    </row>
    <row r="1647" spans="1:6" x14ac:dyDescent="0.15">
      <c r="A1647" s="1">
        <v>40715</v>
      </c>
      <c r="B1647" t="s">
        <v>334</v>
      </c>
      <c r="C1647" t="s">
        <v>827</v>
      </c>
      <c r="D1647" t="s">
        <v>407</v>
      </c>
      <c r="E1647" s="4" t="str">
        <f>HYPERLINK("http://snap.windin.com/ns/bulletin.php?id=2115011&amp;type=1", "洲明科技:首次公开发行股票并在创业板上市公告书提示性公告")</f>
        <v>洲明科技:首次公开发行股票并在创业板上市公告书提示性公告</v>
      </c>
      <c r="F1647" t="s">
        <v>2529</v>
      </c>
    </row>
    <row r="1648" spans="1:6" x14ac:dyDescent="0.15">
      <c r="A1648" s="1">
        <v>40715</v>
      </c>
      <c r="B1648" t="s">
        <v>334</v>
      </c>
      <c r="C1648" t="s">
        <v>827</v>
      </c>
      <c r="D1648" t="s">
        <v>389</v>
      </c>
      <c r="E1648" s="4" t="str">
        <f>HYPERLINK("http://snap.windin.com/ns/bulletin.php?id=760218&amp;type=1", "洲明科技:首次公开发行股票上市公告书")</f>
        <v>洲明科技:首次公开发行股票上市公告书</v>
      </c>
      <c r="F1648" t="s">
        <v>2530</v>
      </c>
    </row>
    <row r="1649" spans="1:6" x14ac:dyDescent="0.15">
      <c r="A1649" s="1">
        <v>40715</v>
      </c>
      <c r="B1649" t="s">
        <v>322</v>
      </c>
      <c r="C1649" t="s">
        <v>815</v>
      </c>
      <c r="D1649" t="s">
        <v>465</v>
      </c>
      <c r="E1649" s="4" t="str">
        <f>HYPERLINK("http://snap.windin.com/ns/bulletin.php?id=18963028&amp;type=1", "山东章鼓:首次公开发行股票招股意向书")</f>
        <v>山东章鼓:首次公开发行股票招股意向书</v>
      </c>
      <c r="F1649" t="s">
        <v>2531</v>
      </c>
    </row>
    <row r="1650" spans="1:6" x14ac:dyDescent="0.15">
      <c r="A1650" s="1">
        <v>40715</v>
      </c>
      <c r="B1650" t="s">
        <v>322</v>
      </c>
      <c r="C1650" t="s">
        <v>815</v>
      </c>
      <c r="D1650" t="s">
        <v>465</v>
      </c>
      <c r="E1650" s="4" t="str">
        <f>HYPERLINK("http://snap.windin.com/ns/bulletin.php?id=1726210&amp;type=1", "山东章鼓:首次公开发行股票招股意向书")</f>
        <v>山东章鼓:首次公开发行股票招股意向书</v>
      </c>
      <c r="F1650" t="s">
        <v>2532</v>
      </c>
    </row>
    <row r="1651" spans="1:6" x14ac:dyDescent="0.15">
      <c r="A1651" s="1">
        <v>40715</v>
      </c>
      <c r="B1651" t="s">
        <v>322</v>
      </c>
      <c r="C1651" t="s">
        <v>815</v>
      </c>
      <c r="D1651" t="s">
        <v>466</v>
      </c>
      <c r="E1651" s="4" t="str">
        <f>HYPERLINK("http://snap.windin.com/ns/bulletin.php?id=932434&amp;type=1", "山东章鼓:首次公开发行股票招股意向书摘要")</f>
        <v>山东章鼓:首次公开发行股票招股意向书摘要</v>
      </c>
      <c r="F1651" t="s">
        <v>2533</v>
      </c>
    </row>
    <row r="1652" spans="1:6" x14ac:dyDescent="0.15">
      <c r="A1652" s="1">
        <v>40715</v>
      </c>
      <c r="B1652" t="s">
        <v>321</v>
      </c>
      <c r="C1652" t="s">
        <v>814</v>
      </c>
      <c r="D1652" t="s">
        <v>465</v>
      </c>
      <c r="E1652" s="4" t="str">
        <f>HYPERLINK("http://snap.windin.com/ns/bulletin.php?id=19376000&amp;type=1", "金禾实业:首次公开发行股票招股意向书")</f>
        <v>金禾实业:首次公开发行股票招股意向书</v>
      </c>
      <c r="F1652" t="s">
        <v>2534</v>
      </c>
    </row>
    <row r="1653" spans="1:6" x14ac:dyDescent="0.15">
      <c r="A1653" s="1">
        <v>40715</v>
      </c>
      <c r="B1653" t="s">
        <v>321</v>
      </c>
      <c r="C1653" t="s">
        <v>814</v>
      </c>
      <c r="D1653" t="s">
        <v>465</v>
      </c>
      <c r="E1653" s="4" t="str">
        <f>HYPERLINK("http://snap.windin.com/ns/bulletin.php?id=1509130&amp;type=1", "金禾实业:首次公开发行股票招股意向书")</f>
        <v>金禾实业:首次公开发行股票招股意向书</v>
      </c>
      <c r="F1653" t="s">
        <v>2535</v>
      </c>
    </row>
    <row r="1654" spans="1:6" x14ac:dyDescent="0.15">
      <c r="A1654" s="1">
        <v>40715</v>
      </c>
      <c r="B1654" t="s">
        <v>321</v>
      </c>
      <c r="C1654" t="s">
        <v>814</v>
      </c>
      <c r="D1654" t="s">
        <v>466</v>
      </c>
      <c r="E1654" s="4" t="str">
        <f>HYPERLINK("http://snap.windin.com/ns/bulletin.php?id=1924335&amp;type=1", "金禾实业:首次公开发行股票招股意向书摘要")</f>
        <v>金禾实业:首次公开发行股票招股意向书摘要</v>
      </c>
      <c r="F1654" t="s">
        <v>2536</v>
      </c>
    </row>
    <row r="1655" spans="1:6" x14ac:dyDescent="0.15">
      <c r="A1655" s="1">
        <v>40715</v>
      </c>
      <c r="B1655" t="s">
        <v>323</v>
      </c>
      <c r="C1655" t="s">
        <v>816</v>
      </c>
      <c r="D1655" t="s">
        <v>399</v>
      </c>
      <c r="E1655" s="4" t="str">
        <f>HYPERLINK("http://snap.windin.com/ns/bulletin.php?id=1628809&amp;type=1", "海南瑞泽:首次公开发行股票招股说明书")</f>
        <v>海南瑞泽:首次公开发行股票招股说明书</v>
      </c>
      <c r="F1655" t="s">
        <v>2537</v>
      </c>
    </row>
    <row r="1656" spans="1:6" x14ac:dyDescent="0.15">
      <c r="A1656" s="1">
        <v>40715</v>
      </c>
      <c r="B1656" t="s">
        <v>323</v>
      </c>
      <c r="C1656" t="s">
        <v>816</v>
      </c>
      <c r="D1656" t="s">
        <v>400</v>
      </c>
      <c r="E1656" s="4" t="str">
        <f>HYPERLINK("http://snap.windin.com/ns/bulletin.php?id=1151915&amp;type=1", "海南瑞泽:首次公开发行股票招股说明书摘要")</f>
        <v>海南瑞泽:首次公开发行股票招股说明书摘要</v>
      </c>
      <c r="F1656" t="s">
        <v>2538</v>
      </c>
    </row>
    <row r="1657" spans="1:6" x14ac:dyDescent="0.15">
      <c r="A1657" s="1">
        <v>40714</v>
      </c>
      <c r="B1657" t="s">
        <v>328</v>
      </c>
      <c r="C1657" t="s">
        <v>821</v>
      </c>
      <c r="D1657" t="s">
        <v>462</v>
      </c>
      <c r="E1657" s="4" t="str">
        <f>HYPERLINK("http://snap.windin.com/ns/bulletin.php?id=827024&amp;type=1", "比亚迪:首次公开发行A股股票招股说明书")</f>
        <v>比亚迪:首次公开发行A股股票招股说明书</v>
      </c>
      <c r="F1657" t="s">
        <v>2539</v>
      </c>
    </row>
    <row r="1658" spans="1:6" x14ac:dyDescent="0.15">
      <c r="A1658" s="1">
        <v>40714</v>
      </c>
      <c r="B1658" t="s">
        <v>328</v>
      </c>
      <c r="C1658" t="s">
        <v>821</v>
      </c>
      <c r="D1658" t="s">
        <v>461</v>
      </c>
      <c r="E1658" s="4" t="str">
        <f>HYPERLINK("http://snap.windin.com/ns/bulletin.php?id=837078&amp;type=1", "比亚迪:首次公开发行A股股票招股说明书摘要")</f>
        <v>比亚迪:首次公开发行A股股票招股说明书摘要</v>
      </c>
      <c r="F1658" t="s">
        <v>2540</v>
      </c>
    </row>
    <row r="1659" spans="1:6" x14ac:dyDescent="0.15">
      <c r="A1659" s="1">
        <v>40714</v>
      </c>
      <c r="B1659" t="s">
        <v>338</v>
      </c>
      <c r="C1659" t="s">
        <v>831</v>
      </c>
      <c r="D1659" t="s">
        <v>389</v>
      </c>
      <c r="E1659" s="4" t="str">
        <f>HYPERLINK("http://snap.windin.com/ns/bulletin.php?id=1070956&amp;type=1", "恒大高新:首次公开发行股票上市公告书")</f>
        <v>恒大高新:首次公开发行股票上市公告书</v>
      </c>
      <c r="F1659" t="s">
        <v>2541</v>
      </c>
    </row>
    <row r="1660" spans="1:6" x14ac:dyDescent="0.15">
      <c r="A1660" s="1">
        <v>40711</v>
      </c>
      <c r="B1660" t="s">
        <v>325</v>
      </c>
      <c r="C1660" t="s">
        <v>818</v>
      </c>
      <c r="D1660" t="s">
        <v>471</v>
      </c>
      <c r="E1660" s="4" t="str">
        <f>HYPERLINK("http://snap.windin.com/ns/bulletin.php?id=18448490&amp;type=1", "飞力达:首次公开发行股票并在创业板上市招股意向书")</f>
        <v>飞力达:首次公开发行股票并在创业板上市招股意向书</v>
      </c>
      <c r="F1660" t="s">
        <v>2542</v>
      </c>
    </row>
    <row r="1661" spans="1:6" x14ac:dyDescent="0.15">
      <c r="A1661" s="1">
        <v>40711</v>
      </c>
      <c r="B1661" t="s">
        <v>325</v>
      </c>
      <c r="C1661" t="s">
        <v>818</v>
      </c>
      <c r="D1661" t="s">
        <v>471</v>
      </c>
      <c r="E1661" s="4" t="str">
        <f>HYPERLINK("http://snap.windin.com/ns/bulletin.php?id=211920&amp;type=1", "飞力达:首次公开发行股票并在创业板上市招股意向书")</f>
        <v>飞力达:首次公开发行股票并在创业板上市招股意向书</v>
      </c>
      <c r="F1661" t="s">
        <v>2543</v>
      </c>
    </row>
    <row r="1662" spans="1:6" x14ac:dyDescent="0.15">
      <c r="A1662" s="1">
        <v>40711</v>
      </c>
      <c r="B1662" t="s">
        <v>326</v>
      </c>
      <c r="C1662" t="s">
        <v>819</v>
      </c>
      <c r="D1662" t="s">
        <v>471</v>
      </c>
      <c r="E1662" s="4" t="str">
        <f>HYPERLINK("http://snap.windin.com/ns/bulletin.php?id=19458224&amp;type=1", "东宝生物:首次公开发行股票并在创业板上市招股意向书")</f>
        <v>东宝生物:首次公开发行股票并在创业板上市招股意向书</v>
      </c>
      <c r="F1662" t="s">
        <v>2544</v>
      </c>
    </row>
    <row r="1663" spans="1:6" x14ac:dyDescent="0.15">
      <c r="A1663" s="1">
        <v>40711</v>
      </c>
      <c r="B1663" t="s">
        <v>326</v>
      </c>
      <c r="C1663" t="s">
        <v>819</v>
      </c>
      <c r="D1663" t="s">
        <v>471</v>
      </c>
      <c r="E1663" s="4" t="str">
        <f>HYPERLINK("http://snap.windin.com/ns/bulletin.php?id=1955830&amp;type=1", "东宝生物:首次公开发行股票并在创业板上市招股意向书")</f>
        <v>东宝生物:首次公开发行股票并在创业板上市招股意向书</v>
      </c>
      <c r="F1663" t="s">
        <v>2545</v>
      </c>
    </row>
    <row r="1664" spans="1:6" x14ac:dyDescent="0.15">
      <c r="A1664" s="1">
        <v>40711</v>
      </c>
      <c r="B1664" t="s">
        <v>324</v>
      </c>
      <c r="C1664" t="s">
        <v>817</v>
      </c>
      <c r="D1664" t="s">
        <v>471</v>
      </c>
      <c r="E1664" s="4" t="str">
        <f>HYPERLINK("http://snap.windin.com/ns/bulletin.php?id=18445460&amp;type=1", "冠昊生物:首次公开发行股票并在创业板上市招股意向书")</f>
        <v>冠昊生物:首次公开发行股票并在创业板上市招股意向书</v>
      </c>
      <c r="F1664" t="s">
        <v>2546</v>
      </c>
    </row>
    <row r="1665" spans="1:6" x14ac:dyDescent="0.15">
      <c r="A1665" s="1">
        <v>40711</v>
      </c>
      <c r="B1665" t="s">
        <v>324</v>
      </c>
      <c r="C1665" t="s">
        <v>817</v>
      </c>
      <c r="D1665" t="s">
        <v>471</v>
      </c>
      <c r="E1665" s="4" t="str">
        <f>HYPERLINK("http://snap.windin.com/ns/bulletin.php?id=502344&amp;type=1", "冠昊生物:首次公开发行股票并在创业板上市招股意向书")</f>
        <v>冠昊生物:首次公开发行股票并在创业板上市招股意向书</v>
      </c>
      <c r="F1665" t="s">
        <v>2547</v>
      </c>
    </row>
    <row r="1666" spans="1:6" x14ac:dyDescent="0.15">
      <c r="A1666" s="1">
        <v>40711</v>
      </c>
      <c r="B1666" t="s">
        <v>331</v>
      </c>
      <c r="C1666" t="s">
        <v>824</v>
      </c>
      <c r="D1666" t="s">
        <v>455</v>
      </c>
      <c r="E1666" s="4" t="str">
        <f>HYPERLINK("http://snap.windin.com/ns/bulletin.php?id=1729975&amp;type=1", "美晨科技:首次公开发行股票并在创业板上市招股说明书")</f>
        <v>美晨科技:首次公开发行股票并在创业板上市招股说明书</v>
      </c>
      <c r="F1666" t="s">
        <v>2548</v>
      </c>
    </row>
    <row r="1667" spans="1:6" x14ac:dyDescent="0.15">
      <c r="A1667" s="1">
        <v>40711</v>
      </c>
      <c r="B1667" t="s">
        <v>329</v>
      </c>
      <c r="C1667" t="s">
        <v>822</v>
      </c>
      <c r="D1667" t="s">
        <v>455</v>
      </c>
      <c r="E1667" s="4" t="str">
        <f>HYPERLINK("http://snap.windin.com/ns/bulletin.php?id=1460276&amp;type=1", "上海新阳:首次公开发行股票并在创业板上市招股说明书")</f>
        <v>上海新阳:首次公开发行股票并在创业板上市招股说明书</v>
      </c>
      <c r="F1667" t="s">
        <v>2549</v>
      </c>
    </row>
    <row r="1668" spans="1:6" x14ac:dyDescent="0.15">
      <c r="A1668" s="1">
        <v>40711</v>
      </c>
      <c r="B1668" t="s">
        <v>330</v>
      </c>
      <c r="C1668" t="s">
        <v>823</v>
      </c>
      <c r="D1668" t="s">
        <v>455</v>
      </c>
      <c r="E1668" s="4" t="str">
        <f>HYPERLINK("http://snap.windin.com/ns/bulletin.php?id=629806&amp;type=1", "方直科技:首次公开发行股票并在创业板上市招股说明书")</f>
        <v>方直科技:首次公开发行股票并在创业板上市招股说明书</v>
      </c>
      <c r="F1668" t="s">
        <v>2550</v>
      </c>
    </row>
    <row r="1669" spans="1:6" x14ac:dyDescent="0.15">
      <c r="A1669" s="1">
        <v>40709</v>
      </c>
      <c r="B1669" t="s">
        <v>332</v>
      </c>
      <c r="C1669" t="s">
        <v>825</v>
      </c>
      <c r="D1669" t="s">
        <v>399</v>
      </c>
      <c r="E1669" s="4" t="str">
        <f>HYPERLINK("http://snap.windin.com/ns/bulletin.php?id=1689746&amp;type=1", "豪迈科技:首次公开发行股票招股说明书")</f>
        <v>豪迈科技:首次公开发行股票招股说明书</v>
      </c>
      <c r="F1669" t="s">
        <v>2551</v>
      </c>
    </row>
    <row r="1670" spans="1:6" x14ac:dyDescent="0.15">
      <c r="A1670" s="1">
        <v>40709</v>
      </c>
      <c r="B1670" t="s">
        <v>332</v>
      </c>
      <c r="C1670" t="s">
        <v>825</v>
      </c>
      <c r="D1670" t="s">
        <v>400</v>
      </c>
      <c r="E1670" s="4" t="str">
        <f>HYPERLINK("http://snap.windin.com/ns/bulletin.php?id=113609&amp;type=1", "豪迈科技:首次公开发行股票招股说明书摘要")</f>
        <v>豪迈科技:首次公开发行股票招股说明书摘要</v>
      </c>
      <c r="F1670" t="s">
        <v>2552</v>
      </c>
    </row>
    <row r="1671" spans="1:6" x14ac:dyDescent="0.15">
      <c r="A1671" s="1">
        <v>40709</v>
      </c>
      <c r="B1671" t="s">
        <v>333</v>
      </c>
      <c r="C1671" t="s">
        <v>826</v>
      </c>
      <c r="D1671" t="s">
        <v>399</v>
      </c>
      <c r="E1671" s="4" t="str">
        <f>HYPERLINK("http://snap.windin.com/ns/bulletin.php?id=436397&amp;type=1", "日上集团:首次公开发行股票招股说明书")</f>
        <v>日上集团:首次公开发行股票招股说明书</v>
      </c>
      <c r="F1671" t="s">
        <v>2553</v>
      </c>
    </row>
    <row r="1672" spans="1:6" x14ac:dyDescent="0.15">
      <c r="A1672" s="1">
        <v>40709</v>
      </c>
      <c r="B1672" t="s">
        <v>333</v>
      </c>
      <c r="C1672" t="s">
        <v>826</v>
      </c>
      <c r="D1672" t="s">
        <v>400</v>
      </c>
      <c r="E1672" s="4" t="str">
        <f>HYPERLINK("http://snap.windin.com/ns/bulletin.php?id=2067236&amp;type=1", "日上集团:首次公开发行股票招股说明书摘要")</f>
        <v>日上集团:首次公开发行股票招股说明书摘要</v>
      </c>
      <c r="F1672" t="s">
        <v>2554</v>
      </c>
    </row>
    <row r="1673" spans="1:6" x14ac:dyDescent="0.15">
      <c r="A1673" s="1">
        <v>40708</v>
      </c>
      <c r="B1673" t="s">
        <v>342</v>
      </c>
      <c r="C1673" t="s">
        <v>835</v>
      </c>
      <c r="D1673" t="s">
        <v>402</v>
      </c>
      <c r="E1673" s="4" t="str">
        <f>HYPERLINK("http://snap.windin.com/ns/bulletin.php?id=1069197&amp;type=1", "三星电气:首次公开发行A股股票上市公告书")</f>
        <v>三星电气:首次公开发行A股股票上市公告书</v>
      </c>
      <c r="F1673" t="s">
        <v>2555</v>
      </c>
    </row>
    <row r="1674" spans="1:6" x14ac:dyDescent="0.15">
      <c r="A1674" s="1">
        <v>40708</v>
      </c>
      <c r="B1674" t="s">
        <v>342</v>
      </c>
      <c r="C1674" t="s">
        <v>835</v>
      </c>
      <c r="D1674" t="s">
        <v>399</v>
      </c>
      <c r="E1674" s="4" t="str">
        <f>HYPERLINK("http://snap.windin.com/ns/bulletin.php?id=1197831&amp;type=1", "三星电气:首次公开发行股票招股说明书")</f>
        <v>三星电气:首次公开发行股票招股说明书</v>
      </c>
      <c r="F1674" t="s">
        <v>2556</v>
      </c>
    </row>
    <row r="1675" spans="1:6" x14ac:dyDescent="0.15">
      <c r="A1675" s="1">
        <v>40708</v>
      </c>
      <c r="B1675" t="s">
        <v>327</v>
      </c>
      <c r="C1675" t="s">
        <v>820</v>
      </c>
      <c r="D1675" t="s">
        <v>465</v>
      </c>
      <c r="E1675" s="4" t="str">
        <f>HYPERLINK("http://snap.windin.com/ns/bulletin.php?id=541051&amp;type=1", "赛轮股份:首次公开发行股票招股意向书")</f>
        <v>赛轮股份:首次公开发行股票招股意向书</v>
      </c>
      <c r="F1675" t="s">
        <v>2557</v>
      </c>
    </row>
    <row r="1676" spans="1:6" x14ac:dyDescent="0.15">
      <c r="A1676" s="1">
        <v>40708</v>
      </c>
      <c r="B1676" t="s">
        <v>327</v>
      </c>
      <c r="C1676" t="s">
        <v>820</v>
      </c>
      <c r="D1676" t="s">
        <v>467</v>
      </c>
      <c r="E1676" s="4" t="str">
        <f>HYPERLINK("http://snap.windin.com/ns/bulletin.php?id=913609&amp;type=1", "赛轮股份:首次公开发行股票招股意向书附录")</f>
        <v>赛轮股份:首次公开发行股票招股意向书附录</v>
      </c>
      <c r="F1676" t="s">
        <v>2558</v>
      </c>
    </row>
    <row r="1677" spans="1:6" x14ac:dyDescent="0.15">
      <c r="A1677" s="1">
        <v>40708</v>
      </c>
      <c r="B1677" t="s">
        <v>327</v>
      </c>
      <c r="C1677" t="s">
        <v>820</v>
      </c>
      <c r="D1677" t="s">
        <v>466</v>
      </c>
      <c r="E1677" s="4" t="str">
        <f>HYPERLINK("http://snap.windin.com/ns/bulletin.php?id=151447&amp;type=1", "赛轮股份:首次公开发行股票招股意向书摘要")</f>
        <v>赛轮股份:首次公开发行股票招股意向书摘要</v>
      </c>
      <c r="F1677" t="s">
        <v>2559</v>
      </c>
    </row>
    <row r="1678" spans="1:6" x14ac:dyDescent="0.15">
      <c r="A1678" s="1">
        <v>40708</v>
      </c>
      <c r="B1678" t="s">
        <v>340</v>
      </c>
      <c r="C1678" t="s">
        <v>833</v>
      </c>
      <c r="D1678" t="s">
        <v>417</v>
      </c>
      <c r="E1678" s="4" t="str">
        <f>HYPERLINK("http://snap.windin.com/ns/bulletin.php?id=1816031&amp;type=1", "银信科技:首次公开发行股票并在创业板上市公告书")</f>
        <v>银信科技:首次公开发行股票并在创业板上市公告书</v>
      </c>
      <c r="F1678" t="s">
        <v>2560</v>
      </c>
    </row>
    <row r="1679" spans="1:6" x14ac:dyDescent="0.15">
      <c r="A1679" s="1">
        <v>40708</v>
      </c>
      <c r="B1679" t="s">
        <v>340</v>
      </c>
      <c r="C1679" t="s">
        <v>833</v>
      </c>
      <c r="D1679" t="s">
        <v>407</v>
      </c>
      <c r="E1679" s="4" t="str">
        <f>HYPERLINK("http://snap.windin.com/ns/bulletin.php?id=1147338&amp;type=1", "银信科技:首次公开发行股票并在创业板上市公告书提示性公告")</f>
        <v>银信科技:首次公开发行股票并在创业板上市公告书提示性公告</v>
      </c>
      <c r="F1679" t="s">
        <v>2561</v>
      </c>
    </row>
    <row r="1680" spans="1:6" x14ac:dyDescent="0.15">
      <c r="A1680" s="1">
        <v>40708</v>
      </c>
      <c r="B1680" t="s">
        <v>341</v>
      </c>
      <c r="C1680" t="s">
        <v>834</v>
      </c>
      <c r="D1680" t="s">
        <v>417</v>
      </c>
      <c r="E1680" s="4" t="str">
        <f>HYPERLINK("http://snap.windin.com/ns/bulletin.php?id=1060780&amp;type=1", "永利带业:首次公开发行股票并在创业板上市公告书")</f>
        <v>永利带业:首次公开发行股票并在创业板上市公告书</v>
      </c>
      <c r="F1680" t="s">
        <v>2562</v>
      </c>
    </row>
    <row r="1681" spans="1:6" x14ac:dyDescent="0.15">
      <c r="A1681" s="1">
        <v>40708</v>
      </c>
      <c r="B1681" t="s">
        <v>341</v>
      </c>
      <c r="C1681" t="s">
        <v>834</v>
      </c>
      <c r="D1681" t="s">
        <v>407</v>
      </c>
      <c r="E1681" s="4" t="str">
        <f>HYPERLINK("http://snap.windin.com/ns/bulletin.php?id=1361611&amp;type=1", "永利带业:首次公开发行股票并在创业板上市公告书提示性公告")</f>
        <v>永利带业:首次公开发行股票并在创业板上市公告书提示性公告</v>
      </c>
      <c r="F1681" t="s">
        <v>2563</v>
      </c>
    </row>
    <row r="1682" spans="1:6" x14ac:dyDescent="0.15">
      <c r="A1682" s="1">
        <v>40708</v>
      </c>
      <c r="B1682" t="s">
        <v>339</v>
      </c>
      <c r="C1682" t="s">
        <v>832</v>
      </c>
      <c r="D1682" t="s">
        <v>407</v>
      </c>
      <c r="E1682" s="4" t="str">
        <f>HYPERLINK("http://snap.windin.com/ns/bulletin.php?id=1718760&amp;type=1", "拓尔思:首次公开发行股票并在创业板上市公告书提示性公告")</f>
        <v>拓尔思:首次公开发行股票并在创业板上市公告书提示性公告</v>
      </c>
      <c r="F1682" t="s">
        <v>2564</v>
      </c>
    </row>
    <row r="1683" spans="1:6" x14ac:dyDescent="0.15">
      <c r="A1683" s="1">
        <v>40708</v>
      </c>
      <c r="B1683" t="s">
        <v>339</v>
      </c>
      <c r="C1683" t="s">
        <v>832</v>
      </c>
      <c r="D1683" t="s">
        <v>408</v>
      </c>
      <c r="E1683" s="4" t="str">
        <f>HYPERLINK("http://snap.windin.com/ns/bulletin.php?id=1845919&amp;type=1", "拓尔思:首次公开发行股票并在创业板上市之上市公告书")</f>
        <v>拓尔思:首次公开发行股票并在创业板上市之上市公告书</v>
      </c>
      <c r="F1683" t="s">
        <v>2565</v>
      </c>
    </row>
    <row r="1684" spans="1:6" x14ac:dyDescent="0.15">
      <c r="A1684" s="1">
        <v>40708</v>
      </c>
      <c r="B1684" t="s">
        <v>323</v>
      </c>
      <c r="C1684" t="s">
        <v>816</v>
      </c>
      <c r="D1684" t="s">
        <v>478</v>
      </c>
      <c r="E1684" s="4" t="str">
        <f>HYPERLINK("http://snap.windin.com/ns/bulletin.php?id=199794&amp;type=1", "海南瑞泽:首次公开发行股票并上市招股意向书")</f>
        <v>海南瑞泽:首次公开发行股票并上市招股意向书</v>
      </c>
      <c r="F1684" t="s">
        <v>2566</v>
      </c>
    </row>
    <row r="1685" spans="1:6" x14ac:dyDescent="0.15">
      <c r="A1685" s="1">
        <v>40708</v>
      </c>
      <c r="B1685" t="s">
        <v>323</v>
      </c>
      <c r="C1685" t="s">
        <v>816</v>
      </c>
      <c r="D1685" t="s">
        <v>477</v>
      </c>
      <c r="E1685" s="4" t="str">
        <f>HYPERLINK("http://snap.windin.com/ns/bulletin.php?id=678738&amp;type=1", "海南瑞泽:首次公开发行股票并上市招股意向书摘要")</f>
        <v>海南瑞泽:首次公开发行股票并上市招股意向书摘要</v>
      </c>
      <c r="F1685" t="s">
        <v>2567</v>
      </c>
    </row>
    <row r="1686" spans="1:6" x14ac:dyDescent="0.15">
      <c r="A1686" s="1">
        <v>40707</v>
      </c>
      <c r="B1686" t="s">
        <v>335</v>
      </c>
      <c r="C1686" t="s">
        <v>828</v>
      </c>
      <c r="D1686" t="s">
        <v>455</v>
      </c>
      <c r="E1686" s="4" t="str">
        <f>HYPERLINK("http://snap.windin.com/ns/bulletin.php?id=1809121&amp;type=1", "开尔新材:首次公开发行股票并在创业板上市招股说明书")</f>
        <v>开尔新材:首次公开发行股票并在创业板上市招股说明书</v>
      </c>
      <c r="F1686" t="s">
        <v>2568</v>
      </c>
    </row>
    <row r="1687" spans="1:6" x14ac:dyDescent="0.15">
      <c r="A1687" s="1">
        <v>40707</v>
      </c>
      <c r="B1687" t="s">
        <v>336</v>
      </c>
      <c r="C1687" t="s">
        <v>829</v>
      </c>
      <c r="D1687" t="s">
        <v>455</v>
      </c>
      <c r="E1687" s="4" t="str">
        <f>HYPERLINK("http://snap.windin.com/ns/bulletin.php?id=425700&amp;type=1", "金城医药:首次公开发行股票并在创业板上市招股说明书")</f>
        <v>金城医药:首次公开发行股票并在创业板上市招股说明书</v>
      </c>
      <c r="F1687" t="s">
        <v>2569</v>
      </c>
    </row>
    <row r="1688" spans="1:6" x14ac:dyDescent="0.15">
      <c r="A1688" s="1">
        <v>40707</v>
      </c>
      <c r="B1688" t="s">
        <v>334</v>
      </c>
      <c r="C1688" t="s">
        <v>827</v>
      </c>
      <c r="D1688" t="s">
        <v>455</v>
      </c>
      <c r="E1688" s="4" t="str">
        <f>HYPERLINK("http://snap.windin.com/ns/bulletin.php?id=2100102&amp;type=1", "洲明科技:首次公开发行股票并在创业板上市招股说明书")</f>
        <v>洲明科技:首次公开发行股票并在创业板上市招股说明书</v>
      </c>
      <c r="F1688" t="s">
        <v>2570</v>
      </c>
    </row>
    <row r="1689" spans="1:6" x14ac:dyDescent="0.15">
      <c r="A1689" s="1">
        <v>40704</v>
      </c>
      <c r="B1689" t="s">
        <v>331</v>
      </c>
      <c r="C1689" t="s">
        <v>824</v>
      </c>
      <c r="D1689" t="s">
        <v>471</v>
      </c>
      <c r="E1689" s="4" t="str">
        <f>HYPERLINK("http://snap.windin.com/ns/bulletin.php?id=1798726&amp;type=1", "美晨科技:首次公开发行股票并在创业板上市招股意向书")</f>
        <v>美晨科技:首次公开发行股票并在创业板上市招股意向书</v>
      </c>
      <c r="F1689" t="s">
        <v>2571</v>
      </c>
    </row>
    <row r="1690" spans="1:6" x14ac:dyDescent="0.15">
      <c r="A1690" s="1">
        <v>40704</v>
      </c>
      <c r="B1690" t="s">
        <v>329</v>
      </c>
      <c r="C1690" t="s">
        <v>822</v>
      </c>
      <c r="D1690" t="s">
        <v>471</v>
      </c>
      <c r="E1690" s="4" t="str">
        <f>HYPERLINK("http://snap.windin.com/ns/bulletin.php?id=1577941&amp;type=1", "上海新阳:首次公开发行股票并在创业板上市招股意向书")</f>
        <v>上海新阳:首次公开发行股票并在创业板上市招股意向书</v>
      </c>
      <c r="F1690" t="s">
        <v>2572</v>
      </c>
    </row>
    <row r="1691" spans="1:6" x14ac:dyDescent="0.15">
      <c r="A1691" s="1">
        <v>40704</v>
      </c>
      <c r="B1691" t="s">
        <v>330</v>
      </c>
      <c r="C1691" t="s">
        <v>823</v>
      </c>
      <c r="D1691" t="s">
        <v>471</v>
      </c>
      <c r="E1691" s="4" t="str">
        <f>HYPERLINK("http://snap.windin.com/ns/bulletin.php?id=1960959&amp;type=1", "方直科技:首次公开发行股票并在创业板上市招股意向书")</f>
        <v>方直科技:首次公开发行股票并在创业板上市招股意向书</v>
      </c>
      <c r="F1691" t="s">
        <v>2573</v>
      </c>
    </row>
    <row r="1692" spans="1:6" x14ac:dyDescent="0.15">
      <c r="A1692" s="1">
        <v>40703</v>
      </c>
      <c r="B1692" t="s">
        <v>338</v>
      </c>
      <c r="C1692" t="s">
        <v>831</v>
      </c>
      <c r="D1692" t="s">
        <v>399</v>
      </c>
      <c r="E1692" s="4" t="str">
        <f>HYPERLINK("http://snap.windin.com/ns/bulletin.php?id=925986&amp;type=1", "恒大高新:首次公开发行股票招股说明书")</f>
        <v>恒大高新:首次公开发行股票招股说明书</v>
      </c>
      <c r="F1692" t="s">
        <v>2574</v>
      </c>
    </row>
    <row r="1693" spans="1:6" x14ac:dyDescent="0.15">
      <c r="A1693" s="1">
        <v>40703</v>
      </c>
      <c r="B1693" t="s">
        <v>338</v>
      </c>
      <c r="C1693" t="s">
        <v>831</v>
      </c>
      <c r="D1693" t="s">
        <v>400</v>
      </c>
      <c r="E1693" s="4" t="str">
        <f>HYPERLINK("http://snap.windin.com/ns/bulletin.php?id=225561&amp;type=1", "恒大高新:首次公开发行股票招股说明书摘要")</f>
        <v>恒大高新:首次公开发行股票招股说明书摘要</v>
      </c>
      <c r="F1693" t="s">
        <v>2575</v>
      </c>
    </row>
    <row r="1694" spans="1:6" x14ac:dyDescent="0.15">
      <c r="A1694" s="1">
        <v>40703</v>
      </c>
      <c r="B1694" t="s">
        <v>343</v>
      </c>
      <c r="C1694" t="s">
        <v>836</v>
      </c>
      <c r="D1694" t="s">
        <v>389</v>
      </c>
      <c r="E1694" s="4" t="str">
        <f>HYPERLINK("http://snap.windin.com/ns/bulletin.php?id=1848525&amp;type=1", "万安科技:首次公开发行股票上市公告书")</f>
        <v>万安科技:首次公开发行股票上市公告书</v>
      </c>
      <c r="F1694" t="s">
        <v>2576</v>
      </c>
    </row>
    <row r="1695" spans="1:6" x14ac:dyDescent="0.15">
      <c r="A1695" s="1">
        <v>40703</v>
      </c>
      <c r="B1695" t="s">
        <v>345</v>
      </c>
      <c r="C1695" t="s">
        <v>838</v>
      </c>
      <c r="D1695" t="s">
        <v>389</v>
      </c>
      <c r="E1695" s="4" t="str">
        <f>HYPERLINK("http://snap.windin.com/ns/bulletin.php?id=717972&amp;type=1", "瑞康医药:首次公开发行股票上市公告书")</f>
        <v>瑞康医药:首次公开发行股票上市公告书</v>
      </c>
      <c r="F1695" t="s">
        <v>2577</v>
      </c>
    </row>
    <row r="1696" spans="1:6" x14ac:dyDescent="0.15">
      <c r="A1696" s="1">
        <v>40703</v>
      </c>
      <c r="B1696" t="s">
        <v>346</v>
      </c>
      <c r="C1696" t="s">
        <v>839</v>
      </c>
      <c r="D1696" t="s">
        <v>389</v>
      </c>
      <c r="E1696" s="4" t="str">
        <f>HYPERLINK("http://snap.windin.com/ns/bulletin.php?id=402199&amp;type=1", "史丹利:首次公开发行股票上市公告书")</f>
        <v>史丹利:首次公开发行股票上市公告书</v>
      </c>
      <c r="F1696" t="s">
        <v>2578</v>
      </c>
    </row>
    <row r="1697" spans="1:6" x14ac:dyDescent="0.15">
      <c r="A1697" s="1">
        <v>40703</v>
      </c>
      <c r="B1697" t="s">
        <v>344</v>
      </c>
      <c r="C1697" t="s">
        <v>837</v>
      </c>
      <c r="D1697" t="s">
        <v>389</v>
      </c>
      <c r="E1697" s="4" t="str">
        <f>HYPERLINK("http://snap.windin.com/ns/bulletin.php?id=1686780&amp;type=1", "奥拓电子:首次公开发行股票上市公告书")</f>
        <v>奥拓电子:首次公开发行股票上市公告书</v>
      </c>
      <c r="F1697" t="s">
        <v>2579</v>
      </c>
    </row>
    <row r="1698" spans="1:6" x14ac:dyDescent="0.15">
      <c r="A1698" s="1">
        <v>40702</v>
      </c>
      <c r="B1698" t="s">
        <v>332</v>
      </c>
      <c r="C1698" t="s">
        <v>825</v>
      </c>
      <c r="D1698" t="s">
        <v>465</v>
      </c>
      <c r="E1698" s="4" t="str">
        <f>HYPERLINK("http://snap.windin.com/ns/bulletin.php?id=455526&amp;type=1", "豪迈科技:首次公开发行股票招股意向书")</f>
        <v>豪迈科技:首次公开发行股票招股意向书</v>
      </c>
      <c r="F1698" t="s">
        <v>2580</v>
      </c>
    </row>
    <row r="1699" spans="1:6" x14ac:dyDescent="0.15">
      <c r="A1699" s="1">
        <v>40702</v>
      </c>
      <c r="B1699" t="s">
        <v>332</v>
      </c>
      <c r="C1699" t="s">
        <v>825</v>
      </c>
      <c r="D1699" t="s">
        <v>466</v>
      </c>
      <c r="E1699" s="4" t="str">
        <f>HYPERLINK("http://snap.windin.com/ns/bulletin.php?id=809272&amp;type=1", "豪迈科技:首次公开发行股票招股意向书摘要")</f>
        <v>豪迈科技:首次公开发行股票招股意向书摘要</v>
      </c>
      <c r="F1699" t="s">
        <v>2581</v>
      </c>
    </row>
    <row r="1700" spans="1:6" x14ac:dyDescent="0.15">
      <c r="A1700" s="1">
        <v>40702</v>
      </c>
      <c r="B1700" t="s">
        <v>328</v>
      </c>
      <c r="C1700" t="s">
        <v>821</v>
      </c>
      <c r="D1700" t="s">
        <v>475</v>
      </c>
      <c r="E1700" s="4" t="str">
        <f>HYPERLINK("http://snap.windin.com/ns/bulletin.php?id=1199807&amp;type=1", "比亚迪:首次公开发行A股股票招股意向书")</f>
        <v>比亚迪:首次公开发行A股股票招股意向书</v>
      </c>
      <c r="F1700" t="s">
        <v>2582</v>
      </c>
    </row>
    <row r="1701" spans="1:6" x14ac:dyDescent="0.15">
      <c r="A1701" s="1">
        <v>40702</v>
      </c>
      <c r="B1701" t="s">
        <v>328</v>
      </c>
      <c r="C1701" t="s">
        <v>821</v>
      </c>
      <c r="D1701" t="s">
        <v>476</v>
      </c>
      <c r="E1701" s="4" t="str">
        <f>HYPERLINK("http://snap.windin.com/ns/bulletin.php?id=1462830&amp;type=1", "比亚迪:首次公开发行A股股票招股意向书摘要")</f>
        <v>比亚迪:首次公开发行A股股票招股意向书摘要</v>
      </c>
      <c r="F1701" t="s">
        <v>2583</v>
      </c>
    </row>
    <row r="1702" spans="1:6" x14ac:dyDescent="0.15">
      <c r="A1702" s="1">
        <v>40702</v>
      </c>
      <c r="B1702" t="s">
        <v>333</v>
      </c>
      <c r="C1702" t="s">
        <v>826</v>
      </c>
      <c r="D1702" t="s">
        <v>465</v>
      </c>
      <c r="E1702" s="4" t="str">
        <f>HYPERLINK("http://snap.windin.com/ns/bulletin.php?id=456262&amp;type=1", "日上集团:首次公开发行股票招股意向书")</f>
        <v>日上集团:首次公开发行股票招股意向书</v>
      </c>
      <c r="F1702" t="s">
        <v>2584</v>
      </c>
    </row>
    <row r="1703" spans="1:6" x14ac:dyDescent="0.15">
      <c r="A1703" s="1">
        <v>40702</v>
      </c>
      <c r="B1703" t="s">
        <v>333</v>
      </c>
      <c r="C1703" t="s">
        <v>826</v>
      </c>
      <c r="D1703" t="s">
        <v>466</v>
      </c>
      <c r="E1703" s="4" t="str">
        <f>HYPERLINK("http://snap.windin.com/ns/bulletin.php?id=1747288&amp;type=1", "日上集团:首次公开发行股票招股意向书摘要")</f>
        <v>日上集团:首次公开发行股票招股意向书摘要</v>
      </c>
      <c r="F1703" t="s">
        <v>2585</v>
      </c>
    </row>
    <row r="1704" spans="1:6" x14ac:dyDescent="0.15">
      <c r="A1704" s="1">
        <v>40701</v>
      </c>
      <c r="B1704" t="s">
        <v>348</v>
      </c>
      <c r="C1704" t="s">
        <v>841</v>
      </c>
      <c r="D1704" t="s">
        <v>407</v>
      </c>
      <c r="E1704" s="4" t="str">
        <f>HYPERLINK("http://snap.windin.com/ns/bulletin.php?id=1512404&amp;type=1", "富瑞特装:首次公开发行股票并在创业板上市公告书提示性公告")</f>
        <v>富瑞特装:首次公开发行股票并在创业板上市公告书提示性公告</v>
      </c>
      <c r="F1704" t="s">
        <v>2586</v>
      </c>
    </row>
    <row r="1705" spans="1:6" x14ac:dyDescent="0.15">
      <c r="A1705" s="1">
        <v>40701</v>
      </c>
      <c r="B1705" t="s">
        <v>348</v>
      </c>
      <c r="C1705" t="s">
        <v>841</v>
      </c>
      <c r="D1705" t="s">
        <v>412</v>
      </c>
      <c r="E1705" s="4" t="str">
        <f>HYPERLINK("http://snap.windin.com/ns/bulletin.php?id=1527680&amp;type=1", "富瑞特装:首次公开发行股票并在创业板上市上市公告书")</f>
        <v>富瑞特装:首次公开发行股票并在创业板上市上市公告书</v>
      </c>
      <c r="F1705" t="s">
        <v>2587</v>
      </c>
    </row>
    <row r="1706" spans="1:6" x14ac:dyDescent="0.15">
      <c r="A1706" s="1">
        <v>40701</v>
      </c>
      <c r="B1706" t="s">
        <v>347</v>
      </c>
      <c r="C1706" t="s">
        <v>840</v>
      </c>
      <c r="D1706" t="s">
        <v>412</v>
      </c>
      <c r="E1706" s="4" t="str">
        <f>HYPERLINK("http://snap.windin.com/ns/bulletin.php?id=1908975&amp;type=1", "光韵达:首次公开发行股票并在创业板上市上市公告书")</f>
        <v>光韵达:首次公开发行股票并在创业板上市上市公告书</v>
      </c>
      <c r="F1706" t="s">
        <v>2588</v>
      </c>
    </row>
    <row r="1707" spans="1:6" x14ac:dyDescent="0.15">
      <c r="A1707" s="1">
        <v>40701</v>
      </c>
      <c r="B1707" t="s">
        <v>347</v>
      </c>
      <c r="C1707" t="s">
        <v>840</v>
      </c>
      <c r="D1707" t="s">
        <v>383</v>
      </c>
      <c r="E1707" s="4" t="str">
        <f>HYPERLINK("http://snap.windin.com/ns/bulletin.php?id=1970909&amp;type=1", "光韵达:首次公开发行股票并在创业板上市上市公告书提示性公告")</f>
        <v>光韵达:首次公开发行股票并在创业板上市上市公告书提示性公告</v>
      </c>
      <c r="F1707" t="s">
        <v>2589</v>
      </c>
    </row>
    <row r="1708" spans="1:6" x14ac:dyDescent="0.15">
      <c r="A1708" s="1">
        <v>40701</v>
      </c>
      <c r="B1708" t="s">
        <v>349</v>
      </c>
      <c r="C1708" t="s">
        <v>842</v>
      </c>
      <c r="D1708" t="s">
        <v>407</v>
      </c>
      <c r="E1708" s="4" t="str">
        <f>HYPERLINK("http://snap.windin.com/ns/bulletin.php?id=1134062&amp;type=1", "上海钢联:首次公开发行股票并在创业板上市公告书提示性公告")</f>
        <v>上海钢联:首次公开发行股票并在创业板上市公告书提示性公告</v>
      </c>
      <c r="F1708" t="s">
        <v>2590</v>
      </c>
    </row>
    <row r="1709" spans="1:6" x14ac:dyDescent="0.15">
      <c r="A1709" s="1">
        <v>40701</v>
      </c>
      <c r="B1709" t="s">
        <v>349</v>
      </c>
      <c r="C1709" t="s">
        <v>842</v>
      </c>
      <c r="D1709" t="s">
        <v>389</v>
      </c>
      <c r="E1709" s="4" t="str">
        <f>HYPERLINK("http://snap.windin.com/ns/bulletin.php?id=1387158&amp;type=1", "上海钢联:首次公开发行股票上市公告书")</f>
        <v>上海钢联:首次公开发行股票上市公告书</v>
      </c>
      <c r="F1709" t="s">
        <v>2591</v>
      </c>
    </row>
    <row r="1710" spans="1:6" x14ac:dyDescent="0.15">
      <c r="A1710" s="1">
        <v>40697</v>
      </c>
      <c r="B1710" t="s">
        <v>335</v>
      </c>
      <c r="C1710" t="s">
        <v>828</v>
      </c>
      <c r="D1710" t="s">
        <v>471</v>
      </c>
      <c r="E1710" s="4" t="str">
        <f>HYPERLINK("http://snap.windin.com/ns/bulletin.php?id=578904&amp;type=1", "开尔新材:首次公开发行股票并在创业板上市招股意向书")</f>
        <v>开尔新材:首次公开发行股票并在创业板上市招股意向书</v>
      </c>
      <c r="F1710" t="s">
        <v>2592</v>
      </c>
    </row>
    <row r="1711" spans="1:6" x14ac:dyDescent="0.15">
      <c r="A1711" s="1">
        <v>40697</v>
      </c>
      <c r="B1711" t="s">
        <v>336</v>
      </c>
      <c r="C1711" t="s">
        <v>829</v>
      </c>
      <c r="D1711" t="s">
        <v>471</v>
      </c>
      <c r="E1711" s="4" t="str">
        <f>HYPERLINK("http://snap.windin.com/ns/bulletin.php?id=1161844&amp;type=1", "金城医药:首次公开发行股票并在创业板上市招股意向书")</f>
        <v>金城医药:首次公开发行股票并在创业板上市招股意向书</v>
      </c>
      <c r="F1711" t="s">
        <v>2593</v>
      </c>
    </row>
    <row r="1712" spans="1:6" x14ac:dyDescent="0.15">
      <c r="A1712" s="1">
        <v>40697</v>
      </c>
      <c r="B1712" t="s">
        <v>334</v>
      </c>
      <c r="C1712" t="s">
        <v>827</v>
      </c>
      <c r="D1712" t="s">
        <v>471</v>
      </c>
      <c r="E1712" s="4" t="str">
        <f>HYPERLINK("http://snap.windin.com/ns/bulletin.php?id=840943&amp;type=1", "洲明科技:首次公开发行股票并在创业板上市招股意向书")</f>
        <v>洲明科技:首次公开发行股票并在创业板上市招股意向书</v>
      </c>
      <c r="F1712" t="s">
        <v>2594</v>
      </c>
    </row>
    <row r="1713" spans="1:6" x14ac:dyDescent="0.15">
      <c r="A1713" s="1">
        <v>40697</v>
      </c>
      <c r="B1713" t="s">
        <v>340</v>
      </c>
      <c r="C1713" t="s">
        <v>833</v>
      </c>
      <c r="D1713" t="s">
        <v>455</v>
      </c>
      <c r="E1713" s="4" t="str">
        <f>HYPERLINK("http://snap.windin.com/ns/bulletin.php?id=795638&amp;type=1", "银信科技:首次公开发行股票并在创业板上市招股说明书")</f>
        <v>银信科技:首次公开发行股票并在创业板上市招股说明书</v>
      </c>
      <c r="F1713" t="s">
        <v>2595</v>
      </c>
    </row>
    <row r="1714" spans="1:6" x14ac:dyDescent="0.15">
      <c r="A1714" s="1">
        <v>40697</v>
      </c>
      <c r="B1714" t="s">
        <v>341</v>
      </c>
      <c r="C1714" t="s">
        <v>834</v>
      </c>
      <c r="D1714" t="s">
        <v>455</v>
      </c>
      <c r="E1714" s="4" t="str">
        <f>HYPERLINK("http://snap.windin.com/ns/bulletin.php?id=1182589&amp;type=1", "永利带业:首次公开发行股票并在创业板上市招股说明书")</f>
        <v>永利带业:首次公开发行股票并在创业板上市招股说明书</v>
      </c>
      <c r="F1714" t="s">
        <v>2596</v>
      </c>
    </row>
    <row r="1715" spans="1:6" x14ac:dyDescent="0.15">
      <c r="A1715" s="1">
        <v>40697</v>
      </c>
      <c r="B1715" t="s">
        <v>339</v>
      </c>
      <c r="C1715" t="s">
        <v>832</v>
      </c>
      <c r="D1715" t="s">
        <v>455</v>
      </c>
      <c r="E1715" s="4" t="str">
        <f>HYPERLINK("http://snap.windin.com/ns/bulletin.php?id=1416081&amp;type=1", "拓尔思:首次公开发行股票并在创业板上市招股说明书")</f>
        <v>拓尔思:首次公开发行股票并在创业板上市招股说明书</v>
      </c>
      <c r="F1715" t="s">
        <v>2597</v>
      </c>
    </row>
    <row r="1716" spans="1:6" x14ac:dyDescent="0.15">
      <c r="A1716" s="1">
        <v>40696</v>
      </c>
      <c r="B1716" t="s">
        <v>350</v>
      </c>
      <c r="C1716" t="s">
        <v>843</v>
      </c>
      <c r="D1716" t="s">
        <v>402</v>
      </c>
      <c r="E1716" s="4" t="str">
        <f>HYPERLINK("http://snap.windin.com/ns/bulletin.php?id=217755&amp;type=1", "文峰股份:首次公开发行A股股票上市公告书")</f>
        <v>文峰股份:首次公开发行A股股票上市公告书</v>
      </c>
      <c r="F1716" t="s">
        <v>2598</v>
      </c>
    </row>
    <row r="1717" spans="1:6" x14ac:dyDescent="0.15">
      <c r="A1717" s="1">
        <v>40696</v>
      </c>
      <c r="B1717" t="s">
        <v>350</v>
      </c>
      <c r="C1717" t="s">
        <v>843</v>
      </c>
      <c r="D1717" t="s">
        <v>399</v>
      </c>
      <c r="E1717" s="4" t="str">
        <f>HYPERLINK("http://snap.windin.com/ns/bulletin.php?id=526072&amp;type=1", "文峰股份:首次公开发行股票招股说明书")</f>
        <v>文峰股份:首次公开发行股票招股说明书</v>
      </c>
      <c r="F1717" t="s">
        <v>2599</v>
      </c>
    </row>
    <row r="1718" spans="1:6" x14ac:dyDescent="0.15">
      <c r="A1718" s="1">
        <v>40695</v>
      </c>
      <c r="B1718" t="s">
        <v>337</v>
      </c>
      <c r="C1718" t="s">
        <v>830</v>
      </c>
      <c r="D1718" t="s">
        <v>638</v>
      </c>
      <c r="E1718" s="4" t="str">
        <f>HYPERLINK("http://snap.windin.com/ns/bulletin.php?id=2034848&amp;type=1", "蓝科高新:首次公开发行股票并上市招股意向书附录")</f>
        <v>蓝科高新:首次公开发行股票并上市招股意向书附录</v>
      </c>
      <c r="F1718" t="s">
        <v>2600</v>
      </c>
    </row>
    <row r="1719" spans="1:6" x14ac:dyDescent="0.15">
      <c r="A1719" s="1">
        <v>40695</v>
      </c>
      <c r="B1719" t="s">
        <v>337</v>
      </c>
      <c r="C1719" t="s">
        <v>830</v>
      </c>
      <c r="D1719" t="s">
        <v>465</v>
      </c>
      <c r="E1719" s="4" t="str">
        <f>HYPERLINK("http://snap.windin.com/ns/bulletin.php?id=728031&amp;type=1", "蓝科高新:首次公开发行股票招股意向书")</f>
        <v>蓝科高新:首次公开发行股票招股意向书</v>
      </c>
      <c r="F1719" t="s">
        <v>2601</v>
      </c>
    </row>
    <row r="1720" spans="1:6" x14ac:dyDescent="0.15">
      <c r="A1720" s="1">
        <v>40695</v>
      </c>
      <c r="B1720" t="s">
        <v>337</v>
      </c>
      <c r="C1720" t="s">
        <v>830</v>
      </c>
      <c r="D1720" t="s">
        <v>466</v>
      </c>
      <c r="E1720" s="4" t="str">
        <f>HYPERLINK("http://snap.windin.com/ns/bulletin.php?id=1179097&amp;type=1", "蓝科高新:首次公开发行股票招股意向书摘要")</f>
        <v>蓝科高新:首次公开发行股票招股意向书摘要</v>
      </c>
      <c r="F1720" t="s">
        <v>2602</v>
      </c>
    </row>
    <row r="1721" spans="1:6" x14ac:dyDescent="0.15">
      <c r="A1721" s="1">
        <v>40695</v>
      </c>
      <c r="B1721" t="s">
        <v>352</v>
      </c>
      <c r="C1721" t="s">
        <v>845</v>
      </c>
      <c r="D1721" t="s">
        <v>402</v>
      </c>
      <c r="E1721" s="4" t="str">
        <f>HYPERLINK("http://snap.windin.com/ns/bulletin.php?id=2013053&amp;type=1", "骆驼股份:首次公开发行A股股票上市公告书")</f>
        <v>骆驼股份:首次公开发行A股股票上市公告书</v>
      </c>
      <c r="F1721" t="s">
        <v>2603</v>
      </c>
    </row>
    <row r="1722" spans="1:6" x14ac:dyDescent="0.15">
      <c r="A1722" s="1">
        <v>40695</v>
      </c>
      <c r="B1722" t="s">
        <v>352</v>
      </c>
      <c r="C1722" t="s">
        <v>845</v>
      </c>
      <c r="D1722" t="s">
        <v>399</v>
      </c>
      <c r="E1722" s="4" t="str">
        <f>HYPERLINK("http://snap.windin.com/ns/bulletin.php?id=1393299&amp;type=1", "骆驼股份:首次公开发行股票招股说明书")</f>
        <v>骆驼股份:首次公开发行股票招股说明书</v>
      </c>
      <c r="F1722" t="s">
        <v>2604</v>
      </c>
    </row>
    <row r="1723" spans="1:6" x14ac:dyDescent="0.15">
      <c r="A1723" s="1">
        <v>40695</v>
      </c>
      <c r="B1723" t="s">
        <v>241</v>
      </c>
      <c r="C1723" t="s">
        <v>722</v>
      </c>
      <c r="D1723" t="s">
        <v>465</v>
      </c>
      <c r="E1723" s="4" t="str">
        <f>HYPERLINK("http://snap.windin.com/ns/bulletin.php?id=1088942&amp;type=1", "八菱科技:首次公开发行股票招股意向书")</f>
        <v>八菱科技:首次公开发行股票招股意向书</v>
      </c>
      <c r="F1723" t="s">
        <v>2605</v>
      </c>
    </row>
    <row r="1724" spans="1:6" x14ac:dyDescent="0.15">
      <c r="A1724" s="1">
        <v>40695</v>
      </c>
      <c r="B1724" t="s">
        <v>241</v>
      </c>
      <c r="C1724" t="s">
        <v>722</v>
      </c>
      <c r="D1724" t="s">
        <v>466</v>
      </c>
      <c r="E1724" s="4" t="str">
        <f>HYPERLINK("http://snap.windin.com/ns/bulletin.php?id=902932&amp;type=1", "八菱科技:首次公开发行股票招股意向书摘要")</f>
        <v>八菱科技:首次公开发行股票招股意向书摘要</v>
      </c>
      <c r="F1724" t="s">
        <v>2606</v>
      </c>
    </row>
    <row r="1725" spans="1:6" x14ac:dyDescent="0.15">
      <c r="A1725" s="1">
        <v>40695</v>
      </c>
      <c r="B1725" t="s">
        <v>338</v>
      </c>
      <c r="C1725" t="s">
        <v>831</v>
      </c>
      <c r="D1725" t="s">
        <v>465</v>
      </c>
      <c r="E1725" s="4" t="str">
        <f>HYPERLINK("http://snap.windin.com/ns/bulletin.php?id=1742165&amp;type=1", "恒大高新:首次公开发行股票招股意向书")</f>
        <v>恒大高新:首次公开发行股票招股意向书</v>
      </c>
      <c r="F1725" t="s">
        <v>2607</v>
      </c>
    </row>
    <row r="1726" spans="1:6" x14ac:dyDescent="0.15">
      <c r="A1726" s="1">
        <v>40695</v>
      </c>
      <c r="B1726" t="s">
        <v>338</v>
      </c>
      <c r="C1726" t="s">
        <v>831</v>
      </c>
      <c r="D1726" t="s">
        <v>466</v>
      </c>
      <c r="E1726" s="4" t="str">
        <f>HYPERLINK("http://snap.windin.com/ns/bulletin.php?id=1891894&amp;type=1", "恒大高新:首次公开发行股票招股意向书摘要")</f>
        <v>恒大高新:首次公开发行股票招股意向书摘要</v>
      </c>
      <c r="F1726" t="s">
        <v>2608</v>
      </c>
    </row>
    <row r="1727" spans="1:6" x14ac:dyDescent="0.15">
      <c r="A1727" s="1">
        <v>40695</v>
      </c>
      <c r="B1727" t="s">
        <v>353</v>
      </c>
      <c r="C1727" t="s">
        <v>846</v>
      </c>
      <c r="D1727" t="s">
        <v>389</v>
      </c>
      <c r="E1727" s="4" t="str">
        <f>HYPERLINK("http://snap.windin.com/ns/bulletin.php?id=1911565&amp;type=1", "围海股份:首次公开发行股票上市公告书")</f>
        <v>围海股份:首次公开发行股票上市公告书</v>
      </c>
      <c r="F1727" t="s">
        <v>2609</v>
      </c>
    </row>
    <row r="1728" spans="1:6" x14ac:dyDescent="0.15">
      <c r="A1728" s="1">
        <v>40695</v>
      </c>
      <c r="B1728" t="s">
        <v>354</v>
      </c>
      <c r="C1728" t="s">
        <v>847</v>
      </c>
      <c r="D1728" t="s">
        <v>389</v>
      </c>
      <c r="E1728" s="4" t="str">
        <f>HYPERLINK("http://snap.windin.com/ns/bulletin.php?id=815609&amp;type=1", "双星新材:首次公开发行股票上市公告书")</f>
        <v>双星新材:首次公开发行股票上市公告书</v>
      </c>
      <c r="F1728" t="s">
        <v>2610</v>
      </c>
    </row>
    <row r="1729" spans="1:6" x14ac:dyDescent="0.15">
      <c r="A1729" s="1">
        <v>40695</v>
      </c>
      <c r="B1729" t="s">
        <v>351</v>
      </c>
      <c r="C1729" t="s">
        <v>844</v>
      </c>
      <c r="D1729" t="s">
        <v>389</v>
      </c>
      <c r="E1729" s="4" t="str">
        <f>HYPERLINK("http://snap.windin.com/ns/bulletin.php?id=2089312&amp;type=1", "西陇化工:首次公开发行股票上市公告书")</f>
        <v>西陇化工:首次公开发行股票上市公告书</v>
      </c>
      <c r="F1729" t="s">
        <v>2611</v>
      </c>
    </row>
    <row r="1730" spans="1:6" x14ac:dyDescent="0.15">
      <c r="A1730" s="1">
        <v>40694</v>
      </c>
      <c r="B1730" t="s">
        <v>343</v>
      </c>
      <c r="C1730" t="s">
        <v>836</v>
      </c>
      <c r="D1730" t="s">
        <v>469</v>
      </c>
      <c r="E1730" s="4" t="str">
        <f>HYPERLINK("http://snap.windin.com/ns/bulletin.php?id=1181814&amp;type=1", "万安科技:首次公开发行股票并上市招股说明书")</f>
        <v>万安科技:首次公开发行股票并上市招股说明书</v>
      </c>
      <c r="F1730" t="s">
        <v>2612</v>
      </c>
    </row>
    <row r="1731" spans="1:6" x14ac:dyDescent="0.15">
      <c r="A1731" s="1">
        <v>40694</v>
      </c>
      <c r="B1731" t="s">
        <v>343</v>
      </c>
      <c r="C1731" t="s">
        <v>836</v>
      </c>
      <c r="D1731" t="s">
        <v>468</v>
      </c>
      <c r="E1731" s="4" t="str">
        <f>HYPERLINK("http://snap.windin.com/ns/bulletin.php?id=1228098&amp;type=1", "万安科技:首次公开发行股票并上市招股说明书摘要")</f>
        <v>万安科技:首次公开发行股票并上市招股说明书摘要</v>
      </c>
      <c r="F1731" t="s">
        <v>2613</v>
      </c>
    </row>
    <row r="1732" spans="1:6" x14ac:dyDescent="0.15">
      <c r="A1732" s="1">
        <v>40694</v>
      </c>
      <c r="B1732" t="s">
        <v>345</v>
      </c>
      <c r="C1732" t="s">
        <v>838</v>
      </c>
      <c r="D1732" t="s">
        <v>399</v>
      </c>
      <c r="E1732" s="4" t="str">
        <f>HYPERLINK("http://snap.windin.com/ns/bulletin.php?id=1992099&amp;type=1", "瑞康医药:首次公开发行股票招股说明书")</f>
        <v>瑞康医药:首次公开发行股票招股说明书</v>
      </c>
      <c r="F1732" t="s">
        <v>2614</v>
      </c>
    </row>
    <row r="1733" spans="1:6" x14ac:dyDescent="0.15">
      <c r="A1733" s="1">
        <v>40694</v>
      </c>
      <c r="B1733" t="s">
        <v>345</v>
      </c>
      <c r="C1733" t="s">
        <v>838</v>
      </c>
      <c r="D1733" t="s">
        <v>400</v>
      </c>
      <c r="E1733" s="4" t="str">
        <f>HYPERLINK("http://snap.windin.com/ns/bulletin.php?id=1541665&amp;type=1", "瑞康医药:首次公开发行股票招股说明书摘要")</f>
        <v>瑞康医药:首次公开发行股票招股说明书摘要</v>
      </c>
      <c r="F1733" t="s">
        <v>2615</v>
      </c>
    </row>
    <row r="1734" spans="1:6" x14ac:dyDescent="0.15">
      <c r="A1734" s="1">
        <v>40694</v>
      </c>
      <c r="B1734" t="s">
        <v>346</v>
      </c>
      <c r="C1734" t="s">
        <v>839</v>
      </c>
      <c r="D1734" t="s">
        <v>399</v>
      </c>
      <c r="E1734" s="4" t="str">
        <f>HYPERLINK("http://snap.windin.com/ns/bulletin.php?id=561006&amp;type=1", "史丹利:首次公开发行股票招股说明书")</f>
        <v>史丹利:首次公开发行股票招股说明书</v>
      </c>
      <c r="F1734" t="s">
        <v>2616</v>
      </c>
    </row>
    <row r="1735" spans="1:6" x14ac:dyDescent="0.15">
      <c r="A1735" s="1">
        <v>40694</v>
      </c>
      <c r="B1735" t="s">
        <v>346</v>
      </c>
      <c r="C1735" t="s">
        <v>839</v>
      </c>
      <c r="D1735" t="s">
        <v>400</v>
      </c>
      <c r="E1735" s="4" t="str">
        <f>HYPERLINK("http://snap.windin.com/ns/bulletin.php?id=530804&amp;type=1", "史丹利:首次公开发行股票招股说明书摘要")</f>
        <v>史丹利:首次公开发行股票招股说明书摘要</v>
      </c>
      <c r="F1735" t="s">
        <v>2617</v>
      </c>
    </row>
    <row r="1736" spans="1:6" x14ac:dyDescent="0.15">
      <c r="A1736" s="1">
        <v>40694</v>
      </c>
      <c r="B1736" t="s">
        <v>344</v>
      </c>
      <c r="C1736" t="s">
        <v>837</v>
      </c>
      <c r="D1736" t="s">
        <v>399</v>
      </c>
      <c r="E1736" s="4" t="str">
        <f>HYPERLINK("http://snap.windin.com/ns/bulletin.php?id=559190&amp;type=1", "奥拓电子:首次公开发行股票招股说明书")</f>
        <v>奥拓电子:首次公开发行股票招股说明书</v>
      </c>
      <c r="F1736" t="s">
        <v>2618</v>
      </c>
    </row>
    <row r="1737" spans="1:6" x14ac:dyDescent="0.15">
      <c r="A1737" s="1">
        <v>40694</v>
      </c>
      <c r="B1737" t="s">
        <v>344</v>
      </c>
      <c r="C1737" t="s">
        <v>837</v>
      </c>
      <c r="D1737" t="s">
        <v>400</v>
      </c>
      <c r="E1737" s="4" t="str">
        <f>HYPERLINK("http://snap.windin.com/ns/bulletin.php?id=1214600&amp;type=1", "奥拓电子:首次公开发行股票招股说明书摘要")</f>
        <v>奥拓电子:首次公开发行股票招股说明书摘要</v>
      </c>
      <c r="F1737" t="s">
        <v>2619</v>
      </c>
    </row>
    <row r="1738" spans="1:6" x14ac:dyDescent="0.15">
      <c r="A1738" s="1">
        <v>40693</v>
      </c>
      <c r="B1738" t="s">
        <v>355</v>
      </c>
      <c r="C1738" t="s">
        <v>848</v>
      </c>
      <c r="D1738" t="s">
        <v>412</v>
      </c>
      <c r="E1738" s="4" t="str">
        <f>HYPERLINK("http://snap.windin.com/ns/bulletin.php?id=1847265&amp;type=1", "金力泰:首次公开发行股票并在创业板上市上市公告书")</f>
        <v>金力泰:首次公开发行股票并在创业板上市上市公告书</v>
      </c>
      <c r="F1738" t="s">
        <v>2620</v>
      </c>
    </row>
    <row r="1739" spans="1:6" x14ac:dyDescent="0.15">
      <c r="A1739" s="1">
        <v>40693</v>
      </c>
      <c r="B1739" t="s">
        <v>355</v>
      </c>
      <c r="C1739" t="s">
        <v>848</v>
      </c>
      <c r="D1739" t="s">
        <v>383</v>
      </c>
      <c r="E1739" s="4" t="str">
        <f>HYPERLINK("http://snap.windin.com/ns/bulletin.php?id=129055&amp;type=1", "金力泰:首次公开发行股票并在创业板上市上市公告书提示性公告")</f>
        <v>金力泰:首次公开发行股票并在创业板上市上市公告书提示性公告</v>
      </c>
      <c r="F1739" t="s">
        <v>2621</v>
      </c>
    </row>
    <row r="1740" spans="1:6" x14ac:dyDescent="0.15">
      <c r="A1740" s="1">
        <v>40693</v>
      </c>
      <c r="B1740" t="s">
        <v>357</v>
      </c>
      <c r="C1740" t="s">
        <v>850</v>
      </c>
      <c r="D1740" t="s">
        <v>383</v>
      </c>
      <c r="E1740" s="4" t="str">
        <f>HYPERLINK("http://snap.windin.com/ns/bulletin.php?id=528892&amp;type=1", "正海磁材:首次公开发行股票并在创业板上市上市公告书提示性公告")</f>
        <v>正海磁材:首次公开发行股票并在创业板上市上市公告书提示性公告</v>
      </c>
      <c r="F1740" t="s">
        <v>2622</v>
      </c>
    </row>
    <row r="1741" spans="1:6" x14ac:dyDescent="0.15">
      <c r="A1741" s="1">
        <v>40693</v>
      </c>
      <c r="B1741" t="s">
        <v>357</v>
      </c>
      <c r="C1741" t="s">
        <v>850</v>
      </c>
      <c r="D1741" t="s">
        <v>408</v>
      </c>
      <c r="E1741" s="4" t="str">
        <f>HYPERLINK("http://snap.windin.com/ns/bulletin.php?id=491900&amp;type=1", "正海磁材:首次公开发行股票并在创业板上市之上市公告书")</f>
        <v>正海磁材:首次公开发行股票并在创业板上市之上市公告书</v>
      </c>
      <c r="F1741" t="s">
        <v>2623</v>
      </c>
    </row>
    <row r="1742" spans="1:6" x14ac:dyDescent="0.15">
      <c r="A1742" s="1">
        <v>40693</v>
      </c>
      <c r="B1742" t="s">
        <v>356</v>
      </c>
      <c r="C1742" t="s">
        <v>849</v>
      </c>
      <c r="D1742" t="s">
        <v>383</v>
      </c>
      <c r="E1742" s="4" t="str">
        <f>HYPERLINK("http://snap.windin.com/ns/bulletin.php?id=1715458&amp;type=1", "北京君正:首次公开发行股票并在创业板上市上市公告书提示性公告")</f>
        <v>北京君正:首次公开发行股票并在创业板上市上市公告书提示性公告</v>
      </c>
      <c r="F1742" t="s">
        <v>2624</v>
      </c>
    </row>
    <row r="1743" spans="1:6" x14ac:dyDescent="0.15">
      <c r="A1743" s="1">
        <v>40693</v>
      </c>
      <c r="B1743" t="s">
        <v>356</v>
      </c>
      <c r="C1743" t="s">
        <v>849</v>
      </c>
      <c r="D1743" t="s">
        <v>389</v>
      </c>
      <c r="E1743" s="4" t="str">
        <f>HYPERLINK("http://snap.windin.com/ns/bulletin.php?id=1074764&amp;type=1", "北京君正:首次公开发行股票上市公告书")</f>
        <v>北京君正:首次公开发行股票上市公告书</v>
      </c>
      <c r="F1743" t="s">
        <v>2625</v>
      </c>
    </row>
    <row r="1744" spans="1:6" x14ac:dyDescent="0.15">
      <c r="A1744" s="1">
        <v>40690</v>
      </c>
      <c r="B1744" t="s">
        <v>358</v>
      </c>
      <c r="C1744" t="s">
        <v>851</v>
      </c>
      <c r="D1744" t="s">
        <v>402</v>
      </c>
      <c r="E1744" s="4" t="str">
        <f>HYPERLINK("http://snap.windin.com/ns/bulletin.php?id=953185&amp;type=1", "九牧王:首次公开发行A股股票上市公告书")</f>
        <v>九牧王:首次公开发行A股股票上市公告书</v>
      </c>
      <c r="F1744" t="s">
        <v>2626</v>
      </c>
    </row>
    <row r="1745" spans="1:6" x14ac:dyDescent="0.15">
      <c r="A1745" s="1">
        <v>40690</v>
      </c>
      <c r="B1745" t="s">
        <v>358</v>
      </c>
      <c r="C1745" t="s">
        <v>851</v>
      </c>
      <c r="D1745" t="s">
        <v>399</v>
      </c>
      <c r="E1745" s="4" t="str">
        <f>HYPERLINK("http://snap.windin.com/ns/bulletin.php?id=1787744&amp;type=1", "九牧王:首次公开发行股票招股说明书")</f>
        <v>九牧王:首次公开发行股票招股说明书</v>
      </c>
      <c r="F1745" t="s">
        <v>2627</v>
      </c>
    </row>
    <row r="1746" spans="1:6" x14ac:dyDescent="0.15">
      <c r="A1746" s="1">
        <v>40690</v>
      </c>
      <c r="B1746" t="s">
        <v>340</v>
      </c>
      <c r="C1746" t="s">
        <v>833</v>
      </c>
      <c r="D1746" t="s">
        <v>471</v>
      </c>
      <c r="E1746" s="4" t="str">
        <f>HYPERLINK("http://snap.windin.com/ns/bulletin.php?id=18562374&amp;type=1", "银信科技:首次公开发行股票并在创业板上市招股意向书")</f>
        <v>银信科技:首次公开发行股票并在创业板上市招股意向书</v>
      </c>
      <c r="F1746" t="s">
        <v>2628</v>
      </c>
    </row>
    <row r="1747" spans="1:6" x14ac:dyDescent="0.15">
      <c r="A1747" s="1">
        <v>40690</v>
      </c>
      <c r="B1747" t="s">
        <v>340</v>
      </c>
      <c r="C1747" t="s">
        <v>833</v>
      </c>
      <c r="D1747" t="s">
        <v>471</v>
      </c>
      <c r="E1747" s="4" t="str">
        <f>HYPERLINK("http://snap.windin.com/ns/bulletin.php?id=81394&amp;type=1", "银信科技:首次公开发行股票并在创业板上市招股意向书")</f>
        <v>银信科技:首次公开发行股票并在创业板上市招股意向书</v>
      </c>
      <c r="F1747" t="s">
        <v>2629</v>
      </c>
    </row>
    <row r="1748" spans="1:6" x14ac:dyDescent="0.15">
      <c r="A1748" s="1">
        <v>40690</v>
      </c>
      <c r="B1748" t="s">
        <v>341</v>
      </c>
      <c r="C1748" t="s">
        <v>834</v>
      </c>
      <c r="D1748" t="s">
        <v>471</v>
      </c>
      <c r="E1748" s="4" t="str">
        <f>HYPERLINK("http://snap.windin.com/ns/bulletin.php?id=808835&amp;type=1", "永利带业:首次公开发行股票并在创业板上市招股意向书")</f>
        <v>永利带业:首次公开发行股票并在创业板上市招股意向书</v>
      </c>
      <c r="F1748" t="s">
        <v>2630</v>
      </c>
    </row>
    <row r="1749" spans="1:6" x14ac:dyDescent="0.15">
      <c r="A1749" s="1">
        <v>40690</v>
      </c>
      <c r="B1749" t="s">
        <v>339</v>
      </c>
      <c r="C1749" t="s">
        <v>832</v>
      </c>
      <c r="D1749" t="s">
        <v>471</v>
      </c>
      <c r="E1749" s="4" t="str">
        <f>HYPERLINK("http://snap.windin.com/ns/bulletin.php?id=187065&amp;type=1", "拓尔思:首次公开发行股票并在创业板上市招股意向书")</f>
        <v>拓尔思:首次公开发行股票并在创业板上市招股意向书</v>
      </c>
      <c r="F1749" t="s">
        <v>2631</v>
      </c>
    </row>
    <row r="1750" spans="1:6" x14ac:dyDescent="0.15">
      <c r="A1750" s="1">
        <v>40690</v>
      </c>
      <c r="B1750" t="s">
        <v>348</v>
      </c>
      <c r="C1750" t="s">
        <v>841</v>
      </c>
      <c r="D1750" t="s">
        <v>455</v>
      </c>
      <c r="E1750" s="4" t="str">
        <f>HYPERLINK("http://snap.windin.com/ns/bulletin.php?id=1331821&amp;type=1", "富瑞特装:首次公开发行股票并在创业板上市招股说明书")</f>
        <v>富瑞特装:首次公开发行股票并在创业板上市招股说明书</v>
      </c>
      <c r="F1750" t="s">
        <v>2632</v>
      </c>
    </row>
    <row r="1751" spans="1:6" x14ac:dyDescent="0.15">
      <c r="A1751" s="1">
        <v>40690</v>
      </c>
      <c r="B1751" t="s">
        <v>347</v>
      </c>
      <c r="C1751" t="s">
        <v>840</v>
      </c>
      <c r="D1751" t="s">
        <v>455</v>
      </c>
      <c r="E1751" s="4" t="str">
        <f>HYPERLINK("http://snap.windin.com/ns/bulletin.php?id=1896710&amp;type=1", "光韵达:首次公开发行股票并在创业板上市招股说明书")</f>
        <v>光韵达:首次公开发行股票并在创业板上市招股说明书</v>
      </c>
      <c r="F1751" t="s">
        <v>2633</v>
      </c>
    </row>
    <row r="1752" spans="1:6" x14ac:dyDescent="0.15">
      <c r="A1752" s="1">
        <v>40690</v>
      </c>
      <c r="B1752" t="s">
        <v>349</v>
      </c>
      <c r="C1752" t="s">
        <v>842</v>
      </c>
      <c r="D1752" t="s">
        <v>455</v>
      </c>
      <c r="E1752" s="4" t="str">
        <f>HYPERLINK("http://snap.windin.com/ns/bulletin.php?id=1643645&amp;type=1", "上海钢联:首次公开发行股票并在创业板上市招股说明书")</f>
        <v>上海钢联:首次公开发行股票并在创业板上市招股说明书</v>
      </c>
      <c r="F1752" t="s">
        <v>2634</v>
      </c>
    </row>
    <row r="1753" spans="1:6" x14ac:dyDescent="0.15">
      <c r="A1753" s="1">
        <v>40689</v>
      </c>
      <c r="B1753" t="s">
        <v>359</v>
      </c>
      <c r="C1753" t="s">
        <v>852</v>
      </c>
      <c r="D1753" t="s">
        <v>402</v>
      </c>
      <c r="E1753" s="4" t="str">
        <f>HYPERLINK("http://snap.windin.com/ns/bulletin.php?id=1273806&amp;type=1", "鹿港科技:首次公开发行A股股票上市公告书")</f>
        <v>鹿港科技:首次公开发行A股股票上市公告书</v>
      </c>
      <c r="F1753" t="s">
        <v>2635</v>
      </c>
    </row>
    <row r="1754" spans="1:6" x14ac:dyDescent="0.15">
      <c r="A1754" s="1">
        <v>40689</v>
      </c>
      <c r="B1754" t="s">
        <v>359</v>
      </c>
      <c r="C1754" t="s">
        <v>852</v>
      </c>
      <c r="D1754" t="s">
        <v>399</v>
      </c>
      <c r="E1754" s="4" t="str">
        <f>HYPERLINK("http://snap.windin.com/ns/bulletin.php?id=1784883&amp;type=1", "鹿港科技:首次公开发行股票招股说明书")</f>
        <v>鹿港科技:首次公开发行股票招股说明书</v>
      </c>
      <c r="F1754" t="s">
        <v>2636</v>
      </c>
    </row>
    <row r="1755" spans="1:6" x14ac:dyDescent="0.15">
      <c r="A1755" s="1">
        <v>40689</v>
      </c>
      <c r="B1755" t="s">
        <v>360</v>
      </c>
      <c r="C1755" t="s">
        <v>853</v>
      </c>
      <c r="D1755" t="s">
        <v>389</v>
      </c>
      <c r="E1755" s="4" t="str">
        <f>HYPERLINK("http://snap.windin.com/ns/bulletin.php?id=808941&amp;type=1", "海能达:首次公开发行股票上市公告书")</f>
        <v>海能达:首次公开发行股票上市公告书</v>
      </c>
      <c r="F1755" t="s">
        <v>2637</v>
      </c>
    </row>
    <row r="1756" spans="1:6" x14ac:dyDescent="0.15">
      <c r="A1756" s="1">
        <v>40687</v>
      </c>
      <c r="B1756" t="s">
        <v>342</v>
      </c>
      <c r="C1756" t="s">
        <v>835</v>
      </c>
      <c r="D1756" t="s">
        <v>465</v>
      </c>
      <c r="E1756" s="4" t="str">
        <f>HYPERLINK("http://snap.windin.com/ns/bulletin.php?id=827290&amp;type=1", "三星电气:首次公开发行股票招股意向书")</f>
        <v>三星电气:首次公开发行股票招股意向书</v>
      </c>
      <c r="F1756" t="s">
        <v>2638</v>
      </c>
    </row>
    <row r="1757" spans="1:6" x14ac:dyDescent="0.15">
      <c r="A1757" s="1">
        <v>40687</v>
      </c>
      <c r="B1757" t="s">
        <v>342</v>
      </c>
      <c r="C1757" t="s">
        <v>835</v>
      </c>
      <c r="D1757" t="s">
        <v>522</v>
      </c>
      <c r="E1757" s="4" t="str">
        <f>HYPERLINK("http://snap.windin.com/ns/bulletin.php?id=1852895&amp;type=1", "三星电气:首次公开发行股票招股意向书附录二")</f>
        <v>三星电气:首次公开发行股票招股意向书附录二</v>
      </c>
      <c r="F1757" t="s">
        <v>2639</v>
      </c>
    </row>
    <row r="1758" spans="1:6" x14ac:dyDescent="0.15">
      <c r="A1758" s="1">
        <v>40687</v>
      </c>
      <c r="B1758" t="s">
        <v>342</v>
      </c>
      <c r="C1758" t="s">
        <v>835</v>
      </c>
      <c r="D1758" t="s">
        <v>521</v>
      </c>
      <c r="E1758" s="4" t="str">
        <f>HYPERLINK("http://snap.windin.com/ns/bulletin.php?id=1387403&amp;type=1", "三星电气:首次公开发行股票招股意向书附录三")</f>
        <v>三星电气:首次公开发行股票招股意向书附录三</v>
      </c>
      <c r="F1758" t="s">
        <v>2640</v>
      </c>
    </row>
    <row r="1759" spans="1:6" x14ac:dyDescent="0.15">
      <c r="A1759" s="1">
        <v>40687</v>
      </c>
      <c r="B1759" t="s">
        <v>342</v>
      </c>
      <c r="C1759" t="s">
        <v>835</v>
      </c>
      <c r="D1759" t="s">
        <v>520</v>
      </c>
      <c r="E1759" s="4" t="str">
        <f>HYPERLINK("http://snap.windin.com/ns/bulletin.php?id=1377319&amp;type=1", "三星电气:首次公开发行股票招股意向书附录一")</f>
        <v>三星电气:首次公开发行股票招股意向书附录一</v>
      </c>
      <c r="F1759" t="s">
        <v>2641</v>
      </c>
    </row>
    <row r="1760" spans="1:6" x14ac:dyDescent="0.15">
      <c r="A1760" s="1">
        <v>40687</v>
      </c>
      <c r="B1760" t="s">
        <v>342</v>
      </c>
      <c r="C1760" t="s">
        <v>835</v>
      </c>
      <c r="D1760" t="s">
        <v>466</v>
      </c>
      <c r="E1760" s="4" t="str">
        <f>HYPERLINK("http://snap.windin.com/ns/bulletin.php?id=1799583&amp;type=1", "三星电气:首次公开发行股票招股意向书摘要")</f>
        <v>三星电气:首次公开发行股票招股意向书摘要</v>
      </c>
      <c r="F1760" t="s">
        <v>2642</v>
      </c>
    </row>
    <row r="1761" spans="1:6" x14ac:dyDescent="0.15">
      <c r="A1761" s="1">
        <v>40687</v>
      </c>
      <c r="B1761" t="s">
        <v>363</v>
      </c>
      <c r="C1761" t="s">
        <v>856</v>
      </c>
      <c r="D1761" t="s">
        <v>408</v>
      </c>
      <c r="E1761" s="4" t="str">
        <f>HYPERLINK("http://snap.windin.com/ns/bulletin.php?id=475862&amp;type=1", "科大智能:首次公开发行股票并在创业板上市之上市公告书")</f>
        <v>科大智能:首次公开发行股票并在创业板上市之上市公告书</v>
      </c>
      <c r="F1761" t="s">
        <v>2643</v>
      </c>
    </row>
    <row r="1762" spans="1:6" x14ac:dyDescent="0.15">
      <c r="A1762" s="1">
        <v>40687</v>
      </c>
      <c r="B1762" t="s">
        <v>363</v>
      </c>
      <c r="C1762" t="s">
        <v>856</v>
      </c>
      <c r="D1762" t="s">
        <v>410</v>
      </c>
      <c r="E1762" s="4" t="str">
        <f>HYPERLINK("http://snap.windin.com/ns/bulletin.php?id=1696198&amp;type=1", "科大智能:首次公开发行股票并在创业板上市之上市公告书提示性公告")</f>
        <v>科大智能:首次公开发行股票并在创业板上市之上市公告书提示性公告</v>
      </c>
      <c r="F1762" t="s">
        <v>2644</v>
      </c>
    </row>
    <row r="1763" spans="1:6" x14ac:dyDescent="0.15">
      <c r="A1763" s="1">
        <v>40687</v>
      </c>
      <c r="B1763" t="s">
        <v>362</v>
      </c>
      <c r="C1763" t="s">
        <v>855</v>
      </c>
      <c r="D1763" t="s">
        <v>407</v>
      </c>
      <c r="E1763" s="4" t="str">
        <f>HYPERLINK("http://snap.windin.com/ns/bulletin.php?id=1697633&amp;type=1", "银禧科技:首次公开发行股票并在创业板上市公告书提示性公告")</f>
        <v>银禧科技:首次公开发行股票并在创业板上市公告书提示性公告</v>
      </c>
      <c r="F1763" t="s">
        <v>2645</v>
      </c>
    </row>
    <row r="1764" spans="1:6" x14ac:dyDescent="0.15">
      <c r="A1764" s="1">
        <v>40687</v>
      </c>
      <c r="B1764" t="s">
        <v>362</v>
      </c>
      <c r="C1764" t="s">
        <v>855</v>
      </c>
      <c r="D1764" t="s">
        <v>412</v>
      </c>
      <c r="E1764" s="4" t="str">
        <f>HYPERLINK("http://snap.windin.com/ns/bulletin.php?id=1145216&amp;type=1", "银禧科技:首次公开发行股票并在创业板上市上市公告书")</f>
        <v>银禧科技:首次公开发行股票并在创业板上市上市公告书</v>
      </c>
      <c r="F1764" t="s">
        <v>2646</v>
      </c>
    </row>
    <row r="1765" spans="1:6" x14ac:dyDescent="0.15">
      <c r="A1765" s="1">
        <v>40687</v>
      </c>
      <c r="B1765" t="s">
        <v>361</v>
      </c>
      <c r="C1765" t="s">
        <v>854</v>
      </c>
      <c r="D1765" t="s">
        <v>412</v>
      </c>
      <c r="E1765" s="4" t="str">
        <f>HYPERLINK("http://snap.windin.com/ns/bulletin.php?id=2020445&amp;type=1", "金运激光:首次公开发行股票并在创业板上市上市公告书")</f>
        <v>金运激光:首次公开发行股票并在创业板上市上市公告书</v>
      </c>
      <c r="F1765" t="s">
        <v>2647</v>
      </c>
    </row>
    <row r="1766" spans="1:6" x14ac:dyDescent="0.15">
      <c r="A1766" s="1">
        <v>40687</v>
      </c>
      <c r="B1766" t="s">
        <v>361</v>
      </c>
      <c r="C1766" t="s">
        <v>854</v>
      </c>
      <c r="D1766" t="s">
        <v>383</v>
      </c>
      <c r="E1766" s="4" t="str">
        <f>HYPERLINK("http://snap.windin.com/ns/bulletin.php?id=895006&amp;type=1", "金运激光:首次公开发行股票并在创业板上市上市公告书提示性公告")</f>
        <v>金运激光:首次公开发行股票并在创业板上市上市公告书提示性公告</v>
      </c>
      <c r="F1766" t="s">
        <v>2648</v>
      </c>
    </row>
    <row r="1767" spans="1:6" x14ac:dyDescent="0.15">
      <c r="A1767" s="1">
        <v>40687</v>
      </c>
      <c r="B1767" t="s">
        <v>343</v>
      </c>
      <c r="C1767" t="s">
        <v>836</v>
      </c>
      <c r="D1767" t="s">
        <v>478</v>
      </c>
      <c r="E1767" s="4" t="str">
        <f>HYPERLINK("http://snap.windin.com/ns/bulletin.php?id=1501608&amp;type=1", "万安科技:首次公开发行股票并上市招股意向书")</f>
        <v>万安科技:首次公开发行股票并上市招股意向书</v>
      </c>
      <c r="F1767" t="s">
        <v>2649</v>
      </c>
    </row>
    <row r="1768" spans="1:6" x14ac:dyDescent="0.15">
      <c r="A1768" s="1">
        <v>40687</v>
      </c>
      <c r="B1768" t="s">
        <v>343</v>
      </c>
      <c r="C1768" t="s">
        <v>836</v>
      </c>
      <c r="D1768" t="s">
        <v>477</v>
      </c>
      <c r="E1768" s="4" t="str">
        <f>HYPERLINK("http://snap.windin.com/ns/bulletin.php?id=633778&amp;type=1", "万安科技:首次公开发行股票并上市招股意向书摘要")</f>
        <v>万安科技:首次公开发行股票并上市招股意向书摘要</v>
      </c>
      <c r="F1768" t="s">
        <v>2650</v>
      </c>
    </row>
    <row r="1769" spans="1:6" x14ac:dyDescent="0.15">
      <c r="A1769" s="1">
        <v>40687</v>
      </c>
      <c r="B1769" t="s">
        <v>345</v>
      </c>
      <c r="C1769" t="s">
        <v>838</v>
      </c>
      <c r="D1769" t="s">
        <v>465</v>
      </c>
      <c r="E1769" s="4" t="str">
        <f>HYPERLINK("http://snap.windin.com/ns/bulletin.php?id=1845554&amp;type=1", "瑞康医药:首次公开发行股票招股意向书")</f>
        <v>瑞康医药:首次公开发行股票招股意向书</v>
      </c>
      <c r="F1769" t="s">
        <v>2651</v>
      </c>
    </row>
    <row r="1770" spans="1:6" x14ac:dyDescent="0.15">
      <c r="A1770" s="1">
        <v>40687</v>
      </c>
      <c r="B1770" t="s">
        <v>345</v>
      </c>
      <c r="C1770" t="s">
        <v>838</v>
      </c>
      <c r="D1770" t="s">
        <v>466</v>
      </c>
      <c r="E1770" s="4" t="str">
        <f>HYPERLINK("http://snap.windin.com/ns/bulletin.php?id=659662&amp;type=1", "瑞康医药:首次公开发行股票招股意向书摘要")</f>
        <v>瑞康医药:首次公开发行股票招股意向书摘要</v>
      </c>
      <c r="F1770" t="s">
        <v>2652</v>
      </c>
    </row>
    <row r="1771" spans="1:6" x14ac:dyDescent="0.15">
      <c r="A1771" s="1">
        <v>40687</v>
      </c>
      <c r="B1771" t="s">
        <v>346</v>
      </c>
      <c r="C1771" t="s">
        <v>839</v>
      </c>
      <c r="D1771" t="s">
        <v>465</v>
      </c>
      <c r="E1771" s="4" t="str">
        <f>HYPERLINK("http://snap.windin.com/ns/bulletin.php?id=18401412&amp;type=1", "史丹利:首次公开发行股票招股意向书")</f>
        <v>史丹利:首次公开发行股票招股意向书</v>
      </c>
      <c r="F1771" t="s">
        <v>2653</v>
      </c>
    </row>
    <row r="1772" spans="1:6" x14ac:dyDescent="0.15">
      <c r="A1772" s="1">
        <v>40687</v>
      </c>
      <c r="B1772" t="s">
        <v>346</v>
      </c>
      <c r="C1772" t="s">
        <v>839</v>
      </c>
      <c r="D1772" t="s">
        <v>465</v>
      </c>
      <c r="E1772" s="4" t="str">
        <f>HYPERLINK("http://snap.windin.com/ns/bulletin.php?id=2004437&amp;type=1", "史丹利:首次公开发行股票招股意向书")</f>
        <v>史丹利:首次公开发行股票招股意向书</v>
      </c>
      <c r="F1772" t="s">
        <v>2654</v>
      </c>
    </row>
    <row r="1773" spans="1:6" x14ac:dyDescent="0.15">
      <c r="A1773" s="1">
        <v>40687</v>
      </c>
      <c r="B1773" t="s">
        <v>346</v>
      </c>
      <c r="C1773" t="s">
        <v>839</v>
      </c>
      <c r="D1773" t="s">
        <v>466</v>
      </c>
      <c r="E1773" s="4" t="str">
        <f>HYPERLINK("http://snap.windin.com/ns/bulletin.php?id=1250344&amp;type=1", "史丹利:首次公开发行股票招股意向书摘要")</f>
        <v>史丹利:首次公开发行股票招股意向书摘要</v>
      </c>
      <c r="F1773" t="s">
        <v>2655</v>
      </c>
    </row>
    <row r="1774" spans="1:6" x14ac:dyDescent="0.15">
      <c r="A1774" s="1">
        <v>40687</v>
      </c>
      <c r="B1774" t="s">
        <v>344</v>
      </c>
      <c r="C1774" t="s">
        <v>837</v>
      </c>
      <c r="D1774" t="s">
        <v>478</v>
      </c>
      <c r="E1774" s="4" t="str">
        <f>HYPERLINK("http://snap.windin.com/ns/bulletin.php?id=715322&amp;type=1", "奥拓电子:首次公开发行股票并上市招股意向书")</f>
        <v>奥拓电子:首次公开发行股票并上市招股意向书</v>
      </c>
      <c r="F1774" t="s">
        <v>2656</v>
      </c>
    </row>
    <row r="1775" spans="1:6" x14ac:dyDescent="0.15">
      <c r="A1775" s="1">
        <v>40687</v>
      </c>
      <c r="B1775" t="s">
        <v>344</v>
      </c>
      <c r="C1775" t="s">
        <v>837</v>
      </c>
      <c r="D1775" t="s">
        <v>477</v>
      </c>
      <c r="E1775" s="4" t="str">
        <f>HYPERLINK("http://snap.windin.com/ns/bulletin.php?id=894932&amp;type=1", "奥拓电子:首次公开发行股票并上市招股意向书摘要")</f>
        <v>奥拓电子:首次公开发行股票并上市招股意向书摘要</v>
      </c>
      <c r="F1775" t="s">
        <v>2657</v>
      </c>
    </row>
    <row r="1776" spans="1:6" x14ac:dyDescent="0.15">
      <c r="A1776" s="1">
        <v>40687</v>
      </c>
      <c r="B1776" t="s">
        <v>353</v>
      </c>
      <c r="C1776" t="s">
        <v>846</v>
      </c>
      <c r="D1776" t="s">
        <v>399</v>
      </c>
      <c r="E1776" s="4" t="str">
        <f>HYPERLINK("http://snap.windin.com/ns/bulletin.php?id=1150739&amp;type=1", "围海股份:首次公开发行股票招股说明书")</f>
        <v>围海股份:首次公开发行股票招股说明书</v>
      </c>
      <c r="F1776" t="s">
        <v>2658</v>
      </c>
    </row>
    <row r="1777" spans="1:6" x14ac:dyDescent="0.15">
      <c r="A1777" s="1">
        <v>40687</v>
      </c>
      <c r="B1777" t="s">
        <v>353</v>
      </c>
      <c r="C1777" t="s">
        <v>846</v>
      </c>
      <c r="D1777" t="s">
        <v>400</v>
      </c>
      <c r="E1777" s="4" t="str">
        <f>HYPERLINK("http://snap.windin.com/ns/bulletin.php?id=1709824&amp;type=1", "围海股份:首次公开发行股票招股说明书摘要")</f>
        <v>围海股份:首次公开发行股票招股说明书摘要</v>
      </c>
      <c r="F1777" t="s">
        <v>2659</v>
      </c>
    </row>
    <row r="1778" spans="1:6" x14ac:dyDescent="0.15">
      <c r="A1778" s="1">
        <v>40687</v>
      </c>
      <c r="B1778" t="s">
        <v>354</v>
      </c>
      <c r="C1778" t="s">
        <v>847</v>
      </c>
      <c r="D1778" t="s">
        <v>399</v>
      </c>
      <c r="E1778" s="4" t="str">
        <f>HYPERLINK("http://snap.windin.com/ns/bulletin.php?id=1014932&amp;type=1", "双星新材:首次公开发行股票招股说明书")</f>
        <v>双星新材:首次公开发行股票招股说明书</v>
      </c>
      <c r="F1778" t="s">
        <v>2660</v>
      </c>
    </row>
    <row r="1779" spans="1:6" x14ac:dyDescent="0.15">
      <c r="A1779" s="1">
        <v>40687</v>
      </c>
      <c r="B1779" t="s">
        <v>354</v>
      </c>
      <c r="C1779" t="s">
        <v>847</v>
      </c>
      <c r="D1779" t="s">
        <v>400</v>
      </c>
      <c r="E1779" s="4" t="str">
        <f>HYPERLINK("http://snap.windin.com/ns/bulletin.php?id=946296&amp;type=1", "双星新材:首次公开发行股票招股说明书摘要")</f>
        <v>双星新材:首次公开发行股票招股说明书摘要</v>
      </c>
      <c r="F1779" t="s">
        <v>2661</v>
      </c>
    </row>
    <row r="1780" spans="1:6" x14ac:dyDescent="0.15">
      <c r="A1780" s="1">
        <v>40687</v>
      </c>
      <c r="B1780" t="s">
        <v>351</v>
      </c>
      <c r="C1780" t="s">
        <v>844</v>
      </c>
      <c r="D1780" t="s">
        <v>399</v>
      </c>
      <c r="E1780" s="4" t="str">
        <f>HYPERLINK("http://snap.windin.com/ns/bulletin.php?id=1842695&amp;type=1", "西陇化工:首次公开发行股票招股说明书")</f>
        <v>西陇化工:首次公开发行股票招股说明书</v>
      </c>
      <c r="F1780" t="s">
        <v>2662</v>
      </c>
    </row>
    <row r="1781" spans="1:6" x14ac:dyDescent="0.15">
      <c r="A1781" s="1">
        <v>40687</v>
      </c>
      <c r="B1781" t="s">
        <v>351</v>
      </c>
      <c r="C1781" t="s">
        <v>844</v>
      </c>
      <c r="D1781" t="s">
        <v>400</v>
      </c>
      <c r="E1781" s="4" t="str">
        <f>HYPERLINK("http://snap.windin.com/ns/bulletin.php?id=1087719&amp;type=1", "西陇化工:首次公开发行股票招股说明书摘要")</f>
        <v>西陇化工:首次公开发行股票招股说明书摘要</v>
      </c>
      <c r="F1781" t="s">
        <v>2663</v>
      </c>
    </row>
    <row r="1782" spans="1:6" x14ac:dyDescent="0.15">
      <c r="A1782" s="1">
        <v>40683</v>
      </c>
      <c r="B1782" t="s">
        <v>348</v>
      </c>
      <c r="C1782" t="s">
        <v>841</v>
      </c>
      <c r="D1782" t="s">
        <v>471</v>
      </c>
      <c r="E1782" s="4" t="str">
        <f>HYPERLINK("http://snap.windin.com/ns/bulletin.php?id=18993544&amp;type=1", "富瑞特装:首次公开发行股票并在创业板上市招股意向书")</f>
        <v>富瑞特装:首次公开发行股票并在创业板上市招股意向书</v>
      </c>
      <c r="F1782" t="s">
        <v>2664</v>
      </c>
    </row>
    <row r="1783" spans="1:6" x14ac:dyDescent="0.15">
      <c r="A1783" s="1">
        <v>40683</v>
      </c>
      <c r="B1783" t="s">
        <v>348</v>
      </c>
      <c r="C1783" t="s">
        <v>841</v>
      </c>
      <c r="D1783" t="s">
        <v>471</v>
      </c>
      <c r="E1783" s="4" t="str">
        <f>HYPERLINK("http://snap.windin.com/ns/bulletin.php?id=1496092&amp;type=1", "富瑞特装:首次公开发行股票并在创业板上市招股意向书")</f>
        <v>富瑞特装:首次公开发行股票并在创业板上市招股意向书</v>
      </c>
      <c r="F1783" t="s">
        <v>2665</v>
      </c>
    </row>
    <row r="1784" spans="1:6" x14ac:dyDescent="0.15">
      <c r="A1784" s="1">
        <v>40683</v>
      </c>
      <c r="B1784" t="s">
        <v>347</v>
      </c>
      <c r="C1784" t="s">
        <v>840</v>
      </c>
      <c r="D1784" t="s">
        <v>471</v>
      </c>
      <c r="E1784" s="4" t="str">
        <f>HYPERLINK("http://snap.windin.com/ns/bulletin.php?id=19387662&amp;type=1", "光韵达:首次公开发行股票并在创业板上市招股意向书")</f>
        <v>光韵达:首次公开发行股票并在创业板上市招股意向书</v>
      </c>
      <c r="F1784" t="s">
        <v>2666</v>
      </c>
    </row>
    <row r="1785" spans="1:6" x14ac:dyDescent="0.15">
      <c r="A1785" s="1">
        <v>40683</v>
      </c>
      <c r="B1785" t="s">
        <v>347</v>
      </c>
      <c r="C1785" t="s">
        <v>840</v>
      </c>
      <c r="D1785" t="s">
        <v>471</v>
      </c>
      <c r="E1785" s="4" t="str">
        <f>HYPERLINK("http://snap.windin.com/ns/bulletin.php?id=1804896&amp;type=1", "光韵达:首次公开发行股票并在创业板上市招股意向书")</f>
        <v>光韵达:首次公开发行股票并在创业板上市招股意向书</v>
      </c>
      <c r="F1785" t="s">
        <v>2667</v>
      </c>
    </row>
    <row r="1786" spans="1:6" x14ac:dyDescent="0.15">
      <c r="A1786" s="1">
        <v>40683</v>
      </c>
      <c r="B1786" t="s">
        <v>349</v>
      </c>
      <c r="C1786" t="s">
        <v>842</v>
      </c>
      <c r="D1786" t="s">
        <v>471</v>
      </c>
      <c r="E1786" s="4" t="str">
        <f>HYPERLINK("http://snap.windin.com/ns/bulletin.php?id=18913844&amp;type=1", "上海钢联:首次公开发行股票并在创业板上市招股意向书")</f>
        <v>上海钢联:首次公开发行股票并在创业板上市招股意向书</v>
      </c>
      <c r="F1786" t="s">
        <v>2668</v>
      </c>
    </row>
    <row r="1787" spans="1:6" x14ac:dyDescent="0.15">
      <c r="A1787" s="1">
        <v>40683</v>
      </c>
      <c r="B1787" t="s">
        <v>349</v>
      </c>
      <c r="C1787" t="s">
        <v>842</v>
      </c>
      <c r="D1787" t="s">
        <v>471</v>
      </c>
      <c r="E1787" s="4" t="str">
        <f>HYPERLINK("http://snap.windin.com/ns/bulletin.php?id=558255&amp;type=1", "上海钢联:首次公开发行股票并在创业板上市招股意向书")</f>
        <v>上海钢联:首次公开发行股票并在创业板上市招股意向书</v>
      </c>
      <c r="F1787" t="s">
        <v>2669</v>
      </c>
    </row>
    <row r="1788" spans="1:6" x14ac:dyDescent="0.15">
      <c r="A1788" s="1">
        <v>40683</v>
      </c>
      <c r="B1788" t="s">
        <v>355</v>
      </c>
      <c r="C1788" t="s">
        <v>848</v>
      </c>
      <c r="D1788" t="s">
        <v>455</v>
      </c>
      <c r="E1788" s="4" t="str">
        <f>HYPERLINK("http://snap.windin.com/ns/bulletin.php?id=791183&amp;type=1", "金力泰:首次公开发行股票并在创业板上市招股说明书")</f>
        <v>金力泰:首次公开发行股票并在创业板上市招股说明书</v>
      </c>
      <c r="F1788" t="s">
        <v>2670</v>
      </c>
    </row>
    <row r="1789" spans="1:6" x14ac:dyDescent="0.15">
      <c r="A1789" s="1">
        <v>40683</v>
      </c>
      <c r="B1789" t="s">
        <v>357</v>
      </c>
      <c r="C1789" t="s">
        <v>850</v>
      </c>
      <c r="D1789" t="s">
        <v>455</v>
      </c>
      <c r="E1789" s="4" t="str">
        <f>HYPERLINK("http://snap.windin.com/ns/bulletin.php?id=987096&amp;type=1", "正海磁材:首次公开发行股票并在创业板上市招股说明书")</f>
        <v>正海磁材:首次公开发行股票并在创业板上市招股说明书</v>
      </c>
      <c r="F1789" t="s">
        <v>2671</v>
      </c>
    </row>
    <row r="1790" spans="1:6" x14ac:dyDescent="0.15">
      <c r="A1790" s="1">
        <v>40683</v>
      </c>
      <c r="B1790" t="s">
        <v>356</v>
      </c>
      <c r="C1790" t="s">
        <v>849</v>
      </c>
      <c r="D1790" t="s">
        <v>455</v>
      </c>
      <c r="E1790" s="4" t="str">
        <f>HYPERLINK("http://snap.windin.com/ns/bulletin.php?id=1423047&amp;type=1", "北京君正:首次公开发行股票并在创业板上市招股说明书")</f>
        <v>北京君正:首次公开发行股票并在创业板上市招股说明书</v>
      </c>
      <c r="F1790" t="s">
        <v>2672</v>
      </c>
    </row>
    <row r="1791" spans="1:6" x14ac:dyDescent="0.15">
      <c r="A1791" s="1">
        <v>40682</v>
      </c>
      <c r="B1791" t="s">
        <v>364</v>
      </c>
      <c r="C1791" t="s">
        <v>857</v>
      </c>
      <c r="D1791" t="s">
        <v>402</v>
      </c>
      <c r="E1791" s="4" t="str">
        <f>HYPERLINK("http://snap.windin.com/ns/bulletin.php?id=227916&amp;type=1", "东材科技:首次公开发行A股股票上市公告书")</f>
        <v>东材科技:首次公开发行A股股票上市公告书</v>
      </c>
      <c r="F1791" t="s">
        <v>2673</v>
      </c>
    </row>
    <row r="1792" spans="1:6" x14ac:dyDescent="0.15">
      <c r="A1792" s="1">
        <v>40682</v>
      </c>
      <c r="B1792" t="s">
        <v>364</v>
      </c>
      <c r="C1792" t="s">
        <v>857</v>
      </c>
      <c r="D1792" t="s">
        <v>399</v>
      </c>
      <c r="E1792" s="4" t="str">
        <f>HYPERLINK("http://snap.windin.com/ns/bulletin.php?id=1439461&amp;type=1", "东材科技:首次公开发行股票招股说明书")</f>
        <v>东材科技:首次公开发行股票招股说明书</v>
      </c>
      <c r="F1792" t="s">
        <v>2674</v>
      </c>
    </row>
    <row r="1793" spans="1:6" x14ac:dyDescent="0.15">
      <c r="A1793" s="1">
        <v>40682</v>
      </c>
      <c r="B1793" t="s">
        <v>365</v>
      </c>
      <c r="C1793" t="s">
        <v>858</v>
      </c>
      <c r="D1793" t="s">
        <v>389</v>
      </c>
      <c r="E1793" s="4" t="str">
        <f>HYPERLINK("http://snap.windin.com/ns/bulletin.php?id=787441&amp;type=1", "好想你:首次公开发行股票上市公告书")</f>
        <v>好想你:首次公开发行股票上市公告书</v>
      </c>
      <c r="F1793" t="s">
        <v>2675</v>
      </c>
    </row>
    <row r="1794" spans="1:6" x14ac:dyDescent="0.15">
      <c r="A1794" s="1">
        <v>40682</v>
      </c>
      <c r="B1794" t="s">
        <v>366</v>
      </c>
      <c r="C1794" t="s">
        <v>859</v>
      </c>
      <c r="D1794" t="s">
        <v>389</v>
      </c>
      <c r="E1794" s="4" t="str">
        <f>HYPERLINK("http://snap.windin.com/ns/bulletin.php?id=573339&amp;type=1", "万昌科技:首次公开发行股票上市公告书")</f>
        <v>万昌科技:首次公开发行股票上市公告书</v>
      </c>
      <c r="F1794" t="s">
        <v>2676</v>
      </c>
    </row>
    <row r="1795" spans="1:6" x14ac:dyDescent="0.15">
      <c r="A1795" s="1">
        <v>40680</v>
      </c>
      <c r="B1795" t="s">
        <v>352</v>
      </c>
      <c r="C1795" t="s">
        <v>845</v>
      </c>
      <c r="D1795" t="s">
        <v>465</v>
      </c>
      <c r="E1795" s="4" t="str">
        <f>HYPERLINK("http://snap.windin.com/ns/bulletin.php?id=1346829&amp;type=1", "骆驼股份:首次公开发行股票招股意向书")</f>
        <v>骆驼股份:首次公开发行股票招股意向书</v>
      </c>
      <c r="F1795" t="s">
        <v>2677</v>
      </c>
    </row>
    <row r="1796" spans="1:6" x14ac:dyDescent="0.15">
      <c r="A1796" s="1">
        <v>40680</v>
      </c>
      <c r="B1796" t="s">
        <v>352</v>
      </c>
      <c r="C1796" t="s">
        <v>845</v>
      </c>
      <c r="D1796" t="s">
        <v>522</v>
      </c>
      <c r="E1796" s="4" t="str">
        <f>HYPERLINK("http://snap.windin.com/ns/bulletin.php?id=1005781&amp;type=1", "骆驼股份:首次公开发行股票招股意向书附录二")</f>
        <v>骆驼股份:首次公开发行股票招股意向书附录二</v>
      </c>
      <c r="F1796" t="s">
        <v>2678</v>
      </c>
    </row>
    <row r="1797" spans="1:6" x14ac:dyDescent="0.15">
      <c r="A1797" s="1">
        <v>40680</v>
      </c>
      <c r="B1797" t="s">
        <v>352</v>
      </c>
      <c r="C1797" t="s">
        <v>845</v>
      </c>
      <c r="D1797" t="s">
        <v>521</v>
      </c>
      <c r="E1797" s="4" t="str">
        <f>HYPERLINK("http://snap.windin.com/ns/bulletin.php?id=1854296&amp;type=1", "骆驼股份:首次公开发行股票招股意向书附录三")</f>
        <v>骆驼股份:首次公开发行股票招股意向书附录三</v>
      </c>
      <c r="F1797" t="s">
        <v>2679</v>
      </c>
    </row>
    <row r="1798" spans="1:6" x14ac:dyDescent="0.15">
      <c r="A1798" s="1">
        <v>40680</v>
      </c>
      <c r="B1798" t="s">
        <v>352</v>
      </c>
      <c r="C1798" t="s">
        <v>845</v>
      </c>
      <c r="D1798" t="s">
        <v>520</v>
      </c>
      <c r="E1798" s="4" t="str">
        <f>HYPERLINK("http://snap.windin.com/ns/bulletin.php?id=579740&amp;type=1", "骆驼股份:首次公开发行股票招股意向书附录一")</f>
        <v>骆驼股份:首次公开发行股票招股意向书附录一</v>
      </c>
      <c r="F1798" t="s">
        <v>2680</v>
      </c>
    </row>
    <row r="1799" spans="1:6" x14ac:dyDescent="0.15">
      <c r="A1799" s="1">
        <v>40680</v>
      </c>
      <c r="B1799" t="s">
        <v>352</v>
      </c>
      <c r="C1799" t="s">
        <v>845</v>
      </c>
      <c r="D1799" t="s">
        <v>466</v>
      </c>
      <c r="E1799" s="4" t="str">
        <f>HYPERLINK("http://snap.windin.com/ns/bulletin.php?id=1889919&amp;type=1", "骆驼股份:首次公开发行股票招股意向书摘要")</f>
        <v>骆驼股份:首次公开发行股票招股意向书摘要</v>
      </c>
      <c r="F1799" t="s">
        <v>2681</v>
      </c>
    </row>
    <row r="1800" spans="1:6" x14ac:dyDescent="0.15">
      <c r="A1800" s="1">
        <v>40680</v>
      </c>
      <c r="B1800" t="s">
        <v>369</v>
      </c>
      <c r="C1800" t="s">
        <v>864</v>
      </c>
      <c r="D1800" t="s">
        <v>867</v>
      </c>
      <c r="E1800" s="4" t="str">
        <f>HYPERLINK("http://snap.windin.com/ns/bulletin.php?id=184827&amp;type=1", "桐昆股份:首次公告发行股票并上市招股说明书")</f>
        <v>桐昆股份:首次公告发行股票并上市招股说明书</v>
      </c>
      <c r="F1800" t="s">
        <v>2682</v>
      </c>
    </row>
    <row r="1801" spans="1:6" x14ac:dyDescent="0.15">
      <c r="A1801" s="1">
        <v>40680</v>
      </c>
      <c r="B1801" t="s">
        <v>369</v>
      </c>
      <c r="C1801" t="s">
        <v>864</v>
      </c>
      <c r="D1801" t="s">
        <v>402</v>
      </c>
      <c r="E1801" s="4" t="str">
        <f>HYPERLINK("http://snap.windin.com/ns/bulletin.php?id=1350421&amp;type=1", "桐昆股份:首次公开发行A股股票上市公告书")</f>
        <v>桐昆股份:首次公开发行A股股票上市公告书</v>
      </c>
      <c r="F1801" t="s">
        <v>2683</v>
      </c>
    </row>
    <row r="1802" spans="1:6" x14ac:dyDescent="0.15">
      <c r="A1802" s="1">
        <v>40680</v>
      </c>
      <c r="B1802" t="s">
        <v>350</v>
      </c>
      <c r="C1802" t="s">
        <v>843</v>
      </c>
      <c r="D1802" t="s">
        <v>865</v>
      </c>
      <c r="E1802" s="4" t="str">
        <f>HYPERLINK("http://snap.windin.com/ns/bulletin.php?id=1041827&amp;type=1", "文峰股份:文峰股份首次公开发行股票招股意向书")</f>
        <v>文峰股份:文峰股份首次公开发行股票招股意向书</v>
      </c>
      <c r="F1802" t="s">
        <v>2684</v>
      </c>
    </row>
    <row r="1803" spans="1:6" x14ac:dyDescent="0.15">
      <c r="A1803" s="1">
        <v>40680</v>
      </c>
      <c r="B1803" t="s">
        <v>350</v>
      </c>
      <c r="C1803" t="s">
        <v>843</v>
      </c>
      <c r="D1803" t="s">
        <v>861</v>
      </c>
      <c r="E1803" s="4" t="str">
        <f>HYPERLINK("http://snap.windin.com/ns/bulletin.php?id=1926715&amp;type=1", "文峰股份:文峰股份首次公开发行股票招股意向书（摘要）")</f>
        <v>文峰股份:文峰股份首次公开发行股票招股意向书（摘要）</v>
      </c>
      <c r="F1803" t="s">
        <v>2685</v>
      </c>
    </row>
    <row r="1804" spans="1:6" x14ac:dyDescent="0.15">
      <c r="A1804" s="1">
        <v>40680</v>
      </c>
      <c r="B1804" t="s">
        <v>350</v>
      </c>
      <c r="C1804" t="s">
        <v>843</v>
      </c>
      <c r="D1804" t="s">
        <v>863</v>
      </c>
      <c r="E1804" s="4" t="str">
        <f>HYPERLINK("http://snap.windin.com/ns/bulletin.php?id=1688957&amp;type=1", "文峰股份:文峰股份首次公开发行股票招股意向书附录")</f>
        <v>文峰股份:文峰股份首次公开发行股票招股意向书附录</v>
      </c>
      <c r="F1804" t="s">
        <v>2686</v>
      </c>
    </row>
    <row r="1805" spans="1:6" x14ac:dyDescent="0.15">
      <c r="A1805" s="1">
        <v>40680</v>
      </c>
      <c r="B1805" t="s">
        <v>370</v>
      </c>
      <c r="C1805" t="s">
        <v>866</v>
      </c>
      <c r="D1805" t="s">
        <v>417</v>
      </c>
      <c r="E1805" s="4" t="str">
        <f>HYPERLINK("http://snap.windin.com/ns/bulletin.php?id=480083&amp;type=1", "鸿利光电:首次公开发行股票并在创业板上市公告书")</f>
        <v>鸿利光电:首次公开发行股票并在创业板上市公告书</v>
      </c>
      <c r="F1805" t="s">
        <v>2687</v>
      </c>
    </row>
    <row r="1806" spans="1:6" x14ac:dyDescent="0.15">
      <c r="A1806" s="1">
        <v>40680</v>
      </c>
      <c r="B1806" t="s">
        <v>370</v>
      </c>
      <c r="C1806" t="s">
        <v>866</v>
      </c>
      <c r="D1806" t="s">
        <v>449</v>
      </c>
      <c r="E1806" s="4" t="str">
        <f>HYPERLINK("http://snap.windin.com/ns/bulletin.php?id=577431&amp;type=1", "鸿利光电:首次公开发行股票并在创业板上市上市公告书提示公告")</f>
        <v>鸿利光电:首次公开发行股票并在创业板上市上市公告书提示公告</v>
      </c>
      <c r="F1806" t="s">
        <v>2688</v>
      </c>
    </row>
    <row r="1807" spans="1:6" x14ac:dyDescent="0.15">
      <c r="A1807" s="1">
        <v>40680</v>
      </c>
      <c r="B1807" t="s">
        <v>367</v>
      </c>
      <c r="C1807" t="s">
        <v>860</v>
      </c>
      <c r="D1807" t="s">
        <v>417</v>
      </c>
      <c r="E1807" s="4" t="str">
        <f>HYPERLINK("http://snap.windin.com/ns/bulletin.php?id=2112024&amp;type=1", "安利股份:首次公开发行股票并在创业板上市公告书")</f>
        <v>安利股份:首次公开发行股票并在创业板上市公告书</v>
      </c>
      <c r="F1807" t="s">
        <v>2689</v>
      </c>
    </row>
    <row r="1808" spans="1:6" x14ac:dyDescent="0.15">
      <c r="A1808" s="1">
        <v>40680</v>
      </c>
      <c r="B1808" t="s">
        <v>367</v>
      </c>
      <c r="C1808" t="s">
        <v>860</v>
      </c>
      <c r="D1808" t="s">
        <v>407</v>
      </c>
      <c r="E1808" s="4" t="str">
        <f>HYPERLINK("http://snap.windin.com/ns/bulletin.php?id=897682&amp;type=1", "安利股份:首次公开发行股票并在创业板上市公告书提示性公告")</f>
        <v>安利股份:首次公开发行股票并在创业板上市公告书提示性公告</v>
      </c>
      <c r="F1808" t="s">
        <v>2690</v>
      </c>
    </row>
    <row r="1809" spans="1:6" x14ac:dyDescent="0.15">
      <c r="A1809" s="1">
        <v>40680</v>
      </c>
      <c r="B1809" t="s">
        <v>368</v>
      </c>
      <c r="C1809" t="s">
        <v>862</v>
      </c>
      <c r="D1809" t="s">
        <v>417</v>
      </c>
      <c r="E1809" s="4" t="str">
        <f>HYPERLINK("http://snap.windin.com/ns/bulletin.php?id=605180&amp;type=1", "东方电热:首次公开发行股票并在创业板上市公告书")</f>
        <v>东方电热:首次公开发行股票并在创业板上市公告书</v>
      </c>
      <c r="F1809" t="s">
        <v>2691</v>
      </c>
    </row>
    <row r="1810" spans="1:6" x14ac:dyDescent="0.15">
      <c r="A1810" s="1">
        <v>40680</v>
      </c>
      <c r="B1810" t="s">
        <v>368</v>
      </c>
      <c r="C1810" t="s">
        <v>862</v>
      </c>
      <c r="D1810" t="s">
        <v>407</v>
      </c>
      <c r="E1810" s="4" t="str">
        <f>HYPERLINK("http://snap.windin.com/ns/bulletin.php?id=1872668&amp;type=1", "东方电热:首次公开发行股票并在创业板上市公告书提示性公告")</f>
        <v>东方电热:首次公开发行股票并在创业板上市公告书提示性公告</v>
      </c>
      <c r="F1810" t="s">
        <v>2692</v>
      </c>
    </row>
    <row r="1811" spans="1:6" x14ac:dyDescent="0.15">
      <c r="A1811" s="1">
        <v>40680</v>
      </c>
      <c r="B1811" t="s">
        <v>353</v>
      </c>
      <c r="C1811" t="s">
        <v>846</v>
      </c>
      <c r="D1811" t="s">
        <v>465</v>
      </c>
      <c r="E1811" s="4" t="str">
        <f>HYPERLINK("http://snap.windin.com/ns/bulletin.php?id=18534648&amp;type=1", "围海股份:首次公开发行股票招股意向书")</f>
        <v>围海股份:首次公开发行股票招股意向书</v>
      </c>
      <c r="F1811" t="s">
        <v>2693</v>
      </c>
    </row>
    <row r="1812" spans="1:6" x14ac:dyDescent="0.15">
      <c r="A1812" s="1">
        <v>40680</v>
      </c>
      <c r="B1812" t="s">
        <v>353</v>
      </c>
      <c r="C1812" t="s">
        <v>846</v>
      </c>
      <c r="D1812" t="s">
        <v>465</v>
      </c>
      <c r="E1812" s="4" t="str">
        <f>HYPERLINK("http://snap.windin.com/ns/bulletin.php?id=1887277&amp;type=1", "围海股份:首次公开发行股票招股意向书")</f>
        <v>围海股份:首次公开发行股票招股意向书</v>
      </c>
      <c r="F1812" t="s">
        <v>2694</v>
      </c>
    </row>
    <row r="1813" spans="1:6" x14ac:dyDescent="0.15">
      <c r="A1813" s="1">
        <v>40680</v>
      </c>
      <c r="B1813" t="s">
        <v>353</v>
      </c>
      <c r="C1813" t="s">
        <v>846</v>
      </c>
      <c r="D1813" t="s">
        <v>466</v>
      </c>
      <c r="E1813" s="4" t="str">
        <f>HYPERLINK("http://snap.windin.com/ns/bulletin.php?id=882491&amp;type=1", "围海股份:首次公开发行股票招股意向书摘要")</f>
        <v>围海股份:首次公开发行股票招股意向书摘要</v>
      </c>
      <c r="F1813" t="s">
        <v>2695</v>
      </c>
    </row>
    <row r="1814" spans="1:6" x14ac:dyDescent="0.15">
      <c r="A1814" s="1">
        <v>40680</v>
      </c>
      <c r="B1814" t="s">
        <v>354</v>
      </c>
      <c r="C1814" t="s">
        <v>847</v>
      </c>
      <c r="D1814" t="s">
        <v>465</v>
      </c>
      <c r="E1814" s="4" t="str">
        <f>HYPERLINK("http://snap.windin.com/ns/bulletin.php?id=1088745&amp;type=1", "双星新材:首次公开发行股票招股意向书")</f>
        <v>双星新材:首次公开发行股票招股意向书</v>
      </c>
      <c r="F1814" t="s">
        <v>2696</v>
      </c>
    </row>
    <row r="1815" spans="1:6" x14ac:dyDescent="0.15">
      <c r="A1815" s="1">
        <v>40680</v>
      </c>
      <c r="B1815" t="s">
        <v>354</v>
      </c>
      <c r="C1815" t="s">
        <v>847</v>
      </c>
      <c r="D1815" t="s">
        <v>466</v>
      </c>
      <c r="E1815" s="4" t="str">
        <f>HYPERLINK("http://snap.windin.com/ns/bulletin.php?id=623858&amp;type=1", "双星新材:首次公开发行股票招股意向书摘要")</f>
        <v>双星新材:首次公开发行股票招股意向书摘要</v>
      </c>
      <c r="F1815" t="s">
        <v>2697</v>
      </c>
    </row>
    <row r="1816" spans="1:6" x14ac:dyDescent="0.15">
      <c r="A1816" s="1">
        <v>40680</v>
      </c>
      <c r="B1816" t="s">
        <v>351</v>
      </c>
      <c r="C1816" t="s">
        <v>844</v>
      </c>
      <c r="D1816" t="s">
        <v>465</v>
      </c>
      <c r="E1816" s="4" t="str">
        <f>HYPERLINK("http://snap.windin.com/ns/bulletin.php?id=651614&amp;type=1", "西陇化工:首次公开发行股票招股意向书")</f>
        <v>西陇化工:首次公开发行股票招股意向书</v>
      </c>
      <c r="F1816" t="s">
        <v>2698</v>
      </c>
    </row>
    <row r="1817" spans="1:6" x14ac:dyDescent="0.15">
      <c r="A1817" s="1">
        <v>40680</v>
      </c>
      <c r="B1817" t="s">
        <v>351</v>
      </c>
      <c r="C1817" t="s">
        <v>844</v>
      </c>
      <c r="D1817" t="s">
        <v>466</v>
      </c>
      <c r="E1817" s="4" t="str">
        <f>HYPERLINK("http://snap.windin.com/ns/bulletin.php?id=770312&amp;type=1", "西陇化工:首次公开发行股票招股意向书摘要")</f>
        <v>西陇化工:首次公开发行股票招股意向书摘要</v>
      </c>
      <c r="F1817" t="s">
        <v>2699</v>
      </c>
    </row>
    <row r="1818" spans="1:6" x14ac:dyDescent="0.15">
      <c r="A1818" s="1">
        <v>40680</v>
      </c>
      <c r="B1818" t="s">
        <v>360</v>
      </c>
      <c r="C1818" t="s">
        <v>853</v>
      </c>
      <c r="D1818" t="s">
        <v>399</v>
      </c>
      <c r="E1818" s="4" t="str">
        <f>HYPERLINK("http://snap.windin.com/ns/bulletin.php?id=894410&amp;type=1", "海能达:首次公开发行股票招股说明书")</f>
        <v>海能达:首次公开发行股票招股说明书</v>
      </c>
      <c r="F1818" t="s">
        <v>2700</v>
      </c>
    </row>
    <row r="1819" spans="1:6" x14ac:dyDescent="0.15">
      <c r="A1819" s="1">
        <v>40680</v>
      </c>
      <c r="B1819" t="s">
        <v>360</v>
      </c>
      <c r="C1819" t="s">
        <v>853</v>
      </c>
      <c r="D1819" t="s">
        <v>400</v>
      </c>
      <c r="E1819" s="4" t="str">
        <f>HYPERLINK("http://snap.windin.com/ns/bulletin.php?id=864381&amp;type=1", "海能达:首次公开发行股票招股说明书摘要")</f>
        <v>海能达:首次公开发行股票招股说明书摘要</v>
      </c>
      <c r="F1819" t="s">
        <v>2701</v>
      </c>
    </row>
    <row r="1820" spans="1:6" x14ac:dyDescent="0.15">
      <c r="A1820" s="1">
        <v>40676</v>
      </c>
      <c r="B1820" t="s">
        <v>355</v>
      </c>
      <c r="C1820" t="s">
        <v>848</v>
      </c>
      <c r="D1820" t="s">
        <v>471</v>
      </c>
      <c r="E1820" s="4" t="str">
        <f>HYPERLINK("http://snap.windin.com/ns/bulletin.php?id=19221742&amp;type=1", "金力泰:首次公开发行股票并在创业板上市招股意向书")</f>
        <v>金力泰:首次公开发行股票并在创业板上市招股意向书</v>
      </c>
      <c r="F1820" t="s">
        <v>2702</v>
      </c>
    </row>
    <row r="1821" spans="1:6" x14ac:dyDescent="0.15">
      <c r="A1821" s="1">
        <v>40676</v>
      </c>
      <c r="B1821" t="s">
        <v>355</v>
      </c>
      <c r="C1821" t="s">
        <v>848</v>
      </c>
      <c r="D1821" t="s">
        <v>471</v>
      </c>
      <c r="E1821" s="4" t="str">
        <f>HYPERLINK("http://snap.windin.com/ns/bulletin.php?id=696935&amp;type=1", "金力泰:首次公开发行股票并在创业板上市招股意向书")</f>
        <v>金力泰:首次公开发行股票并在创业板上市招股意向书</v>
      </c>
      <c r="F1821" t="s">
        <v>2703</v>
      </c>
    </row>
    <row r="1822" spans="1:6" x14ac:dyDescent="0.15">
      <c r="A1822" s="1">
        <v>40676</v>
      </c>
      <c r="B1822" t="s">
        <v>357</v>
      </c>
      <c r="C1822" t="s">
        <v>850</v>
      </c>
      <c r="D1822" t="s">
        <v>471</v>
      </c>
      <c r="E1822" s="4" t="str">
        <f>HYPERLINK("http://snap.windin.com/ns/bulletin.php?id=18534348&amp;type=1", "正海磁材:首次公开发行股票并在创业板上市招股意向书")</f>
        <v>正海磁材:首次公开发行股票并在创业板上市招股意向书</v>
      </c>
      <c r="F1822" t="s">
        <v>2704</v>
      </c>
    </row>
    <row r="1823" spans="1:6" x14ac:dyDescent="0.15">
      <c r="A1823" s="1">
        <v>40676</v>
      </c>
      <c r="B1823" t="s">
        <v>357</v>
      </c>
      <c r="C1823" t="s">
        <v>850</v>
      </c>
      <c r="D1823" t="s">
        <v>471</v>
      </c>
      <c r="E1823" s="4" t="str">
        <f>HYPERLINK("http://snap.windin.com/ns/bulletin.php?id=587612&amp;type=1", "正海磁材:首次公开发行股票并在创业板上市招股意向书")</f>
        <v>正海磁材:首次公开发行股票并在创业板上市招股意向书</v>
      </c>
      <c r="F1823" t="s">
        <v>2705</v>
      </c>
    </row>
    <row r="1824" spans="1:6" x14ac:dyDescent="0.15">
      <c r="A1824" s="1">
        <v>40676</v>
      </c>
      <c r="B1824" t="s">
        <v>356</v>
      </c>
      <c r="C1824" t="s">
        <v>849</v>
      </c>
      <c r="D1824" t="s">
        <v>471</v>
      </c>
      <c r="E1824" s="4" t="str">
        <f>HYPERLINK("http://snap.windin.com/ns/bulletin.php?id=18662508&amp;type=1", "北京君正:首次公开发行股票并在创业板上市招股意向书")</f>
        <v>北京君正:首次公开发行股票并在创业板上市招股意向书</v>
      </c>
      <c r="F1824" t="s">
        <v>2706</v>
      </c>
    </row>
    <row r="1825" spans="1:6" x14ac:dyDescent="0.15">
      <c r="A1825" s="1">
        <v>40676</v>
      </c>
      <c r="B1825" t="s">
        <v>356</v>
      </c>
      <c r="C1825" t="s">
        <v>849</v>
      </c>
      <c r="D1825" t="s">
        <v>471</v>
      </c>
      <c r="E1825" s="4" t="str">
        <f>HYPERLINK("http://snap.windin.com/ns/bulletin.php?id=200655&amp;type=1", "北京君正:首次公开发行股票并在创业板上市招股意向书")</f>
        <v>北京君正:首次公开发行股票并在创业板上市招股意向书</v>
      </c>
      <c r="F1825" t="s">
        <v>2707</v>
      </c>
    </row>
    <row r="1826" spans="1:6" x14ac:dyDescent="0.15">
      <c r="A1826" s="1">
        <v>40676</v>
      </c>
      <c r="B1826" t="s">
        <v>363</v>
      </c>
      <c r="C1826" t="s">
        <v>856</v>
      </c>
      <c r="D1826" t="s">
        <v>455</v>
      </c>
      <c r="E1826" s="4" t="str">
        <f>HYPERLINK("http://snap.windin.com/ns/bulletin.php?id=2009870&amp;type=1", "科大智能:首次公开发行股票并在创业板上市招股说明书")</f>
        <v>科大智能:首次公开发行股票并在创业板上市招股说明书</v>
      </c>
      <c r="F1826" t="s">
        <v>2708</v>
      </c>
    </row>
    <row r="1827" spans="1:6" x14ac:dyDescent="0.15">
      <c r="A1827" s="1">
        <v>40676</v>
      </c>
      <c r="B1827" t="s">
        <v>362</v>
      </c>
      <c r="C1827" t="s">
        <v>855</v>
      </c>
      <c r="D1827" t="s">
        <v>455</v>
      </c>
      <c r="E1827" s="4" t="str">
        <f>HYPERLINK("http://snap.windin.com/ns/bulletin.php?id=406138&amp;type=1", "银禧科技:首次公开发行股票并在创业板上市招股说明书")</f>
        <v>银禧科技:首次公开发行股票并在创业板上市招股说明书</v>
      </c>
      <c r="F1827" t="s">
        <v>2709</v>
      </c>
    </row>
    <row r="1828" spans="1:6" x14ac:dyDescent="0.15">
      <c r="A1828" s="1">
        <v>40676</v>
      </c>
      <c r="B1828" t="s">
        <v>361</v>
      </c>
      <c r="C1828" t="s">
        <v>854</v>
      </c>
      <c r="D1828" t="s">
        <v>455</v>
      </c>
      <c r="E1828" s="4" t="str">
        <f>HYPERLINK("http://snap.windin.com/ns/bulletin.php?id=546526&amp;type=1", "金运激光:首次公开发行股票并在创业板上市招股说明书")</f>
        <v>金运激光:首次公开发行股票并在创业板上市招股说明书</v>
      </c>
      <c r="F1828" t="s">
        <v>2710</v>
      </c>
    </row>
    <row r="1829" spans="1:6" x14ac:dyDescent="0.15">
      <c r="A1829" s="1">
        <v>40674</v>
      </c>
      <c r="B1829" t="s">
        <v>365</v>
      </c>
      <c r="C1829" t="s">
        <v>858</v>
      </c>
      <c r="D1829" t="s">
        <v>399</v>
      </c>
      <c r="E1829" s="4" t="str">
        <f>HYPERLINK("http://snap.windin.com/ns/bulletin.php?id=989626&amp;type=1", "好想你:首次公开发行股票招股说明书")</f>
        <v>好想你:首次公开发行股票招股说明书</v>
      </c>
      <c r="F1829" t="s">
        <v>2711</v>
      </c>
    </row>
    <row r="1830" spans="1:6" x14ac:dyDescent="0.15">
      <c r="A1830" s="1">
        <v>40674</v>
      </c>
      <c r="B1830" t="s">
        <v>365</v>
      </c>
      <c r="C1830" t="s">
        <v>858</v>
      </c>
      <c r="D1830" t="s">
        <v>400</v>
      </c>
      <c r="E1830" s="4" t="str">
        <f>HYPERLINK("http://snap.windin.com/ns/bulletin.php?id=235186&amp;type=1", "好想你:首次公开发行股票招股说明书摘要")</f>
        <v>好想你:首次公开发行股票招股说明书摘要</v>
      </c>
      <c r="F1830" t="s">
        <v>2712</v>
      </c>
    </row>
    <row r="1831" spans="1:6" x14ac:dyDescent="0.15">
      <c r="A1831" s="1">
        <v>40673</v>
      </c>
      <c r="B1831" t="s">
        <v>359</v>
      </c>
      <c r="C1831" t="s">
        <v>852</v>
      </c>
      <c r="D1831" t="s">
        <v>465</v>
      </c>
      <c r="E1831" s="4" t="str">
        <f>HYPERLINK("http://snap.windin.com/ns/bulletin.php?id=920736&amp;type=1", "鹿港科技:首次公开发行股票招股意向书")</f>
        <v>鹿港科技:首次公开发行股票招股意向书</v>
      </c>
      <c r="F1831" t="s">
        <v>2713</v>
      </c>
    </row>
    <row r="1832" spans="1:6" x14ac:dyDescent="0.15">
      <c r="A1832" s="1">
        <v>40673</v>
      </c>
      <c r="B1832" t="s">
        <v>359</v>
      </c>
      <c r="C1832" t="s">
        <v>852</v>
      </c>
      <c r="D1832" t="s">
        <v>522</v>
      </c>
      <c r="E1832" s="4" t="str">
        <f>HYPERLINK("http://snap.windin.com/ns/bulletin.php?id=1159807&amp;type=1", "鹿港科技:首次公开发行股票招股意向书附录二")</f>
        <v>鹿港科技:首次公开发行股票招股意向书附录二</v>
      </c>
      <c r="F1832" t="s">
        <v>2714</v>
      </c>
    </row>
    <row r="1833" spans="1:6" x14ac:dyDescent="0.15">
      <c r="A1833" s="1">
        <v>40673</v>
      </c>
      <c r="B1833" t="s">
        <v>359</v>
      </c>
      <c r="C1833" t="s">
        <v>852</v>
      </c>
      <c r="D1833" t="s">
        <v>521</v>
      </c>
      <c r="E1833" s="4" t="str">
        <f>HYPERLINK("http://snap.windin.com/ns/bulletin.php?id=233562&amp;type=1", "鹿港科技:首次公开发行股票招股意向书附录三")</f>
        <v>鹿港科技:首次公开发行股票招股意向书附录三</v>
      </c>
      <c r="F1833" t="s">
        <v>2715</v>
      </c>
    </row>
    <row r="1834" spans="1:6" x14ac:dyDescent="0.15">
      <c r="A1834" s="1">
        <v>40673</v>
      </c>
      <c r="B1834" t="s">
        <v>359</v>
      </c>
      <c r="C1834" t="s">
        <v>852</v>
      </c>
      <c r="D1834" t="s">
        <v>520</v>
      </c>
      <c r="E1834" s="4" t="str">
        <f>HYPERLINK("http://snap.windin.com/ns/bulletin.php?id=928125&amp;type=1", "鹿港科技:首次公开发行股票招股意向书附录一")</f>
        <v>鹿港科技:首次公开发行股票招股意向书附录一</v>
      </c>
      <c r="F1834" t="s">
        <v>2716</v>
      </c>
    </row>
    <row r="1835" spans="1:6" x14ac:dyDescent="0.15">
      <c r="A1835" s="1">
        <v>40673</v>
      </c>
      <c r="B1835" t="s">
        <v>359</v>
      </c>
      <c r="C1835" t="s">
        <v>852</v>
      </c>
      <c r="D1835" t="s">
        <v>466</v>
      </c>
      <c r="E1835" s="4" t="str">
        <f>HYPERLINK("http://snap.windin.com/ns/bulletin.php?id=1839425&amp;type=1", "鹿港科技:首次公开发行股票招股意向书摘要")</f>
        <v>鹿港科技:首次公开发行股票招股意向书摘要</v>
      </c>
      <c r="F1835" t="s">
        <v>2717</v>
      </c>
    </row>
    <row r="1836" spans="1:6" x14ac:dyDescent="0.15">
      <c r="A1836" s="1">
        <v>40673</v>
      </c>
      <c r="B1836" t="s">
        <v>358</v>
      </c>
      <c r="C1836" t="s">
        <v>851</v>
      </c>
      <c r="D1836" t="s">
        <v>465</v>
      </c>
      <c r="E1836" s="4" t="str">
        <f>HYPERLINK("http://snap.windin.com/ns/bulletin.php?id=1393474&amp;type=1", "九牧王:首次公开发行股票招股意向书")</f>
        <v>九牧王:首次公开发行股票招股意向书</v>
      </c>
      <c r="F1836" t="s">
        <v>2718</v>
      </c>
    </row>
    <row r="1837" spans="1:6" x14ac:dyDescent="0.15">
      <c r="A1837" s="1">
        <v>40673</v>
      </c>
      <c r="B1837" t="s">
        <v>358</v>
      </c>
      <c r="C1837" t="s">
        <v>851</v>
      </c>
      <c r="D1837" t="s">
        <v>467</v>
      </c>
      <c r="E1837" s="4" t="str">
        <f>HYPERLINK("http://snap.windin.com/ns/bulletin.php?id=1954106&amp;type=1", "九牧王:首次公开发行股票招股意向书附录")</f>
        <v>九牧王:首次公开发行股票招股意向书附录</v>
      </c>
      <c r="F1837" t="s">
        <v>2719</v>
      </c>
    </row>
    <row r="1838" spans="1:6" x14ac:dyDescent="0.15">
      <c r="A1838" s="1">
        <v>40673</v>
      </c>
      <c r="B1838" t="s">
        <v>358</v>
      </c>
      <c r="C1838" t="s">
        <v>851</v>
      </c>
      <c r="D1838" t="s">
        <v>466</v>
      </c>
      <c r="E1838" s="4" t="str">
        <f>HYPERLINK("http://snap.windin.com/ns/bulletin.php?id=1291371&amp;type=1", "九牧王:首次公开发行股票招股意向书摘要")</f>
        <v>九牧王:首次公开发行股票招股意向书摘要</v>
      </c>
      <c r="F1838" t="s">
        <v>2720</v>
      </c>
    </row>
    <row r="1839" spans="1:6" x14ac:dyDescent="0.15">
      <c r="A1839" s="1">
        <v>40673</v>
      </c>
      <c r="B1839" t="s">
        <v>373</v>
      </c>
      <c r="C1839" t="s">
        <v>870</v>
      </c>
      <c r="D1839" t="s">
        <v>407</v>
      </c>
      <c r="E1839" s="4" t="str">
        <f>HYPERLINK("http://snap.windin.com/ns/bulletin.php?id=465006&amp;type=1", "千山药机:首次公开发行股票并在创业板上市公告书提示性公告")</f>
        <v>千山药机:首次公开发行股票并在创业板上市公告书提示性公告</v>
      </c>
      <c r="F1839" t="s">
        <v>2721</v>
      </c>
    </row>
    <row r="1840" spans="1:6" x14ac:dyDescent="0.15">
      <c r="A1840" s="1">
        <v>40673</v>
      </c>
      <c r="B1840" t="s">
        <v>373</v>
      </c>
      <c r="C1840" t="s">
        <v>870</v>
      </c>
      <c r="D1840" t="s">
        <v>412</v>
      </c>
      <c r="E1840" s="4" t="str">
        <f>HYPERLINK("http://snap.windin.com/ns/bulletin.php?id=1304821&amp;type=1", "千山药机:首次公开发行股票并在创业板上市上市公告书")</f>
        <v>千山药机:首次公开发行股票并在创业板上市上市公告书</v>
      </c>
      <c r="F1840" t="s">
        <v>2722</v>
      </c>
    </row>
    <row r="1841" spans="1:6" x14ac:dyDescent="0.15">
      <c r="A1841" s="1">
        <v>40673</v>
      </c>
      <c r="B1841" t="s">
        <v>371</v>
      </c>
      <c r="C1841" t="s">
        <v>868</v>
      </c>
      <c r="D1841" t="s">
        <v>417</v>
      </c>
      <c r="E1841" s="4" t="str">
        <f>HYPERLINK("http://snap.windin.com/ns/bulletin.php?id=2089637&amp;type=1", "电科院:首次公开发行股票并在创业板上市公告书")</f>
        <v>电科院:首次公开发行股票并在创业板上市公告书</v>
      </c>
      <c r="F1841" t="s">
        <v>2723</v>
      </c>
    </row>
    <row r="1842" spans="1:6" x14ac:dyDescent="0.15">
      <c r="A1842" s="1">
        <v>40673</v>
      </c>
      <c r="B1842" t="s">
        <v>371</v>
      </c>
      <c r="C1842" t="s">
        <v>868</v>
      </c>
      <c r="D1842" t="s">
        <v>407</v>
      </c>
      <c r="E1842" s="4" t="str">
        <f>HYPERLINK("http://snap.windin.com/ns/bulletin.php?id=1546958&amp;type=1", "电科院:首次公开发行股票并在创业板上市公告书提示性公告")</f>
        <v>电科院:首次公开发行股票并在创业板上市公告书提示性公告</v>
      </c>
      <c r="F1842" t="s">
        <v>2724</v>
      </c>
    </row>
    <row r="1843" spans="1:6" x14ac:dyDescent="0.15">
      <c r="A1843" s="1">
        <v>40673</v>
      </c>
      <c r="B1843" t="s">
        <v>372</v>
      </c>
      <c r="C1843" t="s">
        <v>869</v>
      </c>
      <c r="D1843" t="s">
        <v>408</v>
      </c>
      <c r="E1843" s="4" t="str">
        <f>HYPERLINK("http://snap.windin.com/ns/bulletin.php?id=1409751&amp;type=1", "日科化学:首次公开发行股票并在创业板上市之上市公告书")</f>
        <v>日科化学:首次公开发行股票并在创业板上市之上市公告书</v>
      </c>
      <c r="F1843" t="s">
        <v>2725</v>
      </c>
    </row>
    <row r="1844" spans="1:6" x14ac:dyDescent="0.15">
      <c r="A1844" s="1">
        <v>40673</v>
      </c>
      <c r="B1844" t="s">
        <v>372</v>
      </c>
      <c r="C1844" t="s">
        <v>869</v>
      </c>
      <c r="D1844" t="s">
        <v>410</v>
      </c>
      <c r="E1844" s="4" t="str">
        <f>HYPERLINK("http://snap.windin.com/ns/bulletin.php?id=224666&amp;type=1", "日科化学:首次公开发行股票并在创业板上市之上市公告书提示性公告")</f>
        <v>日科化学:首次公开发行股票并在创业板上市之上市公告书提示性公告</v>
      </c>
      <c r="F1844" t="s">
        <v>2726</v>
      </c>
    </row>
    <row r="1845" spans="1:6" x14ac:dyDescent="0.15">
      <c r="A1845" s="1">
        <v>40673</v>
      </c>
      <c r="B1845" t="s">
        <v>360</v>
      </c>
      <c r="C1845" t="s">
        <v>853</v>
      </c>
      <c r="D1845" t="s">
        <v>465</v>
      </c>
      <c r="E1845" s="4" t="str">
        <f>HYPERLINK("http://snap.windin.com/ns/bulletin.php?id=417129&amp;type=1", "海能达:首次公开发行股票招股意向书")</f>
        <v>海能达:首次公开发行股票招股意向书</v>
      </c>
      <c r="F1845" t="s">
        <v>2727</v>
      </c>
    </row>
    <row r="1846" spans="1:6" x14ac:dyDescent="0.15">
      <c r="A1846" s="1">
        <v>40673</v>
      </c>
      <c r="B1846" t="s">
        <v>360</v>
      </c>
      <c r="C1846" t="s">
        <v>853</v>
      </c>
      <c r="D1846" t="s">
        <v>466</v>
      </c>
      <c r="E1846" s="4" t="str">
        <f>HYPERLINK("http://snap.windin.com/ns/bulletin.php?id=548604&amp;type=1", "海能达:首次公开发行股票招股意向书摘要")</f>
        <v>海能达:首次公开发行股票招股意向书摘要</v>
      </c>
      <c r="F1846" t="s">
        <v>2728</v>
      </c>
    </row>
    <row r="1847" spans="1:6" x14ac:dyDescent="0.15">
      <c r="A1847" s="1">
        <v>40672</v>
      </c>
      <c r="B1847" t="s">
        <v>370</v>
      </c>
      <c r="C1847" t="s">
        <v>866</v>
      </c>
      <c r="D1847" t="s">
        <v>455</v>
      </c>
      <c r="E1847" s="4" t="str">
        <f>HYPERLINK("http://snap.windin.com/ns/bulletin.php?id=901500&amp;type=1", "鸿利光电:首次公开发行股票并在创业板上市招股说明书")</f>
        <v>鸿利光电:首次公开发行股票并在创业板上市招股说明书</v>
      </c>
      <c r="F1847" t="s">
        <v>2729</v>
      </c>
    </row>
    <row r="1848" spans="1:6" x14ac:dyDescent="0.15">
      <c r="A1848" s="1">
        <v>40672</v>
      </c>
      <c r="B1848" t="s">
        <v>367</v>
      </c>
      <c r="C1848" t="s">
        <v>860</v>
      </c>
      <c r="D1848" t="s">
        <v>455</v>
      </c>
      <c r="E1848" s="4" t="str">
        <f>HYPERLINK("http://snap.windin.com/ns/bulletin.php?id=1996398&amp;type=1", "安利股份:首次公开发行股票并在创业板上市招股说明书")</f>
        <v>安利股份:首次公开发行股票并在创业板上市招股说明书</v>
      </c>
      <c r="F1848" t="s">
        <v>2730</v>
      </c>
    </row>
    <row r="1849" spans="1:6" x14ac:dyDescent="0.15">
      <c r="A1849" s="1">
        <v>40672</v>
      </c>
      <c r="B1849" t="s">
        <v>368</v>
      </c>
      <c r="C1849" t="s">
        <v>862</v>
      </c>
      <c r="D1849" t="s">
        <v>455</v>
      </c>
      <c r="E1849" s="4" t="str">
        <f>HYPERLINK("http://snap.windin.com/ns/bulletin.php?id=1629037&amp;type=1", "东方电热:首次公开发行股票并在创业板上市招股说明书")</f>
        <v>东方电热:首次公开发行股票并在创业板上市招股说明书</v>
      </c>
      <c r="F1849" t="s">
        <v>2731</v>
      </c>
    </row>
    <row r="1850" spans="1:6" x14ac:dyDescent="0.15">
      <c r="A1850" s="1">
        <v>40669</v>
      </c>
      <c r="B1850" t="s">
        <v>375</v>
      </c>
      <c r="C1850" t="s">
        <v>872</v>
      </c>
      <c r="D1850" t="s">
        <v>873</v>
      </c>
      <c r="E1850" s="4" t="str">
        <f>HYPERLINK("http://snap.windin.com/ns/bulletin.php?id=803555&amp;type=1", "上海医药:关于刊发H股招股说明书、H股发行价格区间及H股香港公开发售等相关事宜的公告")</f>
        <v>上海医药:关于刊发H股招股说明书、H股发行价格区间及H股香港公开发售等相关事宜的公告</v>
      </c>
      <c r="F1850" t="s">
        <v>2732</v>
      </c>
    </row>
    <row r="1851" spans="1:6" x14ac:dyDescent="0.15">
      <c r="A1851" s="1">
        <v>40669</v>
      </c>
      <c r="B1851" t="s">
        <v>374</v>
      </c>
      <c r="C1851" t="s">
        <v>871</v>
      </c>
      <c r="D1851" t="s">
        <v>402</v>
      </c>
      <c r="E1851" s="4" t="str">
        <f>HYPERLINK("http://snap.windin.com/ns/bulletin.php?id=1973229&amp;type=1", "华鼎锦纶:首次公开发行A股股票上市公告书")</f>
        <v>华鼎锦纶:首次公开发行A股股票上市公告书</v>
      </c>
      <c r="F1851" t="s">
        <v>2733</v>
      </c>
    </row>
    <row r="1852" spans="1:6" x14ac:dyDescent="0.15">
      <c r="A1852" s="1">
        <v>40669</v>
      </c>
      <c r="B1852" t="s">
        <v>374</v>
      </c>
      <c r="C1852" t="s">
        <v>871</v>
      </c>
      <c r="D1852" t="s">
        <v>399</v>
      </c>
      <c r="E1852" s="4" t="str">
        <f>HYPERLINK("http://snap.windin.com/ns/bulletin.php?id=439291&amp;type=1", "华鼎锦纶:首次公开发行股票招股说明书")</f>
        <v>华鼎锦纶:首次公开发行股票招股说明书</v>
      </c>
      <c r="F1852" t="s">
        <v>2734</v>
      </c>
    </row>
    <row r="1853" spans="1:6" x14ac:dyDescent="0.15">
      <c r="A1853" s="1">
        <v>40669</v>
      </c>
      <c r="B1853" t="s">
        <v>363</v>
      </c>
      <c r="C1853" t="s">
        <v>856</v>
      </c>
      <c r="D1853" t="s">
        <v>471</v>
      </c>
      <c r="E1853" s="4" t="str">
        <f>HYPERLINK("http://snap.windin.com/ns/bulletin.php?id=752607&amp;type=1", "科大智能:首次公开发行股票并在创业板上市招股意向书")</f>
        <v>科大智能:首次公开发行股票并在创业板上市招股意向书</v>
      </c>
      <c r="F1853" t="s">
        <v>2735</v>
      </c>
    </row>
    <row r="1854" spans="1:6" x14ac:dyDescent="0.15">
      <c r="A1854" s="1">
        <v>40669</v>
      </c>
      <c r="B1854" t="s">
        <v>362</v>
      </c>
      <c r="C1854" t="s">
        <v>855</v>
      </c>
      <c r="D1854" t="s">
        <v>471</v>
      </c>
      <c r="E1854" s="4" t="str">
        <f>HYPERLINK("http://snap.windin.com/ns/bulletin.php?id=1010855&amp;type=1", "银禧科技:首次公开发行股票并在创业板上市招股意向书")</f>
        <v>银禧科技:首次公开发行股票并在创业板上市招股意向书</v>
      </c>
      <c r="F1854" t="s">
        <v>2736</v>
      </c>
    </row>
    <row r="1855" spans="1:6" x14ac:dyDescent="0.15">
      <c r="A1855" s="1">
        <v>40669</v>
      </c>
      <c r="B1855" t="s">
        <v>361</v>
      </c>
      <c r="C1855" t="s">
        <v>854</v>
      </c>
      <c r="D1855" t="s">
        <v>471</v>
      </c>
      <c r="E1855" s="4" t="str">
        <f>HYPERLINK("http://snap.windin.com/ns/bulletin.php?id=19448058&amp;type=1", "金运激光:首次公开发行股票并在创业板上市招股意向书")</f>
        <v>金运激光:首次公开发行股票并在创业板上市招股意向书</v>
      </c>
      <c r="F1855" t="s">
        <v>2737</v>
      </c>
    </row>
    <row r="1856" spans="1:6" x14ac:dyDescent="0.15">
      <c r="A1856" s="1">
        <v>40669</v>
      </c>
      <c r="B1856" t="s">
        <v>361</v>
      </c>
      <c r="C1856" t="s">
        <v>854</v>
      </c>
      <c r="D1856" t="s">
        <v>471</v>
      </c>
      <c r="E1856" s="4" t="str">
        <f>HYPERLINK("http://snap.windin.com/ns/bulletin.php?id=1344170&amp;type=1", "金运激光:首次公开发行股票并在创业板上市招股意向书")</f>
        <v>金运激光:首次公开发行股票并在创业板上市招股意向书</v>
      </c>
      <c r="F1856" t="s">
        <v>2738</v>
      </c>
    </row>
    <row r="1857" spans="1:6" x14ac:dyDescent="0.15">
      <c r="A1857" s="1">
        <v>40668</v>
      </c>
      <c r="B1857" t="s">
        <v>378</v>
      </c>
      <c r="C1857" t="s">
        <v>876</v>
      </c>
      <c r="D1857" t="s">
        <v>389</v>
      </c>
      <c r="E1857" s="4" t="str">
        <f>HYPERLINK("http://snap.windin.com/ns/bulletin.php?id=599801&amp;type=1", "吉鑫科技:首次公开发行股票上市公告书")</f>
        <v>吉鑫科技:首次公开发行股票上市公告书</v>
      </c>
      <c r="F1857" t="s">
        <v>2739</v>
      </c>
    </row>
    <row r="1858" spans="1:6" x14ac:dyDescent="0.15">
      <c r="A1858" s="1">
        <v>40668</v>
      </c>
      <c r="B1858" t="s">
        <v>378</v>
      </c>
      <c r="C1858" t="s">
        <v>876</v>
      </c>
      <c r="D1858" t="s">
        <v>399</v>
      </c>
      <c r="E1858" s="4" t="str">
        <f>HYPERLINK("http://snap.windin.com/ns/bulletin.php?id=1586262&amp;type=1", "吉鑫科技:首次公开发行股票招股说明书")</f>
        <v>吉鑫科技:首次公开发行股票招股说明书</v>
      </c>
      <c r="F1858" t="s">
        <v>2740</v>
      </c>
    </row>
    <row r="1859" spans="1:6" x14ac:dyDescent="0.15">
      <c r="A1859" s="1">
        <v>40668</v>
      </c>
      <c r="B1859" t="s">
        <v>376</v>
      </c>
      <c r="C1859" t="s">
        <v>874</v>
      </c>
      <c r="D1859" t="s">
        <v>389</v>
      </c>
      <c r="E1859" s="4" t="str">
        <f>HYPERLINK("http://snap.windin.com/ns/bulletin.php?id=1859080&amp;type=1", "圣阳股份:首次公开发行股票上市公告书")</f>
        <v>圣阳股份:首次公开发行股票上市公告书</v>
      </c>
      <c r="F1859" t="s">
        <v>2741</v>
      </c>
    </row>
    <row r="1860" spans="1:6" x14ac:dyDescent="0.15">
      <c r="A1860" s="1">
        <v>40668</v>
      </c>
      <c r="B1860" t="s">
        <v>377</v>
      </c>
      <c r="C1860" t="s">
        <v>875</v>
      </c>
      <c r="D1860" t="s">
        <v>389</v>
      </c>
      <c r="E1860" s="4" t="str">
        <f>HYPERLINK("http://snap.windin.com/ns/bulletin.php?id=1597808&amp;type=1", "中京电子:首次公开发行股票上市公告书")</f>
        <v>中京电子:首次公开发行股票上市公告书</v>
      </c>
      <c r="F1860" t="s">
        <v>2742</v>
      </c>
    </row>
    <row r="1861" spans="1:6" x14ac:dyDescent="0.15">
      <c r="A1861" s="1">
        <v>40667</v>
      </c>
      <c r="B1861" t="s">
        <v>364</v>
      </c>
      <c r="C1861" t="s">
        <v>857</v>
      </c>
      <c r="D1861" t="s">
        <v>465</v>
      </c>
      <c r="E1861" s="4" t="str">
        <f>HYPERLINK("http://snap.windin.com/ns/bulletin.php?id=2075745&amp;type=1", "东材科技:首次公开发行股票招股意向书")</f>
        <v>东材科技:首次公开发行股票招股意向书</v>
      </c>
      <c r="F1861" t="s">
        <v>2743</v>
      </c>
    </row>
    <row r="1862" spans="1:6" x14ac:dyDescent="0.15">
      <c r="A1862" s="1">
        <v>40667</v>
      </c>
      <c r="B1862" t="s">
        <v>364</v>
      </c>
      <c r="C1862" t="s">
        <v>857</v>
      </c>
      <c r="D1862" t="s">
        <v>467</v>
      </c>
      <c r="E1862" s="4" t="str">
        <f>HYPERLINK("http://snap.windin.com/ns/bulletin.php?id=1458223&amp;type=1", "东材科技:首次公开发行股票招股意向书附录")</f>
        <v>东材科技:首次公开发行股票招股意向书附录</v>
      </c>
      <c r="F1862" t="s">
        <v>2744</v>
      </c>
    </row>
    <row r="1863" spans="1:6" x14ac:dyDescent="0.15">
      <c r="A1863" s="1">
        <v>40667</v>
      </c>
      <c r="B1863" t="s">
        <v>364</v>
      </c>
      <c r="C1863" t="s">
        <v>857</v>
      </c>
      <c r="D1863" t="s">
        <v>466</v>
      </c>
      <c r="E1863" s="4" t="str">
        <f>HYPERLINK("http://snap.windin.com/ns/bulletin.php?id=1928308&amp;type=1", "东材科技:首次公开发行股票招股意向书摘要")</f>
        <v>东材科技:首次公开发行股票招股意向书摘要</v>
      </c>
      <c r="F1863" t="s">
        <v>2745</v>
      </c>
    </row>
    <row r="1864" spans="1:6" x14ac:dyDescent="0.15">
      <c r="A1864" s="1">
        <v>40667</v>
      </c>
      <c r="B1864" t="s">
        <v>379</v>
      </c>
      <c r="C1864" t="s">
        <v>877</v>
      </c>
      <c r="D1864" t="s">
        <v>407</v>
      </c>
      <c r="E1864" s="4" t="str">
        <f>HYPERLINK("http://snap.windin.com/ns/bulletin.php?id=2007314&amp;type=1", "佳讯飞鸿:首次公开发行股票并在创业板上市公告书提示性公告")</f>
        <v>佳讯飞鸿:首次公开发行股票并在创业板上市公告书提示性公告</v>
      </c>
      <c r="F1864" t="s">
        <v>2746</v>
      </c>
    </row>
    <row r="1865" spans="1:6" x14ac:dyDescent="0.15">
      <c r="A1865" s="1">
        <v>40667</v>
      </c>
      <c r="B1865" t="s">
        <v>379</v>
      </c>
      <c r="C1865" t="s">
        <v>877</v>
      </c>
      <c r="D1865" t="s">
        <v>412</v>
      </c>
      <c r="E1865" s="4" t="str">
        <f>HYPERLINK("http://snap.windin.com/ns/bulletin.php?id=202024&amp;type=1", "佳讯飞鸿:首次公开发行股票并在创业板上市上市公告书")</f>
        <v>佳讯飞鸿:首次公开发行股票并在创业板上市上市公告书</v>
      </c>
      <c r="F1865" t="s">
        <v>2747</v>
      </c>
    </row>
    <row r="1866" spans="1:6" x14ac:dyDescent="0.15">
      <c r="A1866" s="1">
        <v>40667</v>
      </c>
      <c r="B1866" t="s">
        <v>380</v>
      </c>
      <c r="C1866" t="s">
        <v>878</v>
      </c>
      <c r="D1866" t="s">
        <v>383</v>
      </c>
      <c r="E1866" s="4" t="str">
        <f>HYPERLINK("http://snap.windin.com/ns/bulletin.php?id=172818&amp;type=1", "易华录:首次公开发行股票并在创业板上市上市公告书提示性公告")</f>
        <v>易华录:首次公开发行股票并在创业板上市上市公告书提示性公告</v>
      </c>
      <c r="F1866" t="s">
        <v>2748</v>
      </c>
    </row>
    <row r="1867" spans="1:6" x14ac:dyDescent="0.15">
      <c r="A1867" s="1">
        <v>40667</v>
      </c>
      <c r="B1867" t="s">
        <v>380</v>
      </c>
      <c r="C1867" t="s">
        <v>878</v>
      </c>
      <c r="D1867" t="s">
        <v>408</v>
      </c>
      <c r="E1867" s="4" t="str">
        <f>HYPERLINK("http://snap.windin.com/ns/bulletin.php?id=1702797&amp;type=1", "易华录:首次公开发行股票并在创业板上市之上市公告书")</f>
        <v>易华录:首次公开发行股票并在创业板上市之上市公告书</v>
      </c>
      <c r="F1867" t="s">
        <v>2749</v>
      </c>
    </row>
    <row r="1868" spans="1:6" x14ac:dyDescent="0.15">
      <c r="A1868" s="1">
        <v>40667</v>
      </c>
      <c r="B1868" t="s">
        <v>381</v>
      </c>
      <c r="C1868" t="s">
        <v>879</v>
      </c>
      <c r="D1868" t="s">
        <v>417</v>
      </c>
      <c r="E1868" s="4" t="str">
        <f>HYPERLINK("http://snap.windin.com/ns/bulletin.php?id=1055757&amp;type=1", "亿通科技:首次公开发行股票并在创业板上市公告书")</f>
        <v>亿通科技:首次公开发行股票并在创业板上市公告书</v>
      </c>
      <c r="F1868" t="s">
        <v>2750</v>
      </c>
    </row>
    <row r="1869" spans="1:6" x14ac:dyDescent="0.15">
      <c r="A1869" s="1">
        <v>40667</v>
      </c>
      <c r="B1869" t="s">
        <v>381</v>
      </c>
      <c r="C1869" t="s">
        <v>879</v>
      </c>
      <c r="D1869" t="s">
        <v>383</v>
      </c>
      <c r="E1869" s="4" t="str">
        <f>HYPERLINK("http://snap.windin.com/ns/bulletin.php?id=1452790&amp;type=1", "亿通科技:首次公开发行股票并在创业板上市上市公告书提示性公告")</f>
        <v>亿通科技:首次公开发行股票并在创业板上市上市公告书提示性公告</v>
      </c>
      <c r="F1869" t="s">
        <v>2751</v>
      </c>
    </row>
    <row r="1870" spans="1:6" x14ac:dyDescent="0.15">
      <c r="A1870" s="1">
        <v>40667</v>
      </c>
      <c r="B1870" t="s">
        <v>365</v>
      </c>
      <c r="C1870" t="s">
        <v>858</v>
      </c>
      <c r="D1870" t="s">
        <v>465</v>
      </c>
      <c r="E1870" s="4" t="str">
        <f>HYPERLINK("http://snap.windin.com/ns/bulletin.php?id=19147684&amp;type=1", "好想你:首次公开发行股票招股意向书")</f>
        <v>好想你:首次公开发行股票招股意向书</v>
      </c>
      <c r="F1870" t="s">
        <v>2752</v>
      </c>
    </row>
    <row r="1871" spans="1:6" x14ac:dyDescent="0.15">
      <c r="A1871" s="1">
        <v>40667</v>
      </c>
      <c r="B1871" t="s">
        <v>365</v>
      </c>
      <c r="C1871" t="s">
        <v>858</v>
      </c>
      <c r="D1871" t="s">
        <v>465</v>
      </c>
      <c r="E1871" s="4" t="str">
        <f>HYPERLINK("http://snap.windin.com/ns/bulletin.php?id=18539682&amp;type=1", "好想你:首次公开发行股票招股意向书")</f>
        <v>好想你:首次公开发行股票招股意向书</v>
      </c>
      <c r="F1871" t="s">
        <v>2753</v>
      </c>
    </row>
    <row r="1872" spans="1:6" x14ac:dyDescent="0.15">
      <c r="A1872" s="1">
        <v>40667</v>
      </c>
      <c r="B1872" t="s">
        <v>365</v>
      </c>
      <c r="C1872" t="s">
        <v>858</v>
      </c>
      <c r="D1872" t="s">
        <v>465</v>
      </c>
      <c r="E1872" s="4" t="str">
        <f>HYPERLINK("http://snap.windin.com/ns/bulletin.php?id=1966384&amp;type=1", "好想你:首次公开发行股票招股意向书")</f>
        <v>好想你:首次公开发行股票招股意向书</v>
      </c>
      <c r="F1872" t="s">
        <v>2754</v>
      </c>
    </row>
    <row r="1873" spans="1:6" x14ac:dyDescent="0.15">
      <c r="A1873" s="1">
        <v>40667</v>
      </c>
      <c r="B1873" t="s">
        <v>365</v>
      </c>
      <c r="C1873" t="s">
        <v>858</v>
      </c>
      <c r="D1873" t="s">
        <v>466</v>
      </c>
      <c r="E1873" s="4" t="str">
        <f>HYPERLINK("http://snap.windin.com/ns/bulletin.php?id=786860&amp;type=1", "好想你:首次公开发行股票招股意向书摘要")</f>
        <v>好想你:首次公开发行股票招股意向书摘要</v>
      </c>
      <c r="F1873" t="s">
        <v>2755</v>
      </c>
    </row>
    <row r="1874" spans="1:6" x14ac:dyDescent="0.15">
      <c r="A1874" s="1">
        <v>40667</v>
      </c>
      <c r="B1874" t="s">
        <v>366</v>
      </c>
      <c r="C1874" t="s">
        <v>859</v>
      </c>
      <c r="D1874" t="s">
        <v>399</v>
      </c>
      <c r="E1874" s="4" t="str">
        <f>HYPERLINK("http://snap.windin.com/ns/bulletin.php?id=852180&amp;type=1", "万昌科技:首次公开发行股票招股说明书")</f>
        <v>万昌科技:首次公开发行股票招股说明书</v>
      </c>
      <c r="F1874" t="s">
        <v>2756</v>
      </c>
    </row>
    <row r="1875" spans="1:6" x14ac:dyDescent="0.15">
      <c r="A1875" s="1">
        <v>40667</v>
      </c>
      <c r="B1875" t="s">
        <v>366</v>
      </c>
      <c r="C1875" t="s">
        <v>859</v>
      </c>
      <c r="D1875" t="s">
        <v>400</v>
      </c>
      <c r="E1875" s="4" t="str">
        <f>HYPERLINK("http://snap.windin.com/ns/bulletin.php?id=479183&amp;type=1", "万昌科技:首次公开发行股票招股说明书摘要")</f>
        <v>万昌科技:首次公开发行股票招股说明书摘要</v>
      </c>
      <c r="F1875" t="s">
        <v>2757</v>
      </c>
    </row>
    <row r="1876" spans="1:6" x14ac:dyDescent="0.15">
      <c r="A1876" s="1">
        <v>40662</v>
      </c>
      <c r="B1876" t="s">
        <v>367</v>
      </c>
      <c r="C1876" t="s">
        <v>860</v>
      </c>
      <c r="D1876" t="s">
        <v>471</v>
      </c>
      <c r="E1876" s="4" t="str">
        <f>HYPERLINK("http://snap.windin.com/ns/bulletin.php?id=18482076&amp;type=1", "安利股份:首次公开发行股票并在创业板上市招股意向书")</f>
        <v>安利股份:首次公开发行股票并在创业板上市招股意向书</v>
      </c>
      <c r="F1876" t="s">
        <v>2758</v>
      </c>
    </row>
    <row r="1877" spans="1:6" x14ac:dyDescent="0.15">
      <c r="A1877" s="1">
        <v>40662</v>
      </c>
      <c r="B1877" t="s">
        <v>371</v>
      </c>
      <c r="C1877" t="s">
        <v>868</v>
      </c>
      <c r="D1877" t="s">
        <v>455</v>
      </c>
      <c r="E1877" s="4" t="str">
        <f>HYPERLINK("http://snap.windin.com/ns/bulletin.php?id=2030801&amp;type=1", "电科院:首次公开发行股票并在创业板上市招股说明书")</f>
        <v>电科院:首次公开发行股票并在创业板上市招股说明书</v>
      </c>
      <c r="F1877" t="s">
        <v>2759</v>
      </c>
    </row>
    <row r="3003" spans="1:1" x14ac:dyDescent="0.15">
      <c r="A3003" t="s">
        <v>3</v>
      </c>
    </row>
  </sheetData>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3003"/>
  <sheetViews>
    <sheetView workbookViewId="0">
      <selection activeCell="H7" sqref="H7"/>
    </sheetView>
  </sheetViews>
  <sheetFormatPr defaultRowHeight="12" x14ac:dyDescent="0.15"/>
  <cols>
    <col min="1" max="1" width="19.7109375" bestFit="1" customWidth="1"/>
  </cols>
  <sheetData>
    <row r="1" spans="1:3" x14ac:dyDescent="0.15">
      <c r="A1" t="s">
        <v>0</v>
      </c>
      <c r="B1" t="s">
        <v>1</v>
      </c>
      <c r="C1" t="s">
        <v>2</v>
      </c>
    </row>
    <row r="2" spans="1:3" x14ac:dyDescent="0.15">
      <c r="A2" s="1">
        <v>41815</v>
      </c>
      <c r="B2" t="s">
        <v>4</v>
      </c>
      <c r="C2" s="2" t="str">
        <f>HYPERLINK("http://snap.windin.com/ns/bulletin.php?id=62086458&amp;type=1", "飞天诚信:首次公开发行股票并在创业板上市上市公告书提示性公告")</f>
        <v>飞天诚信:首次公开发行股票并在创业板上市上市公告书提示性公告</v>
      </c>
    </row>
    <row r="3" spans="1:3" x14ac:dyDescent="0.15">
      <c r="A3" s="1">
        <v>41771</v>
      </c>
      <c r="B3" t="s">
        <v>5</v>
      </c>
      <c r="C3" s="2" t="str">
        <f>HYPERLINK("http://snap.windin.com/ns/bulletin.php?id=49061070&amp;type=1", "中国北车:关于刊发H股招股说明书,H股发行价格区间及H股香港公开发售等相关事宜的公告")</f>
        <v>中国北车:关于刊发H股招股说明书,H股发行价格区间及H股香港公开发售等相关事宜的公告</v>
      </c>
    </row>
    <row r="4" spans="1:3" x14ac:dyDescent="0.15">
      <c r="A4" s="1">
        <v>41694</v>
      </c>
      <c r="B4" t="s">
        <v>6</v>
      </c>
      <c r="C4" s="2" t="str">
        <f>HYPERLINK("http://snap.windin.com/ns/bulletin.php?id=22222482&amp;type=1", "安控股份:首次公开发行股票并在创业板上市招股说明书及上市公告书公告之更正公告")</f>
        <v>安控股份:首次公开发行股票并在创业板上市招股说明书及上市公告书公告之更正公告</v>
      </c>
    </row>
    <row r="5" spans="1:3" x14ac:dyDescent="0.15">
      <c r="A5" s="1">
        <v>41688</v>
      </c>
      <c r="B5" t="s">
        <v>7</v>
      </c>
      <c r="C5" s="2" t="str">
        <f>HYPERLINK("http://snap.windin.com/ns/bulletin.php?id=22190360&amp;type=1", "岭南园林:首次公开发行股票上市公告书")</f>
        <v>岭南园林:首次公开发行股票上市公告书</v>
      </c>
    </row>
    <row r="6" spans="1:3" x14ac:dyDescent="0.15">
      <c r="A6" s="1">
        <v>41688</v>
      </c>
      <c r="B6" t="s">
        <v>8</v>
      </c>
      <c r="C6" s="2" t="str">
        <f>HYPERLINK("http://snap.windin.com/ns/bulletin.php?id=22190346&amp;type=1", "登云股份:首次公开发行股票并上市上市公告书")</f>
        <v>登云股份:首次公开发行股票并上市上市公告书</v>
      </c>
    </row>
    <row r="7" spans="1:3" x14ac:dyDescent="0.15">
      <c r="A7" s="1">
        <v>41688</v>
      </c>
      <c r="B7" t="s">
        <v>9</v>
      </c>
      <c r="C7" s="2" t="str">
        <f>HYPERLINK("http://snap.windin.com/ns/bulletin.php?id=22190338&amp;type=1", "东易日盛:首次公开发行股票上市公告书")</f>
        <v>东易日盛:首次公开发行股票上市公告书</v>
      </c>
    </row>
    <row r="8" spans="1:3" x14ac:dyDescent="0.15">
      <c r="A8" s="1">
        <v>41683</v>
      </c>
      <c r="B8" t="s">
        <v>10</v>
      </c>
      <c r="C8" s="2" t="str">
        <f>HYPERLINK("http://snap.windin.com/ns/bulletin.php?id=22136264&amp;type=1", "新宝股份:首次公开发行股票上市公告书之补充公告")</f>
        <v>新宝股份:首次公开发行股票上市公告书之补充公告</v>
      </c>
    </row>
    <row r="9" spans="1:3" x14ac:dyDescent="0.15">
      <c r="A9" s="1">
        <v>41683</v>
      </c>
      <c r="B9" t="s">
        <v>10</v>
      </c>
      <c r="C9" s="2" t="str">
        <f>HYPERLINK("http://snap.windin.com/ns/bulletin.php?id=22136262&amp;type=1", "新宝股份:首次公开发行股票上市公告书(更新后)")</f>
        <v>新宝股份:首次公开发行股票上市公告书(更新后)</v>
      </c>
    </row>
    <row r="10" spans="1:3" x14ac:dyDescent="0.15">
      <c r="A10" s="1">
        <v>41680</v>
      </c>
      <c r="B10" t="s">
        <v>8</v>
      </c>
      <c r="C10" s="2" t="str">
        <f>HYPERLINK("http://snap.windin.com/ns/bulletin.php?id=22105348&amp;type=1", "登云股份:首次公开发行股票招股说明书(已取消)")</f>
        <v>登云股份:首次公开发行股票招股说明书(已取消)</v>
      </c>
    </row>
    <row r="11" spans="1:3" x14ac:dyDescent="0.15">
      <c r="A11" s="1">
        <v>41680</v>
      </c>
      <c r="B11" t="s">
        <v>8</v>
      </c>
      <c r="C11" s="2" t="str">
        <f>HYPERLINK("http://snap.windin.com/ns/bulletin.php?id=22103636&amp;type=1", "登云股份:首次公开发行股票招股说明书(更新后)")</f>
        <v>登云股份:首次公开发行股票招股说明书(更新后)</v>
      </c>
    </row>
    <row r="12" spans="1:3" x14ac:dyDescent="0.15">
      <c r="A12" s="1">
        <v>41680</v>
      </c>
      <c r="B12" t="s">
        <v>8</v>
      </c>
      <c r="C12" s="2" t="str">
        <f>HYPERLINK("http://snap.windin.com/ns/bulletin.php?id=22103634&amp;type=1", "登云股份:首次公开发行股票招股说明书摘要(更新后)")</f>
        <v>登云股份:首次公开发行股票招股说明书摘要(更新后)</v>
      </c>
    </row>
    <row r="13" spans="1:3" x14ac:dyDescent="0.15">
      <c r="A13" s="1">
        <v>41680</v>
      </c>
      <c r="B13" t="s">
        <v>8</v>
      </c>
      <c r="C13" s="2" t="str">
        <f>HYPERLINK("http://snap.windin.com/ns/bulletin.php?id=22103526&amp;type=1", "登云股份:首次公开发行股票招股说明书")</f>
        <v>登云股份:首次公开发行股票招股说明书</v>
      </c>
    </row>
    <row r="14" spans="1:3" x14ac:dyDescent="0.15">
      <c r="A14" s="1">
        <v>41680</v>
      </c>
      <c r="B14" t="s">
        <v>8</v>
      </c>
      <c r="C14" s="2" t="str">
        <f>HYPERLINK("http://snap.windin.com/ns/bulletin.php?id=22103514&amp;type=1", "登云股份:首次公开发行股票招股说明书摘要")</f>
        <v>登云股份:首次公开发行股票招股说明书摘要</v>
      </c>
    </row>
    <row r="15" spans="1:3" x14ac:dyDescent="0.15">
      <c r="A15" s="1">
        <v>41680</v>
      </c>
      <c r="B15" t="s">
        <v>11</v>
      </c>
      <c r="C15" s="2" t="str">
        <f>HYPERLINK("http://snap.windin.com/ns/bulletin.php?id=22103414&amp;type=1", "海天味业:首次公开发行A股股票上市公告书")</f>
        <v>海天味业:首次公开发行A股股票上市公告书</v>
      </c>
    </row>
    <row r="16" spans="1:3" x14ac:dyDescent="0.15">
      <c r="A16" s="1">
        <v>41670</v>
      </c>
      <c r="B16" t="s">
        <v>12</v>
      </c>
      <c r="C16" s="2" t="str">
        <f>HYPERLINK("http://snap.windin.com/ns/bulletin.php?id=22050986&amp;type=1", "晶方科技:首次公开发行A股股票上市公告书")</f>
        <v>晶方科技:首次公开发行A股股票上市公告书</v>
      </c>
    </row>
    <row r="17" spans="1:3" x14ac:dyDescent="0.15">
      <c r="A17" s="1">
        <v>41669</v>
      </c>
      <c r="B17" t="s">
        <v>13</v>
      </c>
      <c r="C17" s="2" t="str">
        <f>HYPERLINK("http://snap.windin.com/ns/bulletin.php?id=22048066&amp;type=1", "东方通:首次公开发行股票并在创业板上市之上市公告书更正公告")</f>
        <v>东方通:首次公开发行股票并在创业板上市之上市公告书更正公告</v>
      </c>
    </row>
    <row r="18" spans="1:3" x14ac:dyDescent="0.15">
      <c r="A18" s="1">
        <v>41667</v>
      </c>
      <c r="B18" t="s">
        <v>14</v>
      </c>
      <c r="C18" s="2" t="str">
        <f>HYPERLINK("http://snap.windin.com/ns/bulletin.php?id=22014862&amp;type=1", "光环新网:首次公开发行股票并在创业板上市公告书提示性公告")</f>
        <v>光环新网:首次公开发行股票并在创业板上市公告书提示性公告</v>
      </c>
    </row>
    <row r="19" spans="1:3" x14ac:dyDescent="0.15">
      <c r="A19" s="1">
        <v>41667</v>
      </c>
      <c r="B19" t="s">
        <v>14</v>
      </c>
      <c r="C19" s="2" t="str">
        <f>HYPERLINK("http://snap.windin.com/ns/bulletin.php?id=22014832&amp;type=1", "光环新网:首次公开发行股票并在创业板上市之上市公告书")</f>
        <v>光环新网:首次公开发行股票并在创业板上市之上市公告书</v>
      </c>
    </row>
    <row r="20" spans="1:3" x14ac:dyDescent="0.15">
      <c r="A20" s="1">
        <v>41667</v>
      </c>
      <c r="B20" t="s">
        <v>15</v>
      </c>
      <c r="C20" s="2" t="str">
        <f>HYPERLINK("http://snap.windin.com/ns/bulletin.php?id=22014508&amp;type=1", "绿盟科技:首次公开发行股票并在创业板上市之上市公告书提示性公告")</f>
        <v>绿盟科技:首次公开发行股票并在创业板上市之上市公告书提示性公告</v>
      </c>
    </row>
    <row r="21" spans="1:3" x14ac:dyDescent="0.15">
      <c r="A21" s="1">
        <v>41667</v>
      </c>
      <c r="B21" t="s">
        <v>15</v>
      </c>
      <c r="C21" s="2" t="str">
        <f>HYPERLINK("http://snap.windin.com/ns/bulletin.php?id=22014504&amp;type=1", "绿盟科技:首次公开发行股票并在创业板上市之上市公告书")</f>
        <v>绿盟科技:首次公开发行股票并在创业板上市之上市公告书</v>
      </c>
    </row>
    <row r="22" spans="1:3" x14ac:dyDescent="0.15">
      <c r="A22" s="1">
        <v>41667</v>
      </c>
      <c r="B22" t="s">
        <v>16</v>
      </c>
      <c r="C22" s="2" t="str">
        <f>HYPERLINK("http://snap.windin.com/ns/bulletin.php?id=22014426&amp;type=1", "斯莱克:首次公开发行股票并在创业板上市上市公告书")</f>
        <v>斯莱克:首次公开发行股票并在创业板上市上市公告书</v>
      </c>
    </row>
    <row r="23" spans="1:3" x14ac:dyDescent="0.15">
      <c r="A23" s="1">
        <v>41667</v>
      </c>
      <c r="B23" t="s">
        <v>16</v>
      </c>
      <c r="C23" s="2" t="str">
        <f>HYPERLINK("http://snap.windin.com/ns/bulletin.php?id=22014422&amp;type=1", "斯莱克:首次公开发行股票并在创业板上市上市公告书提示性公告")</f>
        <v>斯莱克:首次公开发行股票并在创业板上市上市公告书提示性公告</v>
      </c>
    </row>
    <row r="24" spans="1:3" x14ac:dyDescent="0.15">
      <c r="A24" s="1">
        <v>41667</v>
      </c>
      <c r="B24" t="s">
        <v>17</v>
      </c>
      <c r="C24" s="2" t="str">
        <f>HYPERLINK("http://snap.windin.com/ns/bulletin.php?id=22014074&amp;type=1", "跃岭股份:首次公开发行股票上市公告书")</f>
        <v>跃岭股份:首次公开发行股票上市公告书</v>
      </c>
    </row>
    <row r="25" spans="1:3" x14ac:dyDescent="0.15">
      <c r="A25" s="1">
        <v>41667</v>
      </c>
      <c r="B25" t="s">
        <v>18</v>
      </c>
      <c r="C25" s="2" t="str">
        <f>HYPERLINK("http://snap.windin.com/ns/bulletin.php?id=22014068&amp;type=1", "金莱特:首次公开发行股票之上市公告书")</f>
        <v>金莱特:首次公开发行股票之上市公告书</v>
      </c>
    </row>
    <row r="26" spans="1:3" x14ac:dyDescent="0.15">
      <c r="A26" s="1">
        <v>41667</v>
      </c>
      <c r="B26" t="s">
        <v>19</v>
      </c>
      <c r="C26" s="2" t="str">
        <f>HYPERLINK("http://snap.windin.com/ns/bulletin.php?id=22014066&amp;type=1", "东方网力:首次公开发行股票并在创业板上市公告书")</f>
        <v>东方网力:首次公开发行股票并在创业板上市公告书</v>
      </c>
    </row>
    <row r="27" spans="1:3" x14ac:dyDescent="0.15">
      <c r="A27" s="1">
        <v>41667</v>
      </c>
      <c r="B27" t="s">
        <v>20</v>
      </c>
      <c r="C27" s="2" t="str">
        <f>HYPERLINK("http://snap.windin.com/ns/bulletin.php?id=22014044&amp;type=1", "博腾股份:首次公开发行股票并在创业板上市公告书")</f>
        <v>博腾股份:首次公开发行股票并在创业板上市公告书</v>
      </c>
    </row>
    <row r="28" spans="1:3" x14ac:dyDescent="0.15">
      <c r="A28" s="1">
        <v>41667</v>
      </c>
      <c r="B28" t="s">
        <v>19</v>
      </c>
      <c r="C28" s="2" t="str">
        <f>HYPERLINK("http://snap.windin.com/ns/bulletin.php?id=22014040&amp;type=1", "东方网力:首次公开发行股票并在创业板上市之上市公告书提示性公告")</f>
        <v>东方网力:首次公开发行股票并在创业板上市之上市公告书提示性公告</v>
      </c>
    </row>
    <row r="29" spans="1:3" x14ac:dyDescent="0.15">
      <c r="A29" s="1">
        <v>41667</v>
      </c>
      <c r="B29" t="s">
        <v>20</v>
      </c>
      <c r="C29" s="2" t="str">
        <f>HYPERLINK("http://snap.windin.com/ns/bulletin.php?id=22014032&amp;type=1", "博腾股份:首次公开发行股票并在创业板上市公告书提示性公告")</f>
        <v>博腾股份:首次公开发行股票并在创业板上市公告书提示性公告</v>
      </c>
    </row>
    <row r="30" spans="1:3" x14ac:dyDescent="0.15">
      <c r="A30" s="1">
        <v>41666</v>
      </c>
      <c r="B30" t="s">
        <v>21</v>
      </c>
      <c r="C30" s="2" t="str">
        <f>HYPERLINK("http://snap.windin.com/ns/bulletin.php?id=22006834&amp;type=1", "金贵银业:首次公开发行股票上市公告书(更新后)")</f>
        <v>金贵银业:首次公开发行股票上市公告书(更新后)</v>
      </c>
    </row>
    <row r="31" spans="1:3" x14ac:dyDescent="0.15">
      <c r="A31" s="1">
        <v>41666</v>
      </c>
      <c r="B31" t="s">
        <v>21</v>
      </c>
      <c r="C31" s="2" t="str">
        <f>HYPERLINK("http://snap.windin.com/ns/bulletin.php?id=22006832&amp;type=1", "金贵银业:首次发行股票上市公告书之更正公告")</f>
        <v>金贵银业:首次发行股票上市公告书之更正公告</v>
      </c>
    </row>
    <row r="32" spans="1:3" x14ac:dyDescent="0.15">
      <c r="A32" s="1">
        <v>41666</v>
      </c>
      <c r="B32" t="s">
        <v>21</v>
      </c>
      <c r="C32" s="2" t="str">
        <f>HYPERLINK("http://snap.windin.com/ns/bulletin.php?id=22005384&amp;type=1", "金贵银业:首次公开发行股票上市公告书")</f>
        <v>金贵银业:首次公开发行股票上市公告书</v>
      </c>
    </row>
    <row r="33" spans="1:3" x14ac:dyDescent="0.15">
      <c r="A33" s="1">
        <v>41666</v>
      </c>
      <c r="B33" t="s">
        <v>22</v>
      </c>
      <c r="C33" s="2" t="str">
        <f>HYPERLINK("http://snap.windin.com/ns/bulletin.php?id=22005380&amp;type=1", "溢多利:首次公开发行股票并在创业板上市之上市公告书")</f>
        <v>溢多利:首次公开发行股票并在创业板上市之上市公告书</v>
      </c>
    </row>
    <row r="34" spans="1:3" x14ac:dyDescent="0.15">
      <c r="A34" s="1">
        <v>41666</v>
      </c>
      <c r="B34" t="s">
        <v>13</v>
      </c>
      <c r="C34" s="2" t="str">
        <f>HYPERLINK("http://snap.windin.com/ns/bulletin.php?id=22005376&amp;type=1", "东方通:首次公开发行股票并在创业板上市之上市公告书")</f>
        <v>东方通:首次公开发行股票并在创业板上市之上市公告书</v>
      </c>
    </row>
    <row r="35" spans="1:3" x14ac:dyDescent="0.15">
      <c r="A35" s="1">
        <v>41666</v>
      </c>
      <c r="B35" t="s">
        <v>22</v>
      </c>
      <c r="C35" s="2" t="str">
        <f>HYPERLINK("http://snap.windin.com/ns/bulletin.php?id=22005372&amp;type=1", "溢多利:首次公开发行股票并在创业板上市之上市公告书提示性公告")</f>
        <v>溢多利:首次公开发行股票并在创业板上市之上市公告书提示性公告</v>
      </c>
    </row>
    <row r="36" spans="1:3" x14ac:dyDescent="0.15">
      <c r="A36" s="1">
        <v>41666</v>
      </c>
      <c r="B36" t="s">
        <v>13</v>
      </c>
      <c r="C36" s="2" t="str">
        <f>HYPERLINK("http://snap.windin.com/ns/bulletin.php?id=22005370&amp;type=1", "东方通:首次公开发行股票并在创业板上市公告书提示性公告")</f>
        <v>东方通:首次公开发行股票并在创业板上市公告书提示性公告</v>
      </c>
    </row>
    <row r="37" spans="1:3" x14ac:dyDescent="0.15">
      <c r="A37" s="1">
        <v>41666</v>
      </c>
      <c r="B37" t="s">
        <v>23</v>
      </c>
      <c r="C37" s="2" t="str">
        <f>HYPERLINK("http://snap.windin.com/ns/bulletin.php?id=22004610&amp;type=1", "金轮股份:首次公开发行股票上市公告书")</f>
        <v>金轮股份:首次公开发行股票上市公告书</v>
      </c>
    </row>
    <row r="38" spans="1:3" x14ac:dyDescent="0.15">
      <c r="A38" s="1">
        <v>41666</v>
      </c>
      <c r="B38" t="s">
        <v>24</v>
      </c>
      <c r="C38" s="2" t="str">
        <f>HYPERLINK("http://snap.windin.com/ns/bulletin.php?id=22004608&amp;type=1", "牧原股份:首次公开发行股票上市公告书")</f>
        <v>牧原股份:首次公开发行股票上市公告书</v>
      </c>
    </row>
    <row r="39" spans="1:3" x14ac:dyDescent="0.15">
      <c r="A39" s="1">
        <v>41666</v>
      </c>
      <c r="B39" t="s">
        <v>25</v>
      </c>
      <c r="C39" s="2" t="str">
        <f>HYPERLINK("http://snap.windin.com/ns/bulletin.php?id=22004602&amp;type=1", "麦趣尔:首次公开发行股票上市公告书")</f>
        <v>麦趣尔:首次公开发行股票上市公告书</v>
      </c>
    </row>
    <row r="40" spans="1:3" x14ac:dyDescent="0.15">
      <c r="A40" s="1">
        <v>41666</v>
      </c>
      <c r="B40" t="s">
        <v>26</v>
      </c>
      <c r="C40" s="2" t="str">
        <f>HYPERLINK("http://snap.windin.com/ns/bulletin.php?id=22004594&amp;type=1", "安硕信息:首次公开发行股票并在创业板上市之上市公告书")</f>
        <v>安硕信息:首次公开发行股票并在创业板上市之上市公告书</v>
      </c>
    </row>
    <row r="41" spans="1:3" x14ac:dyDescent="0.15">
      <c r="A41" s="1">
        <v>41666</v>
      </c>
      <c r="B41" t="s">
        <v>26</v>
      </c>
      <c r="C41" s="2" t="str">
        <f>HYPERLINK("http://snap.windin.com/ns/bulletin.php?id=22004588&amp;type=1", "安硕信息:首次公开发行股票并在创业板上市上市公告书提示性公告")</f>
        <v>安硕信息:首次公开发行股票并在创业板上市上市公告书提示性公告</v>
      </c>
    </row>
    <row r="42" spans="1:3" x14ac:dyDescent="0.15">
      <c r="A42" s="1">
        <v>41666</v>
      </c>
      <c r="B42" t="s">
        <v>27</v>
      </c>
      <c r="C42" s="2" t="str">
        <f>HYPERLINK("http://snap.windin.com/ns/bulletin.php?id=22004566&amp;type=1", "友邦吊顶:首次公开发行股票上市公告书")</f>
        <v>友邦吊顶:首次公开发行股票上市公告书</v>
      </c>
    </row>
    <row r="43" spans="1:3" x14ac:dyDescent="0.15">
      <c r="A43" s="1">
        <v>41666</v>
      </c>
      <c r="B43" t="s">
        <v>28</v>
      </c>
      <c r="C43" s="2" t="str">
        <f>HYPERLINK("http://snap.windin.com/ns/bulletin.php?id=22004160&amp;type=1", "陕西煤业:首次公开发行A股股票招股说明书(更新稿)")</f>
        <v>陕西煤业:首次公开发行A股股票招股说明书(更新稿)</v>
      </c>
    </row>
    <row r="44" spans="1:3" x14ac:dyDescent="0.15">
      <c r="A44" s="1">
        <v>41666</v>
      </c>
      <c r="B44" t="s">
        <v>28</v>
      </c>
      <c r="C44" s="2" t="str">
        <f>HYPERLINK("http://snap.windin.com/ns/bulletin.php?id=22004148&amp;type=1", "陕西煤业:首次公开发行A股股票上市公告书")</f>
        <v>陕西煤业:首次公开发行A股股票上市公告书</v>
      </c>
    </row>
    <row r="45" spans="1:3" x14ac:dyDescent="0.15">
      <c r="A45" s="1">
        <v>41666</v>
      </c>
      <c r="B45" t="s">
        <v>28</v>
      </c>
      <c r="C45" s="2" t="str">
        <f>HYPERLINK("http://snap.windin.com/ns/bulletin.php?id=22004136&amp;type=1", "陕西煤业:首次公开发行A股股票招股说明书摘要(更新稿)")</f>
        <v>陕西煤业:首次公开发行A股股票招股说明书摘要(更新稿)</v>
      </c>
    </row>
    <row r="46" spans="1:3" x14ac:dyDescent="0.15">
      <c r="A46" s="1">
        <v>41663</v>
      </c>
      <c r="B46" t="s">
        <v>29</v>
      </c>
      <c r="C46" s="2" t="str">
        <f>HYPERLINK("http://snap.windin.com/ns/bulletin.php?id=21980876&amp;type=1", "欧浦钢网:关于公司首次公开发行股票上市公告书之更正公告")</f>
        <v>欧浦钢网:关于公司首次公开发行股票上市公告书之更正公告</v>
      </c>
    </row>
    <row r="47" spans="1:3" x14ac:dyDescent="0.15">
      <c r="A47" s="1">
        <v>41663</v>
      </c>
      <c r="B47" t="s">
        <v>29</v>
      </c>
      <c r="C47" s="2" t="str">
        <f>HYPERLINK("http://snap.windin.com/ns/bulletin.php?id=21980874&amp;type=1", "欧浦钢网:首次公开发行股票上市公告书(更新后)")</f>
        <v>欧浦钢网:首次公开发行股票上市公告书(更新后)</v>
      </c>
    </row>
    <row r="48" spans="1:3" x14ac:dyDescent="0.15">
      <c r="A48" s="1">
        <v>41663</v>
      </c>
      <c r="B48" t="s">
        <v>30</v>
      </c>
      <c r="C48" s="2" t="str">
        <f>HYPERLINK("http://snap.windin.com/ns/bulletin.php?id=21980226&amp;type=1", "欣泰电气:首次公开发行股票并在创业板上市公告书提示性公告")</f>
        <v>欣泰电气:首次公开发行股票并在创业板上市公告书提示性公告</v>
      </c>
    </row>
    <row r="49" spans="1:3" x14ac:dyDescent="0.15">
      <c r="A49" s="1">
        <v>41663</v>
      </c>
      <c r="B49" t="s">
        <v>30</v>
      </c>
      <c r="C49" s="2" t="str">
        <f>HYPERLINK("http://snap.windin.com/ns/bulletin.php?id=21980218&amp;type=1", "欣泰电气:首次公开发行股票并在创业板上市公告书")</f>
        <v>欣泰电气:首次公开发行股票并在创业板上市公告书</v>
      </c>
    </row>
    <row r="50" spans="1:3" x14ac:dyDescent="0.15">
      <c r="A50" s="1">
        <v>41663</v>
      </c>
      <c r="B50" t="s">
        <v>31</v>
      </c>
      <c r="C50" s="2" t="str">
        <f>HYPERLINK("http://snap.windin.com/ns/bulletin.php?id=21980198&amp;type=1", "创意信息:首次公开发行股票并在创业板上市之上市公告书")</f>
        <v>创意信息:首次公开发行股票并在创业板上市之上市公告书</v>
      </c>
    </row>
    <row r="51" spans="1:3" x14ac:dyDescent="0.15">
      <c r="A51" s="1">
        <v>41663</v>
      </c>
      <c r="B51" t="s">
        <v>32</v>
      </c>
      <c r="C51" s="2" t="str">
        <f>HYPERLINK("http://snap.windin.com/ns/bulletin.php?id=21980192&amp;type=1", "赢时胜:首次公开发行股票并在创业板上市之上市公告书提示性公告")</f>
        <v>赢时胜:首次公开发行股票并在创业板上市之上市公告书提示性公告</v>
      </c>
    </row>
    <row r="52" spans="1:3" x14ac:dyDescent="0.15">
      <c r="A52" s="1">
        <v>41663</v>
      </c>
      <c r="B52" t="s">
        <v>32</v>
      </c>
      <c r="C52" s="2" t="str">
        <f>HYPERLINK("http://snap.windin.com/ns/bulletin.php?id=21980190&amp;type=1", "赢时胜:首次公开发行股票并在创业板上市之上市公告书")</f>
        <v>赢时胜:首次公开发行股票并在创业板上市之上市公告书</v>
      </c>
    </row>
    <row r="53" spans="1:3" x14ac:dyDescent="0.15">
      <c r="A53" s="1">
        <v>41663</v>
      </c>
      <c r="B53" t="s">
        <v>31</v>
      </c>
      <c r="C53" s="2" t="str">
        <f>HYPERLINK("http://snap.windin.com/ns/bulletin.php?id=21980118&amp;type=1", "创意信息:首次公开发行股票并在创业板上市公告书提示性公告")</f>
        <v>创意信息:首次公开发行股票并在创业板上市公告书提示性公告</v>
      </c>
    </row>
    <row r="54" spans="1:3" x14ac:dyDescent="0.15">
      <c r="A54" s="1">
        <v>41663</v>
      </c>
      <c r="B54" t="s">
        <v>33</v>
      </c>
      <c r="C54" s="2" t="str">
        <f>HYPERLINK("http://snap.windin.com/ns/bulletin.php?id=21979652&amp;type=1", "易事特:首次公开发行股票并在创业板上市公告书提示性公告")</f>
        <v>易事特:首次公开发行股票并在创业板上市公告书提示性公告</v>
      </c>
    </row>
    <row r="55" spans="1:3" x14ac:dyDescent="0.15">
      <c r="A55" s="1">
        <v>41663</v>
      </c>
      <c r="B55" t="s">
        <v>33</v>
      </c>
      <c r="C55" s="2" t="str">
        <f>HYPERLINK("http://snap.windin.com/ns/bulletin.php?id=21979628&amp;type=1", "易事特:首次公开发行股票并在创业板上市之上市公告书")</f>
        <v>易事特:首次公开发行股票并在创业板上市之上市公告书</v>
      </c>
    </row>
    <row r="56" spans="1:3" x14ac:dyDescent="0.15">
      <c r="A56" s="1">
        <v>41663</v>
      </c>
      <c r="B56" t="s">
        <v>29</v>
      </c>
      <c r="C56" s="2" t="str">
        <f>HYPERLINK("http://snap.windin.com/ns/bulletin.php?id=21979512&amp;type=1", "欧浦钢网:首次公开发行股票上市公告书")</f>
        <v>欧浦钢网:首次公开发行股票上市公告书</v>
      </c>
    </row>
    <row r="57" spans="1:3" x14ac:dyDescent="0.15">
      <c r="A57" s="1">
        <v>41663</v>
      </c>
      <c r="B57" t="s">
        <v>34</v>
      </c>
      <c r="C57" s="2" t="str">
        <f>HYPERLINK("http://snap.windin.com/ns/bulletin.php?id=21979438&amp;type=1", "鼎捷软件:首次公开发行股票并在创业板上市之上市公告书")</f>
        <v>鼎捷软件:首次公开发行股票并在创业板上市之上市公告书</v>
      </c>
    </row>
    <row r="58" spans="1:3" x14ac:dyDescent="0.15">
      <c r="A58" s="1">
        <v>41663</v>
      </c>
      <c r="B58" t="s">
        <v>34</v>
      </c>
      <c r="C58" s="2" t="str">
        <f>HYPERLINK("http://snap.windin.com/ns/bulletin.php?id=21979356&amp;type=1", "鼎捷软件:首次公开发行股票并在创业板上市之上市公告书提示性公告")</f>
        <v>鼎捷软件:首次公开发行股票并在创业板上市之上市公告书提示性公告</v>
      </c>
    </row>
    <row r="59" spans="1:3" x14ac:dyDescent="0.15">
      <c r="A59" s="1">
        <v>41663</v>
      </c>
      <c r="B59" t="s">
        <v>35</v>
      </c>
      <c r="C59" s="2" t="str">
        <f>HYPERLINK("http://snap.windin.com/ns/bulletin.php?id=21979346&amp;type=1", "金一文化:首次公开发行股票上市公告书")</f>
        <v>金一文化:首次公开发行股票上市公告书</v>
      </c>
    </row>
    <row r="60" spans="1:3" x14ac:dyDescent="0.15">
      <c r="A60" s="1">
        <v>41663</v>
      </c>
      <c r="B60" t="s">
        <v>36</v>
      </c>
      <c r="C60" s="2" t="str">
        <f>HYPERLINK("http://snap.windin.com/ns/bulletin.php?id=21978490&amp;type=1", "鹏翎股份:首次公开发行股票并在创业板上市公告书提示性公告")</f>
        <v>鹏翎股份:首次公开发行股票并在创业板上市公告书提示性公告</v>
      </c>
    </row>
    <row r="61" spans="1:3" x14ac:dyDescent="0.15">
      <c r="A61" s="1">
        <v>41663</v>
      </c>
      <c r="B61" t="s">
        <v>36</v>
      </c>
      <c r="C61" s="2" t="str">
        <f>HYPERLINK("http://snap.windin.com/ns/bulletin.php?id=21978484&amp;type=1", "鹏翎股份:首次公开发行股票并在创业板上市上市公告书")</f>
        <v>鹏翎股份:首次公开发行股票并在创业板上市上市公告书</v>
      </c>
    </row>
    <row r="62" spans="1:3" x14ac:dyDescent="0.15">
      <c r="A62" s="1">
        <v>41663</v>
      </c>
      <c r="B62" t="s">
        <v>11</v>
      </c>
      <c r="C62" s="2" t="str">
        <f>HYPERLINK("http://snap.windin.com/ns/bulletin.php?id=21978334&amp;type=1", "海天味业:首次公开发行股票招股说明书(更新版)")</f>
        <v>海天味业:首次公开发行股票招股说明书(更新版)</v>
      </c>
    </row>
    <row r="63" spans="1:3" x14ac:dyDescent="0.15">
      <c r="A63" s="1">
        <v>41663</v>
      </c>
      <c r="B63" t="s">
        <v>11</v>
      </c>
      <c r="C63" s="2" t="str">
        <f>HYPERLINK("http://snap.windin.com/ns/bulletin.php?id=21978254&amp;type=1", "海天味业:首次公开发行股票招股说明书摘要(更新版)")</f>
        <v>海天味业:首次公开发行股票招股说明书摘要(更新版)</v>
      </c>
    </row>
    <row r="64" spans="1:3" x14ac:dyDescent="0.15">
      <c r="A64" s="1">
        <v>41662</v>
      </c>
      <c r="B64" t="s">
        <v>11</v>
      </c>
      <c r="C64" s="2" t="str">
        <f>HYPERLINK("http://snap.windin.com/ns/bulletin.php?id=21966190&amp;type=1", "海天味业:首次公开发行股票招股说明书")</f>
        <v>海天味业:首次公开发行股票招股说明书</v>
      </c>
    </row>
    <row r="65" spans="1:3" x14ac:dyDescent="0.15">
      <c r="A65" s="1">
        <v>41662</v>
      </c>
      <c r="B65" t="s">
        <v>11</v>
      </c>
      <c r="C65" s="2" t="str">
        <f>HYPERLINK("http://snap.windin.com/ns/bulletin.php?id=21965932&amp;type=1", "海天味业:首次公开发行股票招股说明书摘要")</f>
        <v>海天味业:首次公开发行股票招股说明书摘要</v>
      </c>
    </row>
    <row r="66" spans="1:3" x14ac:dyDescent="0.15">
      <c r="A66" s="1">
        <v>41662</v>
      </c>
      <c r="B66" t="s">
        <v>37</v>
      </c>
      <c r="C66" s="2" t="str">
        <f>HYPERLINK("http://snap.windin.com/ns/bulletin.php?id=21964846&amp;type=1", "贵人鸟:首次公开发行A股股票上市公告书")</f>
        <v>贵人鸟:首次公开发行A股股票上市公告书</v>
      </c>
    </row>
    <row r="67" spans="1:3" x14ac:dyDescent="0.15">
      <c r="A67" s="1">
        <v>41661</v>
      </c>
      <c r="B67" t="s">
        <v>38</v>
      </c>
      <c r="C67" s="2" t="str">
        <f>HYPERLINK("http://snap.windin.com/ns/bulletin.php?id=21953680&amp;type=1", "思美传媒:首次公开发行股票上市公告书")</f>
        <v>思美传媒:首次公开发行股票上市公告书</v>
      </c>
    </row>
    <row r="68" spans="1:3" x14ac:dyDescent="0.15">
      <c r="A68" s="1">
        <v>41661</v>
      </c>
      <c r="B68" t="s">
        <v>39</v>
      </c>
      <c r="C68" s="2" t="str">
        <f>HYPERLINK("http://snap.windin.com/ns/bulletin.php?id=21953672&amp;type=1", "恒华科技:首次公开发行股票并在创业板上市公告书提示性公告")</f>
        <v>恒华科技:首次公开发行股票并在创业板上市公告书提示性公告</v>
      </c>
    </row>
    <row r="69" spans="1:3" x14ac:dyDescent="0.15">
      <c r="A69" s="1">
        <v>41661</v>
      </c>
      <c r="B69" t="s">
        <v>39</v>
      </c>
      <c r="C69" s="2" t="str">
        <f>HYPERLINK("http://snap.windin.com/ns/bulletin.php?id=21953668&amp;type=1", "恒华科技:首次公开发行股票并在创业板上市之上市公告书")</f>
        <v>恒华科技:首次公开发行股票并在创业板上市之上市公告书</v>
      </c>
    </row>
    <row r="70" spans="1:3" x14ac:dyDescent="0.15">
      <c r="A70" s="1">
        <v>41661</v>
      </c>
      <c r="B70" t="s">
        <v>40</v>
      </c>
      <c r="C70" s="2" t="str">
        <f>HYPERLINK("http://snap.windin.com/ns/bulletin.php?id=21952992&amp;type=1", "汇中股份:首次公开发行股票并在创业板上市之上市公告书")</f>
        <v>汇中股份:首次公开发行股票并在创业板上市之上市公告书</v>
      </c>
    </row>
    <row r="71" spans="1:3" x14ac:dyDescent="0.15">
      <c r="A71" s="1">
        <v>41661</v>
      </c>
      <c r="B71" t="s">
        <v>41</v>
      </c>
      <c r="C71" s="2" t="str">
        <f>HYPERLINK("http://snap.windin.com/ns/bulletin.php?id=21952982&amp;type=1", "天赐材料:首次公开发行股票上市公告书")</f>
        <v>天赐材料:首次公开发行股票上市公告书</v>
      </c>
    </row>
    <row r="72" spans="1:3" x14ac:dyDescent="0.15">
      <c r="A72" s="1">
        <v>41661</v>
      </c>
      <c r="B72" t="s">
        <v>40</v>
      </c>
      <c r="C72" s="2" t="str">
        <f>HYPERLINK("http://snap.windin.com/ns/bulletin.php?id=21952980&amp;type=1", "汇中股份:首次公开发行股票并在创业板上市之上市公告书提示性公告")</f>
        <v>汇中股份:首次公开发行股票并在创业板上市之上市公告书提示性公告</v>
      </c>
    </row>
    <row r="73" spans="1:3" x14ac:dyDescent="0.15">
      <c r="A73" s="1">
        <v>41661</v>
      </c>
      <c r="B73" t="s">
        <v>42</v>
      </c>
      <c r="C73" s="2" t="str">
        <f>HYPERLINK("http://snap.windin.com/ns/bulletin.php?id=21952978&amp;type=1", "众信旅游:首次公开发行股票上市公告书")</f>
        <v>众信旅游:首次公开发行股票上市公告书</v>
      </c>
    </row>
    <row r="74" spans="1:3" x14ac:dyDescent="0.15">
      <c r="A74" s="1">
        <v>41661</v>
      </c>
      <c r="B74" t="s">
        <v>6</v>
      </c>
      <c r="C74" s="2" t="str">
        <f>HYPERLINK("http://snap.windin.com/ns/bulletin.php?id=21952178&amp;type=1", "安控股份:首次公开发行股票并在创业板上市公告书")</f>
        <v>安控股份:首次公开发行股票并在创业板上市公告书</v>
      </c>
    </row>
    <row r="75" spans="1:3" x14ac:dyDescent="0.15">
      <c r="A75" s="1">
        <v>41661</v>
      </c>
      <c r="B75" t="s">
        <v>43</v>
      </c>
      <c r="C75" s="2" t="str">
        <f>HYPERLINK("http://snap.windin.com/ns/bulletin.php?id=21952176&amp;type=1", "扬杰科技:首次公开发行股票并在创业板上市之上市公告书")</f>
        <v>扬杰科技:首次公开发行股票并在创业板上市之上市公告书</v>
      </c>
    </row>
    <row r="76" spans="1:3" x14ac:dyDescent="0.15">
      <c r="A76" s="1">
        <v>41661</v>
      </c>
      <c r="B76" t="s">
        <v>44</v>
      </c>
      <c r="C76" s="2" t="str">
        <f>HYPERLINK("http://snap.windin.com/ns/bulletin.php?id=21952152&amp;type=1", "汇金股份:首次公开发行股票并在创业板上市之上市公告书")</f>
        <v>汇金股份:首次公开发行股票并在创业板上市之上市公告书</v>
      </c>
    </row>
    <row r="77" spans="1:3" x14ac:dyDescent="0.15">
      <c r="A77" s="1">
        <v>41661</v>
      </c>
      <c r="B77" t="s">
        <v>6</v>
      </c>
      <c r="C77" s="2" t="str">
        <f>HYPERLINK("http://snap.windin.com/ns/bulletin.php?id=21952142&amp;type=1", "安控股份:首次公开发行股票并在创业板上市公告书提示性公告")</f>
        <v>安控股份:首次公开发行股票并在创业板上市公告书提示性公告</v>
      </c>
    </row>
    <row r="78" spans="1:3" x14ac:dyDescent="0.15">
      <c r="A78" s="1">
        <v>41661</v>
      </c>
      <c r="B78" t="s">
        <v>44</v>
      </c>
      <c r="C78" s="2" t="str">
        <f>HYPERLINK("http://snap.windin.com/ns/bulletin.php?id=21952120&amp;type=1", "汇金股份:首次公开发行股票并在创业板上市上市公告书提示性公告")</f>
        <v>汇金股份:首次公开发行股票并在创业板上市上市公告书提示性公告</v>
      </c>
    </row>
    <row r="79" spans="1:3" x14ac:dyDescent="0.15">
      <c r="A79" s="1">
        <v>41661</v>
      </c>
      <c r="B79" t="s">
        <v>43</v>
      </c>
      <c r="C79" s="2" t="str">
        <f>HYPERLINK("http://snap.windin.com/ns/bulletin.php?id=21952112&amp;type=1", "扬杰科技:首次公开发行股票并在创业板上市上市公告书提示公告")</f>
        <v>扬杰科技:首次公开发行股票并在创业板上市上市公告书提示公告</v>
      </c>
    </row>
    <row r="80" spans="1:3" x14ac:dyDescent="0.15">
      <c r="A80" s="1">
        <v>41661</v>
      </c>
      <c r="B80" t="s">
        <v>12</v>
      </c>
      <c r="C80" s="2" t="str">
        <f>HYPERLINK("http://snap.windin.com/ns/bulletin.php?id=21949548&amp;type=1", "晶方科技:首次公开发行股票招股说明书(更新版)")</f>
        <v>晶方科技:首次公开发行股票招股说明书(更新版)</v>
      </c>
    </row>
    <row r="81" spans="1:3" x14ac:dyDescent="0.15">
      <c r="A81" s="1">
        <v>41661</v>
      </c>
      <c r="B81" t="s">
        <v>12</v>
      </c>
      <c r="C81" s="2" t="str">
        <f>HYPERLINK("http://snap.windin.com/ns/bulletin.php?id=21949542&amp;type=1", "晶方科技:首次公开发行股票招股说明书摘要(更新版)")</f>
        <v>晶方科技:首次公开发行股票招股说明书摘要(更新版)</v>
      </c>
    </row>
    <row r="82" spans="1:3" x14ac:dyDescent="0.15">
      <c r="A82" s="1">
        <v>41660</v>
      </c>
      <c r="B82" t="s">
        <v>45</v>
      </c>
      <c r="C82" s="2" t="str">
        <f>HYPERLINK("http://snap.windin.com/ns/bulletin.php?id=21941896&amp;type=1", "应流股份:首次公开发行A股股票上市公告书")</f>
        <v>应流股份:首次公开发行A股股票上市公告书</v>
      </c>
    </row>
    <row r="83" spans="1:3" x14ac:dyDescent="0.15">
      <c r="A83" s="1">
        <v>41659</v>
      </c>
      <c r="B83" t="s">
        <v>46</v>
      </c>
      <c r="C83" s="2" t="str">
        <f>HYPERLINK("http://snap.windin.com/ns/bulletin.php?id=21933612&amp;type=1", "我武生物:首次公开发行股票并在创业板上市之上市公告书提示性公告")</f>
        <v>我武生物:首次公开发行股票并在创业板上市之上市公告书提示性公告</v>
      </c>
    </row>
    <row r="84" spans="1:3" x14ac:dyDescent="0.15">
      <c r="A84" s="1">
        <v>41659</v>
      </c>
      <c r="B84" t="s">
        <v>46</v>
      </c>
      <c r="C84" s="2" t="str">
        <f>HYPERLINK("http://snap.windin.com/ns/bulletin.php?id=21933610&amp;type=1", "我武生物:首次公开发行股票并在创业板上市之上市公告书")</f>
        <v>我武生物:首次公开发行股票并在创业板上市之上市公告书</v>
      </c>
    </row>
    <row r="85" spans="1:3" x14ac:dyDescent="0.15">
      <c r="A85" s="1">
        <v>41659</v>
      </c>
      <c r="B85" t="s">
        <v>10</v>
      </c>
      <c r="C85" s="2" t="str">
        <f>HYPERLINK("http://snap.windin.com/ns/bulletin.php?id=21933540&amp;type=1", "新宝股份:首次公开发行股票上市公告书")</f>
        <v>新宝股份:首次公开发行股票上市公告书</v>
      </c>
    </row>
    <row r="86" spans="1:3" x14ac:dyDescent="0.15">
      <c r="A86" s="1">
        <v>41659</v>
      </c>
      <c r="B86" t="s">
        <v>47</v>
      </c>
      <c r="C86" s="2" t="str">
        <f>HYPERLINK("http://snap.windin.com/ns/bulletin.php?id=21933470&amp;type=1", "炬华科技:首次公开发行股票并在创业板上市之上市公告书")</f>
        <v>炬华科技:首次公开发行股票并在创业板上市之上市公告书</v>
      </c>
    </row>
    <row r="87" spans="1:3" x14ac:dyDescent="0.15">
      <c r="A87" s="1">
        <v>41659</v>
      </c>
      <c r="B87" t="s">
        <v>48</v>
      </c>
      <c r="C87" s="2" t="str">
        <f>HYPERLINK("http://snap.windin.com/ns/bulletin.php?id=21933466&amp;type=1", "全通教育:首次公开发行股票并在创业板上市之上市公告书")</f>
        <v>全通教育:首次公开发行股票并在创业板上市之上市公告书</v>
      </c>
    </row>
    <row r="88" spans="1:3" x14ac:dyDescent="0.15">
      <c r="A88" s="1">
        <v>41659</v>
      </c>
      <c r="B88" t="s">
        <v>48</v>
      </c>
      <c r="C88" s="2" t="str">
        <f>HYPERLINK("http://snap.windin.com/ns/bulletin.php?id=21933462&amp;type=1", "全通教育:首次公开发行股票并在创业板上市公告书提示性公告")</f>
        <v>全通教育:首次公开发行股票并在创业板上市公告书提示性公告</v>
      </c>
    </row>
    <row r="89" spans="1:3" x14ac:dyDescent="0.15">
      <c r="A89" s="1">
        <v>41659</v>
      </c>
      <c r="B89" t="s">
        <v>47</v>
      </c>
      <c r="C89" s="2" t="str">
        <f>HYPERLINK("http://snap.windin.com/ns/bulletin.php?id=21933458&amp;type=1", "炬华科技:首次公开发行股票并在创业板上市公告书提示性公告")</f>
        <v>炬华科技:首次公开发行股票并在创业板上市公告书提示性公告</v>
      </c>
    </row>
    <row r="90" spans="1:3" x14ac:dyDescent="0.15">
      <c r="A90" s="1">
        <v>41659</v>
      </c>
      <c r="B90" t="s">
        <v>49</v>
      </c>
      <c r="C90" s="2" t="str">
        <f>HYPERLINK("http://snap.windin.com/ns/bulletin.php?id=21933384&amp;type=1", "天保重装:首次公开发行股票并在创业板上市上市公告书")</f>
        <v>天保重装:首次公开发行股票并在创业板上市上市公告书</v>
      </c>
    </row>
    <row r="91" spans="1:3" x14ac:dyDescent="0.15">
      <c r="A91" s="1">
        <v>41659</v>
      </c>
      <c r="B91" t="s">
        <v>14</v>
      </c>
      <c r="C91" s="2" t="str">
        <f>HYPERLINK("http://snap.windin.com/ns/bulletin.php?id=21933382&amp;type=1", "光环新网:首次公开发行股票并在创业板上市招股说明书")</f>
        <v>光环新网:首次公开发行股票并在创业板上市招股说明书</v>
      </c>
    </row>
    <row r="92" spans="1:3" x14ac:dyDescent="0.15">
      <c r="A92" s="1">
        <v>41659</v>
      </c>
      <c r="B92" t="s">
        <v>49</v>
      </c>
      <c r="C92" s="2" t="str">
        <f>HYPERLINK("http://snap.windin.com/ns/bulletin.php?id=21933362&amp;type=1", "天保重装:首次公开发行股票并在创业板上市公告书提示性公告")</f>
        <v>天保重装:首次公开发行股票并在创业板上市公告书提示性公告</v>
      </c>
    </row>
    <row r="93" spans="1:3" x14ac:dyDescent="0.15">
      <c r="A93" s="1">
        <v>41659</v>
      </c>
      <c r="B93" t="s">
        <v>50</v>
      </c>
      <c r="C93" s="2" t="str">
        <f>HYPERLINK("http://snap.windin.com/ns/bulletin.php?id=21933310&amp;type=1", "楚天科技:首次公开发行股票上市公告书")</f>
        <v>楚天科技:首次公开发行股票上市公告书</v>
      </c>
    </row>
    <row r="94" spans="1:3" x14ac:dyDescent="0.15">
      <c r="A94" s="1">
        <v>41659</v>
      </c>
      <c r="B94" t="s">
        <v>50</v>
      </c>
      <c r="C94" s="2" t="str">
        <f>HYPERLINK("http://snap.windin.com/ns/bulletin.php?id=21933282&amp;type=1", "楚天科技:首次公开发行股票并在创业板上市公告书提示性公告")</f>
        <v>楚天科技:首次公开发行股票并在创业板上市公告书提示性公告</v>
      </c>
    </row>
    <row r="95" spans="1:3" x14ac:dyDescent="0.15">
      <c r="A95" s="1">
        <v>41659</v>
      </c>
      <c r="B95" t="s">
        <v>51</v>
      </c>
      <c r="C95" s="2" t="str">
        <f>HYPERLINK("http://snap.windin.com/ns/bulletin.php?id=21933268&amp;type=1", "光洋股份:首次公开发行股票上市公告书")</f>
        <v>光洋股份:首次公开发行股票上市公告书</v>
      </c>
    </row>
    <row r="96" spans="1:3" x14ac:dyDescent="0.15">
      <c r="A96" s="1">
        <v>41659</v>
      </c>
      <c r="B96" t="s">
        <v>52</v>
      </c>
      <c r="C96" s="2" t="str">
        <f>HYPERLINK("http://snap.windin.com/ns/bulletin.php?id=21933264&amp;type=1", "良信电器:首次公开发行股票上市公告书")</f>
        <v>良信电器:首次公开发行股票上市公告书</v>
      </c>
    </row>
    <row r="97" spans="1:3" x14ac:dyDescent="0.15">
      <c r="A97" s="1">
        <v>41657</v>
      </c>
      <c r="B97" t="s">
        <v>36</v>
      </c>
      <c r="C97" s="2" t="str">
        <f>HYPERLINK("http://snap.windin.com/ns/bulletin.php?id=21919112&amp;type=1", "鹏翎股份:首次公开发行股票并在创业板上市招股说明书(更新后)")</f>
        <v>鹏翎股份:首次公开发行股票并在创业板上市招股说明书(更新后)</v>
      </c>
    </row>
    <row r="98" spans="1:3" x14ac:dyDescent="0.15">
      <c r="A98" s="1">
        <v>41657</v>
      </c>
      <c r="B98" t="s">
        <v>36</v>
      </c>
      <c r="C98" s="2" t="str">
        <f>HYPERLINK("http://snap.windin.com/ns/bulletin.php?id=21919108&amp;type=1", "鹏翎股份:关于公司首次公开发行股票并在创业板上市招股说明书之更正公告")</f>
        <v>鹏翎股份:关于公司首次公开发行股票并在创业板上市招股说明书之更正公告</v>
      </c>
    </row>
    <row r="99" spans="1:3" x14ac:dyDescent="0.15">
      <c r="A99" s="1">
        <v>41656</v>
      </c>
      <c r="B99" t="s">
        <v>23</v>
      </c>
      <c r="C99" s="2" t="str">
        <f>HYPERLINK("http://snap.windin.com/ns/bulletin.php?id=21911274&amp;type=1", "金轮股份:首次公开发行股票招股说明书")</f>
        <v>金轮股份:首次公开发行股票招股说明书</v>
      </c>
    </row>
    <row r="100" spans="1:3" x14ac:dyDescent="0.15">
      <c r="A100" s="1">
        <v>41656</v>
      </c>
      <c r="B100" t="s">
        <v>23</v>
      </c>
      <c r="C100" s="2" t="str">
        <f>HYPERLINK("http://snap.windin.com/ns/bulletin.php?id=21911270&amp;type=1", "金轮股份:首次公开发行股票招股说明书摘要")</f>
        <v>金轮股份:首次公开发行股票招股说明书摘要</v>
      </c>
    </row>
    <row r="101" spans="1:3" x14ac:dyDescent="0.15">
      <c r="A101" s="1">
        <v>41656</v>
      </c>
      <c r="B101" t="s">
        <v>18</v>
      </c>
      <c r="C101" s="2" t="str">
        <f>HYPERLINK("http://snap.windin.com/ns/bulletin.php?id=21911236&amp;type=1", "金莱特:首次公开发行股票招股说明书摘要")</f>
        <v>金莱特:首次公开发行股票招股说明书摘要</v>
      </c>
    </row>
    <row r="102" spans="1:3" x14ac:dyDescent="0.15">
      <c r="A102" s="1">
        <v>41656</v>
      </c>
      <c r="B102" t="s">
        <v>18</v>
      </c>
      <c r="C102" s="2" t="str">
        <f>HYPERLINK("http://snap.windin.com/ns/bulletin.php?id=21911234&amp;type=1", "金莱特:首次公开发行股票招股说明书")</f>
        <v>金莱特:首次公开发行股票招股说明书</v>
      </c>
    </row>
    <row r="103" spans="1:3" x14ac:dyDescent="0.15">
      <c r="A103" s="1">
        <v>41656</v>
      </c>
      <c r="B103" t="s">
        <v>15</v>
      </c>
      <c r="C103" s="2" t="str">
        <f>HYPERLINK("http://snap.windin.com/ns/bulletin.php?id=21911034&amp;type=1", "绿盟科技:首次公开发行股票并在创业板上市招股说明书")</f>
        <v>绿盟科技:首次公开发行股票并在创业板上市招股说明书</v>
      </c>
    </row>
    <row r="104" spans="1:3" x14ac:dyDescent="0.15">
      <c r="A104" s="1">
        <v>41656</v>
      </c>
      <c r="B104" t="s">
        <v>25</v>
      </c>
      <c r="C104" s="2" t="str">
        <f>HYPERLINK("http://snap.windin.com/ns/bulletin.php?id=21911016&amp;type=1", "麦趣尔:首次公开发行股票招股说明书")</f>
        <v>麦趣尔:首次公开发行股票招股说明书</v>
      </c>
    </row>
    <row r="105" spans="1:3" x14ac:dyDescent="0.15">
      <c r="A105" s="1">
        <v>41656</v>
      </c>
      <c r="B105" t="s">
        <v>25</v>
      </c>
      <c r="C105" s="2" t="str">
        <f>HYPERLINK("http://snap.windin.com/ns/bulletin.php?id=21911008&amp;type=1", "麦趣尔:首次公开发行股票招股说明书摘要")</f>
        <v>麦趣尔:首次公开发行股票招股说明书摘要</v>
      </c>
    </row>
    <row r="106" spans="1:3" x14ac:dyDescent="0.15">
      <c r="A106" s="1">
        <v>41656</v>
      </c>
      <c r="B106" t="s">
        <v>17</v>
      </c>
      <c r="C106" s="2" t="str">
        <f>HYPERLINK("http://snap.windin.com/ns/bulletin.php?id=21910980&amp;type=1", "跃岭股份:首次公开发行股票招股说明书")</f>
        <v>跃岭股份:首次公开发行股票招股说明书</v>
      </c>
    </row>
    <row r="107" spans="1:3" x14ac:dyDescent="0.15">
      <c r="A107" s="1">
        <v>41656</v>
      </c>
      <c r="B107" t="s">
        <v>17</v>
      </c>
      <c r="C107" s="2" t="str">
        <f>HYPERLINK("http://snap.windin.com/ns/bulletin.php?id=21910978&amp;type=1", "跃岭股份:首次公开发行股票招股说明书摘要")</f>
        <v>跃岭股份:首次公开发行股票招股说明书摘要</v>
      </c>
    </row>
    <row r="108" spans="1:3" x14ac:dyDescent="0.15">
      <c r="A108" s="1">
        <v>41656</v>
      </c>
      <c r="B108" t="s">
        <v>19</v>
      </c>
      <c r="C108" s="2" t="str">
        <f>HYPERLINK("http://snap.windin.com/ns/bulletin.php?id=21910946&amp;type=1", "东方网力:首次公开发行股票并在创业板上市招股说明书")</f>
        <v>东方网力:首次公开发行股票并在创业板上市招股说明书</v>
      </c>
    </row>
    <row r="109" spans="1:3" x14ac:dyDescent="0.15">
      <c r="A109" s="1">
        <v>41656</v>
      </c>
      <c r="B109" t="s">
        <v>20</v>
      </c>
      <c r="C109" s="2" t="str">
        <f>HYPERLINK("http://snap.windin.com/ns/bulletin.php?id=21910754&amp;type=1", "博腾股份:首次公开发行股票并在创业板上市招股说明书")</f>
        <v>博腾股份:首次公开发行股票并在创业板上市招股说明书</v>
      </c>
    </row>
    <row r="110" spans="1:3" x14ac:dyDescent="0.15">
      <c r="A110" s="1">
        <v>41656</v>
      </c>
      <c r="B110" t="s">
        <v>16</v>
      </c>
      <c r="C110" s="2" t="str">
        <f>HYPERLINK("http://snap.windin.com/ns/bulletin.php?id=21910426&amp;type=1", "斯莱克:首次公开发行股票并在创业板上市招股说明书")</f>
        <v>斯莱克:首次公开发行股票并在创业板上市招股说明书</v>
      </c>
    </row>
    <row r="111" spans="1:3" x14ac:dyDescent="0.15">
      <c r="A111" s="1">
        <v>41656</v>
      </c>
      <c r="B111" t="s">
        <v>13</v>
      </c>
      <c r="C111" s="2" t="str">
        <f>HYPERLINK("http://snap.windin.com/ns/bulletin.php?id=21910010&amp;type=1", "东方通:首次公开发行股票并在创业板上市招股说明书")</f>
        <v>东方通:首次公开发行股票并在创业板上市招股说明书</v>
      </c>
    </row>
    <row r="112" spans="1:3" x14ac:dyDescent="0.15">
      <c r="A112" s="1">
        <v>41656</v>
      </c>
      <c r="B112" t="s">
        <v>27</v>
      </c>
      <c r="C112" s="2" t="str">
        <f>HYPERLINK("http://snap.windin.com/ns/bulletin.php?id=21909896&amp;type=1", "友邦吊顶:首次公开发行股票招股说明书摘要")</f>
        <v>友邦吊顶:首次公开发行股票招股说明书摘要</v>
      </c>
    </row>
    <row r="113" spans="1:3" x14ac:dyDescent="0.15">
      <c r="A113" s="1">
        <v>41656</v>
      </c>
      <c r="B113" t="s">
        <v>27</v>
      </c>
      <c r="C113" s="2" t="str">
        <f>HYPERLINK("http://snap.windin.com/ns/bulletin.php?id=21909894&amp;type=1", "友邦吊顶:首次公开发行股票招股说明书")</f>
        <v>友邦吊顶:首次公开发行股票招股说明书</v>
      </c>
    </row>
    <row r="114" spans="1:3" x14ac:dyDescent="0.15">
      <c r="A114" s="1">
        <v>41655</v>
      </c>
      <c r="B114" t="s">
        <v>28</v>
      </c>
      <c r="C114" s="2" t="str">
        <f>HYPERLINK("http://snap.windin.com/ns/bulletin.php?id=21902554&amp;type=1", "陕西煤业:首次公开发行A股股票招股说明书摘要")</f>
        <v>陕西煤业:首次公开发行A股股票招股说明书摘要</v>
      </c>
    </row>
    <row r="115" spans="1:3" x14ac:dyDescent="0.15">
      <c r="A115" s="1">
        <v>41655</v>
      </c>
      <c r="B115" t="s">
        <v>29</v>
      </c>
      <c r="C115" s="2" t="str">
        <f>HYPERLINK("http://snap.windin.com/ns/bulletin.php?id=21902086&amp;type=1", "欧浦钢网:首次公开发行股票招股说明书摘要")</f>
        <v>欧浦钢网:首次公开发行股票招股说明书摘要</v>
      </c>
    </row>
    <row r="116" spans="1:3" x14ac:dyDescent="0.15">
      <c r="A116" s="1">
        <v>41655</v>
      </c>
      <c r="B116" t="s">
        <v>7</v>
      </c>
      <c r="C116" s="2" t="str">
        <f>HYPERLINK("http://snap.windin.com/ns/bulletin.php?id=21900386&amp;type=1", "岭南园林:首次公开发行股票招股说明书")</f>
        <v>岭南园林:首次公开发行股票招股说明书</v>
      </c>
    </row>
    <row r="117" spans="1:3" x14ac:dyDescent="0.15">
      <c r="A117" s="1">
        <v>41655</v>
      </c>
      <c r="B117" t="s">
        <v>21</v>
      </c>
      <c r="C117" s="2" t="str">
        <f>HYPERLINK("http://snap.windin.com/ns/bulletin.php?id=21900384&amp;type=1", "金贵银业:首次公开发行股票招股说明书摘要")</f>
        <v>金贵银业:首次公开发行股票招股说明书摘要</v>
      </c>
    </row>
    <row r="118" spans="1:3" x14ac:dyDescent="0.15">
      <c r="A118" s="1">
        <v>41655</v>
      </c>
      <c r="B118" t="s">
        <v>7</v>
      </c>
      <c r="C118" s="2" t="str">
        <f>HYPERLINK("http://snap.windin.com/ns/bulletin.php?id=21900382&amp;type=1", "岭南园林:首次公开发行股票招股说明书摘要")</f>
        <v>岭南园林:首次公开发行股票招股说明书摘要</v>
      </c>
    </row>
    <row r="119" spans="1:3" x14ac:dyDescent="0.15">
      <c r="A119" s="1">
        <v>41655</v>
      </c>
      <c r="B119" t="s">
        <v>24</v>
      </c>
      <c r="C119" s="2" t="str">
        <f>HYPERLINK("http://snap.windin.com/ns/bulletin.php?id=21900380&amp;type=1", "牧原股份:首次公开发行股票招股说明书")</f>
        <v>牧原股份:首次公开发行股票招股说明书</v>
      </c>
    </row>
    <row r="120" spans="1:3" x14ac:dyDescent="0.15">
      <c r="A120" s="1">
        <v>41655</v>
      </c>
      <c r="B120" t="s">
        <v>24</v>
      </c>
      <c r="C120" s="2" t="str">
        <f>HYPERLINK("http://snap.windin.com/ns/bulletin.php?id=21900376&amp;type=1", "牧原股份:首次公开发行股票招股说明书摘要")</f>
        <v>牧原股份:首次公开发行股票招股说明书摘要</v>
      </c>
    </row>
    <row r="121" spans="1:3" x14ac:dyDescent="0.15">
      <c r="A121" s="1">
        <v>41655</v>
      </c>
      <c r="B121" t="s">
        <v>21</v>
      </c>
      <c r="C121" s="2" t="str">
        <f>HYPERLINK("http://snap.windin.com/ns/bulletin.php?id=21900372&amp;type=1", "金贵银业:首次公开发行股票招股说明书")</f>
        <v>金贵银业:首次公开发行股票招股说明书</v>
      </c>
    </row>
    <row r="122" spans="1:3" x14ac:dyDescent="0.15">
      <c r="A122" s="1">
        <v>41655</v>
      </c>
      <c r="B122" t="s">
        <v>22</v>
      </c>
      <c r="C122" s="2" t="str">
        <f>HYPERLINK("http://snap.windin.com/ns/bulletin.php?id=21900340&amp;type=1", "溢多利:首次公开发行股票并在创业板上市招股说明书")</f>
        <v>溢多利:首次公开发行股票并在创业板上市招股说明书</v>
      </c>
    </row>
    <row r="123" spans="1:3" x14ac:dyDescent="0.15">
      <c r="A123" s="1">
        <v>41655</v>
      </c>
      <c r="B123" t="s">
        <v>29</v>
      </c>
      <c r="C123" s="2" t="str">
        <f>HYPERLINK("http://snap.windin.com/ns/bulletin.php?id=21900324&amp;type=1", "欧浦钢网:首次公开发行股票招股说明书")</f>
        <v>欧浦钢网:首次公开发行股票招股说明书</v>
      </c>
    </row>
    <row r="124" spans="1:3" x14ac:dyDescent="0.15">
      <c r="A124" s="1">
        <v>41655</v>
      </c>
      <c r="B124" t="s">
        <v>28</v>
      </c>
      <c r="C124" s="2" t="str">
        <f>HYPERLINK("http://snap.windin.com/ns/bulletin.php?id=21900312&amp;type=1", "陕西煤业:首次公开发行A股股票招股说明书")</f>
        <v>陕西煤业:首次公开发行A股股票招股说明书</v>
      </c>
    </row>
    <row r="125" spans="1:3" x14ac:dyDescent="0.15">
      <c r="A125" s="1">
        <v>41655</v>
      </c>
      <c r="B125" t="s">
        <v>26</v>
      </c>
      <c r="C125" s="2" t="str">
        <f>HYPERLINK("http://snap.windin.com/ns/bulletin.php?id=21900276&amp;type=1", "安硕信息:首次公开发行股票并在创业板上市招股说明书")</f>
        <v>安硕信息:首次公开发行股票并在创业板上市招股说明书</v>
      </c>
    </row>
    <row r="126" spans="1:3" x14ac:dyDescent="0.15">
      <c r="A126" s="1">
        <v>41655</v>
      </c>
      <c r="B126" t="s">
        <v>34</v>
      </c>
      <c r="C126" s="2" t="str">
        <f>HYPERLINK("http://snap.windin.com/ns/bulletin.php?id=21900272&amp;type=1", "鼎捷软件:首次公开发行股票并在创业板上市招股说明书")</f>
        <v>鼎捷软件:首次公开发行股票并在创业板上市招股说明书</v>
      </c>
    </row>
    <row r="127" spans="1:3" x14ac:dyDescent="0.15">
      <c r="A127" s="1">
        <v>41655</v>
      </c>
      <c r="B127" t="s">
        <v>33</v>
      </c>
      <c r="C127" s="2" t="str">
        <f>HYPERLINK("http://snap.windin.com/ns/bulletin.php?id=21899560&amp;type=1", "易事特:首次公开发行股票并在创业板上市招股说明书")</f>
        <v>易事特:首次公开发行股票并在创业板上市招股说明书</v>
      </c>
    </row>
    <row r="128" spans="1:3" x14ac:dyDescent="0.15">
      <c r="A128" s="1">
        <v>41655</v>
      </c>
      <c r="B128" t="s">
        <v>53</v>
      </c>
      <c r="C128" s="2" t="str">
        <f>HYPERLINK("http://snap.windin.com/ns/bulletin.php?id=21898144&amp;type=1", "纽威股份:首次公开发行A股股票上市公告书")</f>
        <v>纽威股份:首次公开发行A股股票上市公告书</v>
      </c>
    </row>
    <row r="129" spans="1:3" x14ac:dyDescent="0.15">
      <c r="A129" s="1">
        <v>41655</v>
      </c>
      <c r="B129" t="s">
        <v>12</v>
      </c>
      <c r="C129" s="2" t="str">
        <f>HYPERLINK("http://snap.windin.com/ns/bulletin.php?id=21897864&amp;type=1", "晶方科技:首次公开发行股票招股说明书摘要(修订版)")</f>
        <v>晶方科技:首次公开发行股票招股说明书摘要(修订版)</v>
      </c>
    </row>
    <row r="130" spans="1:3" x14ac:dyDescent="0.15">
      <c r="A130" s="1">
        <v>41654</v>
      </c>
      <c r="B130" t="s">
        <v>11</v>
      </c>
      <c r="C130" s="2" t="str">
        <f>HYPERLINK("http://snap.windin.com/ns/bulletin.php?id=21886798&amp;type=1", "海天味业:首次公开发行股票招股意向书")</f>
        <v>海天味业:首次公开发行股票招股意向书</v>
      </c>
    </row>
    <row r="131" spans="1:3" x14ac:dyDescent="0.15">
      <c r="A131" s="1">
        <v>41654</v>
      </c>
      <c r="B131" t="s">
        <v>11</v>
      </c>
      <c r="C131" s="2" t="str">
        <f>HYPERLINK("http://snap.windin.com/ns/bulletin.php?id=21886788&amp;type=1", "海天味业:首次公开发行股票招股意向书摘要")</f>
        <v>海天味业:首次公开发行股票招股意向书摘要</v>
      </c>
    </row>
    <row r="132" spans="1:3" x14ac:dyDescent="0.15">
      <c r="A132" s="1">
        <v>41654</v>
      </c>
      <c r="B132" t="s">
        <v>11</v>
      </c>
      <c r="C132" s="2" t="str">
        <f>HYPERLINK("http://snap.windin.com/ns/bulletin.php?id=21886756&amp;type=1", "海天味业:首次公开发行股票招股意向书附录")</f>
        <v>海天味业:首次公开发行股票招股意向书附录</v>
      </c>
    </row>
    <row r="133" spans="1:3" x14ac:dyDescent="0.15">
      <c r="A133" s="1">
        <v>41654</v>
      </c>
      <c r="B133" t="s">
        <v>31</v>
      </c>
      <c r="C133" s="2" t="str">
        <f>HYPERLINK("http://snap.windin.com/ns/bulletin.php?id=21886556&amp;type=1", "创意信息:首次公开发行股票并在创业板上市招股说明书")</f>
        <v>创意信息:首次公开发行股票并在创业板上市招股说明书</v>
      </c>
    </row>
    <row r="134" spans="1:3" x14ac:dyDescent="0.15">
      <c r="A134" s="1">
        <v>41654</v>
      </c>
      <c r="B134" t="s">
        <v>35</v>
      </c>
      <c r="C134" s="2" t="str">
        <f>HYPERLINK("http://snap.windin.com/ns/bulletin.php?id=21886548&amp;type=1", "金一文化:首次公开发行股票招股说明书")</f>
        <v>金一文化:首次公开发行股票招股说明书</v>
      </c>
    </row>
    <row r="135" spans="1:3" x14ac:dyDescent="0.15">
      <c r="A135" s="1">
        <v>41654</v>
      </c>
      <c r="B135" t="s">
        <v>35</v>
      </c>
      <c r="C135" s="2" t="str">
        <f>HYPERLINK("http://snap.windin.com/ns/bulletin.php?id=21886540&amp;type=1", "金一文化:首次公开发行股票招股说明书摘要")</f>
        <v>金一文化:首次公开发行股票招股说明书摘要</v>
      </c>
    </row>
    <row r="136" spans="1:3" x14ac:dyDescent="0.15">
      <c r="A136" s="1">
        <v>41654</v>
      </c>
      <c r="B136" t="s">
        <v>30</v>
      </c>
      <c r="C136" s="2" t="str">
        <f>HYPERLINK("http://snap.windin.com/ns/bulletin.php?id=21886226&amp;type=1", "欣泰电气:首次公开发行股票并在创业板上市招股说明书")</f>
        <v>欣泰电气:首次公开发行股票并在创业板上市招股说明书</v>
      </c>
    </row>
    <row r="137" spans="1:3" x14ac:dyDescent="0.15">
      <c r="A137" s="1">
        <v>41654</v>
      </c>
      <c r="B137" t="s">
        <v>12</v>
      </c>
      <c r="C137" s="2" t="str">
        <f>HYPERLINK("http://snap.windin.com/ns/bulletin.php?id=21885880&amp;type=1", "晶方科技:首次公开发行股票招股说明书")</f>
        <v>晶方科技:首次公开发行股票招股说明书</v>
      </c>
    </row>
    <row r="138" spans="1:3" x14ac:dyDescent="0.15">
      <c r="A138" s="1">
        <v>41654</v>
      </c>
      <c r="B138" t="s">
        <v>12</v>
      </c>
      <c r="C138" s="2" t="str">
        <f>HYPERLINK("http://snap.windin.com/ns/bulletin.php?id=21885820&amp;type=1", "晶方科技:首次公开发行股票招股说明书摘要")</f>
        <v>晶方科技:首次公开发行股票招股说明书摘要</v>
      </c>
    </row>
    <row r="139" spans="1:3" x14ac:dyDescent="0.15">
      <c r="A139" s="1">
        <v>41653</v>
      </c>
      <c r="B139" t="s">
        <v>43</v>
      </c>
      <c r="C139" s="2" t="str">
        <f>HYPERLINK("http://snap.windin.com/ns/bulletin.php?id=21877366&amp;type=1", "扬杰科技:首次公开发行股票并在创业板上市招股说明书")</f>
        <v>扬杰科技:首次公开发行股票并在创业板上市招股说明书</v>
      </c>
    </row>
    <row r="140" spans="1:3" x14ac:dyDescent="0.15">
      <c r="A140" s="1">
        <v>41653</v>
      </c>
      <c r="B140" t="s">
        <v>44</v>
      </c>
      <c r="C140" s="2" t="str">
        <f>HYPERLINK("http://snap.windin.com/ns/bulletin.php?id=21877352&amp;type=1", "汇金股份:首次公开发行股票并在创业板上市招股说明书")</f>
        <v>汇金股份:首次公开发行股票并在创业板上市招股说明书</v>
      </c>
    </row>
    <row r="141" spans="1:3" x14ac:dyDescent="0.15">
      <c r="A141" s="1">
        <v>41653</v>
      </c>
      <c r="B141" t="s">
        <v>40</v>
      </c>
      <c r="C141" s="2" t="str">
        <f>HYPERLINK("http://snap.windin.com/ns/bulletin.php?id=21877282&amp;type=1", "汇中股份:首次公开发行股票并在创业板上市招股说明书")</f>
        <v>汇中股份:首次公开发行股票并在创业板上市招股说明书</v>
      </c>
    </row>
    <row r="142" spans="1:3" x14ac:dyDescent="0.15">
      <c r="A142" s="1">
        <v>41653</v>
      </c>
      <c r="B142" t="s">
        <v>9</v>
      </c>
      <c r="C142" s="2" t="str">
        <f>HYPERLINK("http://snap.windin.com/ns/bulletin.php?id=21877278&amp;type=1", "东易日盛:首次公开发行股票并上市招股说明书摘要")</f>
        <v>东易日盛:首次公开发行股票并上市招股说明书摘要</v>
      </c>
    </row>
    <row r="143" spans="1:3" x14ac:dyDescent="0.15">
      <c r="A143" s="1">
        <v>41653</v>
      </c>
      <c r="B143" t="s">
        <v>9</v>
      </c>
      <c r="C143" s="2" t="str">
        <f>HYPERLINK("http://snap.windin.com/ns/bulletin.php?id=21877274&amp;type=1", "东易日盛:首次公开发行股票并上市招股说明书")</f>
        <v>东易日盛:首次公开发行股票并上市招股说明书</v>
      </c>
    </row>
    <row r="144" spans="1:3" x14ac:dyDescent="0.15">
      <c r="A144" s="1">
        <v>41653</v>
      </c>
      <c r="B144" t="s">
        <v>36</v>
      </c>
      <c r="C144" s="2" t="str">
        <f>HYPERLINK("http://snap.windin.com/ns/bulletin.php?id=21877140&amp;type=1", "鹏翎股份:首次公开发行股票并在创业板上市招股说明书")</f>
        <v>鹏翎股份:首次公开发行股票并在创业板上市招股说明书</v>
      </c>
    </row>
    <row r="145" spans="1:3" x14ac:dyDescent="0.15">
      <c r="A145" s="1">
        <v>41653</v>
      </c>
      <c r="B145" t="s">
        <v>39</v>
      </c>
      <c r="C145" s="2" t="str">
        <f>HYPERLINK("http://snap.windin.com/ns/bulletin.php?id=21877132&amp;type=1", "恒华科技:首次公开发行股票并在创业板上市招股说明书")</f>
        <v>恒华科技:首次公开发行股票并在创业板上市招股说明书</v>
      </c>
    </row>
    <row r="146" spans="1:3" x14ac:dyDescent="0.15">
      <c r="A146" s="1">
        <v>41653</v>
      </c>
      <c r="B146" t="s">
        <v>42</v>
      </c>
      <c r="C146" s="2" t="str">
        <f>HYPERLINK("http://snap.windin.com/ns/bulletin.php?id=21877130&amp;type=1", "众信旅游:首次公开发行股票招股说明书")</f>
        <v>众信旅游:首次公开发行股票招股说明书</v>
      </c>
    </row>
    <row r="147" spans="1:3" x14ac:dyDescent="0.15">
      <c r="A147" s="1">
        <v>41653</v>
      </c>
      <c r="B147" t="s">
        <v>42</v>
      </c>
      <c r="C147" s="2" t="str">
        <f>HYPERLINK("http://snap.windin.com/ns/bulletin.php?id=21877128&amp;type=1", "众信旅游:首次公开发行股票招股说明书摘要")</f>
        <v>众信旅游:首次公开发行股票招股说明书摘要</v>
      </c>
    </row>
    <row r="148" spans="1:3" x14ac:dyDescent="0.15">
      <c r="A148" s="1">
        <v>41653</v>
      </c>
      <c r="B148" t="s">
        <v>37</v>
      </c>
      <c r="C148" s="2" t="str">
        <f>HYPERLINK("http://snap.windin.com/ns/bulletin.php?id=21877122&amp;type=1", "贵人鸟:首次公开发行股票招股说明书")</f>
        <v>贵人鸟:首次公开发行股票招股说明书</v>
      </c>
    </row>
    <row r="149" spans="1:3" x14ac:dyDescent="0.15">
      <c r="A149" s="1">
        <v>41653</v>
      </c>
      <c r="B149" t="s">
        <v>37</v>
      </c>
      <c r="C149" s="2" t="str">
        <f>HYPERLINK("http://snap.windin.com/ns/bulletin.php?id=21877118&amp;type=1", "贵人鸟:首次公开发行股票招股说明书摘要")</f>
        <v>贵人鸟:首次公开发行股票招股说明书摘要</v>
      </c>
    </row>
    <row r="150" spans="1:3" x14ac:dyDescent="0.15">
      <c r="A150" s="1">
        <v>41652</v>
      </c>
      <c r="B150" t="s">
        <v>53</v>
      </c>
      <c r="C150" s="2" t="str">
        <f>HYPERLINK("http://snap.windin.com/ns/bulletin.php?id=21865940&amp;type=1", "纽威股份:首次公开发行股票招股说明书")</f>
        <v>纽威股份:首次公开发行股票招股说明书</v>
      </c>
    </row>
    <row r="151" spans="1:3" x14ac:dyDescent="0.15">
      <c r="A151" s="1">
        <v>41652</v>
      </c>
      <c r="B151" t="s">
        <v>53</v>
      </c>
      <c r="C151" s="2" t="str">
        <f>HYPERLINK("http://snap.windin.com/ns/bulletin.php?id=21865916&amp;type=1", "纽威股份:首次公开发行股票招股说明书摘要")</f>
        <v>纽威股份:首次公开发行股票招股说明书摘要</v>
      </c>
    </row>
    <row r="152" spans="1:3" x14ac:dyDescent="0.15">
      <c r="A152" s="1">
        <v>41650</v>
      </c>
      <c r="B152" t="s">
        <v>6</v>
      </c>
      <c r="C152" s="2" t="str">
        <f>HYPERLINK("http://snap.windin.com/ns/bulletin.php?id=21857970&amp;type=1", "安控股份:首次公开发行股票并在创业板上市招股说明书(更新后)")</f>
        <v>安控股份:首次公开发行股票并在创业板上市招股说明书(更新后)</v>
      </c>
    </row>
    <row r="153" spans="1:3" x14ac:dyDescent="0.15">
      <c r="A153" s="1">
        <v>41650</v>
      </c>
      <c r="B153" t="s">
        <v>36</v>
      </c>
      <c r="C153" s="2" t="str">
        <f>HYPERLINK("http://snap.windin.com/ns/bulletin.php?id=21856630&amp;type=1", "鹏翎股份:首次公开发行股票并在创业板上市招股意向书(更新后)")</f>
        <v>鹏翎股份:首次公开发行股票并在创业板上市招股意向书(更新后)</v>
      </c>
    </row>
    <row r="154" spans="1:3" x14ac:dyDescent="0.15">
      <c r="A154" s="1">
        <v>41649</v>
      </c>
      <c r="B154" t="s">
        <v>6</v>
      </c>
      <c r="C154" s="2" t="str">
        <f>HYPERLINK("http://snap.windin.com/ns/bulletin.php?id=21849226&amp;type=1", "安控股份:首次公开发行股票并在创业板上市招股说明书")</f>
        <v>安控股份:首次公开发行股票并在创业板上市招股说明书</v>
      </c>
    </row>
    <row r="155" spans="1:3" x14ac:dyDescent="0.15">
      <c r="A155" s="1">
        <v>41649</v>
      </c>
      <c r="B155" t="s">
        <v>48</v>
      </c>
      <c r="C155" s="2" t="str">
        <f>HYPERLINK("http://snap.windin.com/ns/bulletin.php?id=21849198&amp;type=1", "全通教育:首次公开发行股票并在创业板上市招股说明书")</f>
        <v>全通教育:首次公开发行股票并在创业板上市招股说明书</v>
      </c>
    </row>
    <row r="156" spans="1:3" x14ac:dyDescent="0.15">
      <c r="A156" s="1">
        <v>41649</v>
      </c>
      <c r="B156" t="s">
        <v>51</v>
      </c>
      <c r="C156" s="2" t="str">
        <f>HYPERLINK("http://snap.windin.com/ns/bulletin.php?id=21849170&amp;type=1", "光洋股份:首次公开发行股票招股说明书摘要")</f>
        <v>光洋股份:首次公开发行股票招股说明书摘要</v>
      </c>
    </row>
    <row r="157" spans="1:3" x14ac:dyDescent="0.15">
      <c r="A157" s="1">
        <v>41649</v>
      </c>
      <c r="B157" t="s">
        <v>14</v>
      </c>
      <c r="C157" s="2" t="str">
        <f>HYPERLINK("http://snap.windin.com/ns/bulletin.php?id=21849146&amp;type=1", "光环新网:首次公开发行股票并在创业板上市招股意向书")</f>
        <v>光环新网:首次公开发行股票并在创业板上市招股意向书</v>
      </c>
    </row>
    <row r="158" spans="1:3" x14ac:dyDescent="0.15">
      <c r="A158" s="1">
        <v>41649</v>
      </c>
      <c r="B158" t="s">
        <v>51</v>
      </c>
      <c r="C158" s="2" t="str">
        <f>HYPERLINK("http://snap.windin.com/ns/bulletin.php?id=21849140&amp;type=1", "光洋股份:首次公开发行股票招股说明书")</f>
        <v>光洋股份:首次公开发行股票招股说明书</v>
      </c>
    </row>
    <row r="159" spans="1:3" x14ac:dyDescent="0.15">
      <c r="A159" s="1">
        <v>41649</v>
      </c>
      <c r="B159" t="s">
        <v>41</v>
      </c>
      <c r="C159" s="2" t="str">
        <f>HYPERLINK("http://snap.windin.com/ns/bulletin.php?id=21848764&amp;type=1", "天赐材料:首次公开发行股票招股说明书")</f>
        <v>天赐材料:首次公开发行股票招股说明书</v>
      </c>
    </row>
    <row r="160" spans="1:3" x14ac:dyDescent="0.15">
      <c r="A160" s="1">
        <v>41649</v>
      </c>
      <c r="B160" t="s">
        <v>41</v>
      </c>
      <c r="C160" s="2" t="str">
        <f>HYPERLINK("http://snap.windin.com/ns/bulletin.php?id=21848756&amp;type=1", "天赐材料:首次公开发行股票招股说明书摘要")</f>
        <v>天赐材料:首次公开发行股票招股说明书摘要</v>
      </c>
    </row>
    <row r="161" spans="1:3" x14ac:dyDescent="0.15">
      <c r="A161" s="1">
        <v>41649</v>
      </c>
      <c r="B161" t="s">
        <v>45</v>
      </c>
      <c r="C161" s="2" t="str">
        <f>HYPERLINK("http://snap.windin.com/ns/bulletin.php?id=21848034&amp;type=1", "应流股份:首次公开发行股票招股说明书")</f>
        <v>应流股份:首次公开发行股票招股说明书</v>
      </c>
    </row>
    <row r="162" spans="1:3" x14ac:dyDescent="0.15">
      <c r="A162" s="1">
        <v>41649</v>
      </c>
      <c r="B162" t="s">
        <v>45</v>
      </c>
      <c r="C162" s="2" t="str">
        <f>HYPERLINK("http://snap.windin.com/ns/bulletin.php?id=21848028&amp;type=1", "应流股份:首次公开发行股票招股说明书摘要")</f>
        <v>应流股份:首次公开发行股票招股说明书摘要</v>
      </c>
    </row>
    <row r="163" spans="1:3" x14ac:dyDescent="0.15">
      <c r="A163" s="1">
        <v>41649</v>
      </c>
      <c r="B163" t="s">
        <v>38</v>
      </c>
      <c r="C163" s="2" t="str">
        <f>HYPERLINK("http://snap.windin.com/ns/bulletin.php?id=21847982&amp;type=1", "思美传媒:首次公开发行股票并上市招股说明书")</f>
        <v>思美传媒:首次公开发行股票并上市招股说明书</v>
      </c>
    </row>
    <row r="164" spans="1:3" x14ac:dyDescent="0.15">
      <c r="A164" s="1">
        <v>41649</v>
      </c>
      <c r="B164" t="s">
        <v>38</v>
      </c>
      <c r="C164" s="2" t="str">
        <f>HYPERLINK("http://snap.windin.com/ns/bulletin.php?id=21847946&amp;type=1", "思美传媒:首次公开发行股票并上市招股说明书摘要")</f>
        <v>思美传媒:首次公开发行股票并上市招股说明书摘要</v>
      </c>
    </row>
    <row r="165" spans="1:3" x14ac:dyDescent="0.15">
      <c r="A165" s="1">
        <v>41648</v>
      </c>
      <c r="B165" t="s">
        <v>22</v>
      </c>
      <c r="C165" s="2" t="str">
        <f>HYPERLINK("http://snap.windin.com/ns/bulletin.php?id=21840640&amp;type=1", "溢多利:首次公开发行股票并在创业板上市招股意向书")</f>
        <v>溢多利:首次公开发行股票并在创业板上市招股意向书</v>
      </c>
    </row>
    <row r="166" spans="1:3" x14ac:dyDescent="0.15">
      <c r="A166" s="1">
        <v>41648</v>
      </c>
      <c r="B166" t="s">
        <v>23</v>
      </c>
      <c r="C166" s="2" t="str">
        <f>HYPERLINK("http://snap.windin.com/ns/bulletin.php?id=21840606&amp;type=1", "金轮股份:首次公开发行股票招股意向书")</f>
        <v>金轮股份:首次公开发行股票招股意向书</v>
      </c>
    </row>
    <row r="167" spans="1:3" x14ac:dyDescent="0.15">
      <c r="A167" s="1">
        <v>41648</v>
      </c>
      <c r="B167" t="s">
        <v>23</v>
      </c>
      <c r="C167" s="2" t="str">
        <f>HYPERLINK("http://snap.windin.com/ns/bulletin.php?id=21840572&amp;type=1", "金轮股份:首次公开发行股票招股意向书摘要")</f>
        <v>金轮股份:首次公开发行股票招股意向书摘要</v>
      </c>
    </row>
    <row r="168" spans="1:3" x14ac:dyDescent="0.15">
      <c r="A168" s="1">
        <v>41648</v>
      </c>
      <c r="B168" t="s">
        <v>24</v>
      </c>
      <c r="C168" s="2" t="str">
        <f>HYPERLINK("http://snap.windin.com/ns/bulletin.php?id=21840548&amp;type=1", "牧原股份:首次公开发行股票招股意向书")</f>
        <v>牧原股份:首次公开发行股票招股意向书</v>
      </c>
    </row>
    <row r="169" spans="1:3" x14ac:dyDescent="0.15">
      <c r="A169" s="1">
        <v>41648</v>
      </c>
      <c r="B169" t="s">
        <v>18</v>
      </c>
      <c r="C169" s="2" t="str">
        <f>HYPERLINK("http://snap.windin.com/ns/bulletin.php?id=21840540&amp;type=1", "金莱特:首次公开发行股票招股意向书")</f>
        <v>金莱特:首次公开发行股票招股意向书</v>
      </c>
    </row>
    <row r="170" spans="1:3" x14ac:dyDescent="0.15">
      <c r="A170" s="1">
        <v>41648</v>
      </c>
      <c r="B170" t="s">
        <v>18</v>
      </c>
      <c r="C170" s="2" t="str">
        <f>HYPERLINK("http://snap.windin.com/ns/bulletin.php?id=21840524&amp;type=1", "金莱特:首次公开发行股票招股意向书摘要")</f>
        <v>金莱特:首次公开发行股票招股意向书摘要</v>
      </c>
    </row>
    <row r="171" spans="1:3" x14ac:dyDescent="0.15">
      <c r="A171" s="1">
        <v>41648</v>
      </c>
      <c r="B171" t="s">
        <v>17</v>
      </c>
      <c r="C171" s="2" t="str">
        <f>HYPERLINK("http://snap.windin.com/ns/bulletin.php?id=21840438&amp;type=1", "跃岭股份:首次公开发行股票招股意向书摘要")</f>
        <v>跃岭股份:首次公开发行股票招股意向书摘要</v>
      </c>
    </row>
    <row r="172" spans="1:3" x14ac:dyDescent="0.15">
      <c r="A172" s="1">
        <v>41648</v>
      </c>
      <c r="B172" t="s">
        <v>25</v>
      </c>
      <c r="C172" s="2" t="str">
        <f>HYPERLINK("http://snap.windin.com/ns/bulletin.php?id=21840402&amp;type=1", "麦趣尔:首次公开发行股票招股意向书摘要")</f>
        <v>麦趣尔:首次公开发行股票招股意向书摘要</v>
      </c>
    </row>
    <row r="173" spans="1:3" x14ac:dyDescent="0.15">
      <c r="A173" s="1">
        <v>41648</v>
      </c>
      <c r="B173" t="s">
        <v>25</v>
      </c>
      <c r="C173" s="2" t="str">
        <f>HYPERLINK("http://snap.windin.com/ns/bulletin.php?id=21840396&amp;type=1", "麦趣尔:首次公开发行股票招股意向书")</f>
        <v>麦趣尔:首次公开发行股票招股意向书</v>
      </c>
    </row>
    <row r="174" spans="1:3" x14ac:dyDescent="0.15">
      <c r="A174" s="1">
        <v>41648</v>
      </c>
      <c r="B174" t="s">
        <v>24</v>
      </c>
      <c r="C174" s="2" t="str">
        <f>HYPERLINK("http://snap.windin.com/ns/bulletin.php?id=21840364&amp;type=1", "牧原股份:首次公开发行股票招股意向书摘要")</f>
        <v>牧原股份:首次公开发行股票招股意向书摘要</v>
      </c>
    </row>
    <row r="175" spans="1:3" x14ac:dyDescent="0.15">
      <c r="A175" s="1">
        <v>41648</v>
      </c>
      <c r="B175" t="s">
        <v>35</v>
      </c>
      <c r="C175" s="2" t="str">
        <f>HYPERLINK("http://snap.windin.com/ns/bulletin.php?id=21840346&amp;type=1", "金一文化:首次公开发行股票招股意向书")</f>
        <v>金一文化:首次公开发行股票招股意向书</v>
      </c>
    </row>
    <row r="176" spans="1:3" x14ac:dyDescent="0.15">
      <c r="A176" s="1">
        <v>41648</v>
      </c>
      <c r="B176" t="s">
        <v>35</v>
      </c>
      <c r="C176" s="2" t="str">
        <f>HYPERLINK("http://snap.windin.com/ns/bulletin.php?id=21840332&amp;type=1", "金一文化:首次公开发行股票招股意向书摘要")</f>
        <v>金一文化:首次公开发行股票招股意向书摘要</v>
      </c>
    </row>
    <row r="177" spans="1:3" x14ac:dyDescent="0.15">
      <c r="A177" s="1">
        <v>41648</v>
      </c>
      <c r="B177" t="s">
        <v>17</v>
      </c>
      <c r="C177" s="2" t="str">
        <f>HYPERLINK("http://snap.windin.com/ns/bulletin.php?id=21840326&amp;type=1", "跃岭股份:首次公开发行股票招股意向书")</f>
        <v>跃岭股份:首次公开发行股票招股意向书</v>
      </c>
    </row>
    <row r="178" spans="1:3" x14ac:dyDescent="0.15">
      <c r="A178" s="1">
        <v>41648</v>
      </c>
      <c r="B178" t="s">
        <v>52</v>
      </c>
      <c r="C178" s="2" t="str">
        <f>HYPERLINK("http://snap.windin.com/ns/bulletin.php?id=21840172&amp;type=1", "良信电器:首次公开发行股票招股说明书")</f>
        <v>良信电器:首次公开发行股票招股说明书</v>
      </c>
    </row>
    <row r="179" spans="1:3" x14ac:dyDescent="0.15">
      <c r="A179" s="1">
        <v>41648</v>
      </c>
      <c r="B179" t="s">
        <v>52</v>
      </c>
      <c r="C179" s="2" t="str">
        <f>HYPERLINK("http://snap.windin.com/ns/bulletin.php?id=21840170&amp;type=1", "良信电器:首次公开发行股票招股说明书摘要")</f>
        <v>良信电器:首次公开发行股票招股说明书摘要</v>
      </c>
    </row>
    <row r="180" spans="1:3" x14ac:dyDescent="0.15">
      <c r="A180" s="1">
        <v>41648</v>
      </c>
      <c r="B180" t="s">
        <v>16</v>
      </c>
      <c r="C180" s="2" t="str">
        <f>HYPERLINK("http://snap.windin.com/ns/bulletin.php?id=21840102&amp;type=1", "斯莱克:首次公开发行股票并在创业板上市招股意向书")</f>
        <v>斯莱克:首次公开发行股票并在创业板上市招股意向书</v>
      </c>
    </row>
    <row r="181" spans="1:3" x14ac:dyDescent="0.15">
      <c r="A181" s="1">
        <v>41648</v>
      </c>
      <c r="B181" t="s">
        <v>13</v>
      </c>
      <c r="C181" s="2" t="str">
        <f>HYPERLINK("http://snap.windin.com/ns/bulletin.php?id=21840080&amp;type=1", "东方通:首次公开发行股票并在创业板上市招股意向书")</f>
        <v>东方通:首次公开发行股票并在创业板上市招股意向书</v>
      </c>
    </row>
    <row r="182" spans="1:3" x14ac:dyDescent="0.15">
      <c r="A182" s="1">
        <v>41648</v>
      </c>
      <c r="B182" t="s">
        <v>26</v>
      </c>
      <c r="C182" s="2" t="str">
        <f>HYPERLINK("http://snap.windin.com/ns/bulletin.php?id=21840014&amp;type=1", "安硕信息:首次公开发行股票并在创业板上市招股意向书")</f>
        <v>安硕信息:首次公开发行股票并在创业板上市招股意向书</v>
      </c>
    </row>
    <row r="183" spans="1:3" x14ac:dyDescent="0.15">
      <c r="A183" s="1">
        <v>41648</v>
      </c>
      <c r="B183" t="s">
        <v>49</v>
      </c>
      <c r="C183" s="2" t="str">
        <f>HYPERLINK("http://snap.windin.com/ns/bulletin.php?id=21839966&amp;type=1", "天保重装:首次公开发行股票并在创业板上市招股说明书")</f>
        <v>天保重装:首次公开发行股票并在创业板上市招股说明书</v>
      </c>
    </row>
    <row r="184" spans="1:3" x14ac:dyDescent="0.15">
      <c r="A184" s="1">
        <v>41648</v>
      </c>
      <c r="B184" t="s">
        <v>27</v>
      </c>
      <c r="C184" s="2" t="str">
        <f>HYPERLINK("http://snap.windin.com/ns/bulletin.php?id=21839940&amp;type=1", "友邦吊顶:首次公开发行股票招股意向书摘要")</f>
        <v>友邦吊顶:首次公开发行股票招股意向书摘要</v>
      </c>
    </row>
    <row r="185" spans="1:3" x14ac:dyDescent="0.15">
      <c r="A185" s="1">
        <v>41648</v>
      </c>
      <c r="B185" t="s">
        <v>27</v>
      </c>
      <c r="C185" s="2" t="str">
        <f>HYPERLINK("http://snap.windin.com/ns/bulletin.php?id=21839938&amp;type=1", "友邦吊顶:首次公开发行股票招股意向书")</f>
        <v>友邦吊顶:首次公开发行股票招股意向书</v>
      </c>
    </row>
    <row r="186" spans="1:3" x14ac:dyDescent="0.15">
      <c r="A186" s="1">
        <v>41648</v>
      </c>
      <c r="B186" t="s">
        <v>47</v>
      </c>
      <c r="C186" s="2" t="str">
        <f>HYPERLINK("http://snap.windin.com/ns/bulletin.php?id=21839932&amp;type=1", "炬华科技:首次公开发行股票并在创业板上市招股说明书")</f>
        <v>炬华科技:首次公开发行股票并在创业板上市招股说明书</v>
      </c>
    </row>
    <row r="187" spans="1:3" x14ac:dyDescent="0.15">
      <c r="A187" s="1">
        <v>41648</v>
      </c>
      <c r="B187" t="s">
        <v>12</v>
      </c>
      <c r="C187" s="2" t="str">
        <f>HYPERLINK("http://snap.windin.com/ns/bulletin.php?id=21839480&amp;type=1", "晶方科技:首次公开发行股票招股意向书附录")</f>
        <v>晶方科技:首次公开发行股票招股意向书附录</v>
      </c>
    </row>
    <row r="188" spans="1:3" x14ac:dyDescent="0.15">
      <c r="A188" s="1">
        <v>41648</v>
      </c>
      <c r="B188" t="s">
        <v>12</v>
      </c>
      <c r="C188" s="2" t="str">
        <f>HYPERLINK("http://snap.windin.com/ns/bulletin.php?id=21839476&amp;type=1", "晶方科技:首次公开发行股票招股意向书")</f>
        <v>晶方科技:首次公开发行股票招股意向书</v>
      </c>
    </row>
    <row r="189" spans="1:3" x14ac:dyDescent="0.15">
      <c r="A189" s="1">
        <v>41648</v>
      </c>
      <c r="B189" t="s">
        <v>12</v>
      </c>
      <c r="C189" s="2" t="str">
        <f>HYPERLINK("http://snap.windin.com/ns/bulletin.php?id=21839474&amp;type=1", "晶方科技:首次公开发行股票招股意向书摘要")</f>
        <v>晶方科技:首次公开发行股票招股意向书摘要</v>
      </c>
    </row>
    <row r="190" spans="1:3" x14ac:dyDescent="0.15">
      <c r="A190" s="1">
        <v>41647</v>
      </c>
      <c r="B190" t="s">
        <v>8</v>
      </c>
      <c r="C190" s="2" t="str">
        <f>HYPERLINK("http://snap.windin.com/ns/bulletin.php?id=21831716&amp;type=1", "登云股份:首次公开发行股票招股意向书摘要(更新后)")</f>
        <v>登云股份:首次公开发行股票招股意向书摘要(更新后)</v>
      </c>
    </row>
    <row r="191" spans="1:3" x14ac:dyDescent="0.15">
      <c r="A191" s="1">
        <v>41647</v>
      </c>
      <c r="B191" t="s">
        <v>8</v>
      </c>
      <c r="C191" s="2" t="str">
        <f>HYPERLINK("http://snap.windin.com/ns/bulletin.php?id=21831060&amp;type=1", "登云股份:首次公开发行股票招股意向书(更新后)")</f>
        <v>登云股份:首次公开发行股票招股意向书(更新后)</v>
      </c>
    </row>
    <row r="192" spans="1:3" x14ac:dyDescent="0.15">
      <c r="A192" s="1">
        <v>41647</v>
      </c>
      <c r="B192" t="s">
        <v>50</v>
      </c>
      <c r="C192" s="2" t="str">
        <f>HYPERLINK("http://snap.windin.com/ns/bulletin.php?id=21827192&amp;type=1", "楚天科技:首次公开发行股票并在创业板上市招股说明书")</f>
        <v>楚天科技:首次公开发行股票并在创业板上市招股说明书</v>
      </c>
    </row>
    <row r="193" spans="1:3" x14ac:dyDescent="0.15">
      <c r="A193" s="1">
        <v>41647</v>
      </c>
      <c r="B193" t="s">
        <v>21</v>
      </c>
      <c r="C193" s="2" t="str">
        <f>HYPERLINK("http://snap.windin.com/ns/bulletin.php?id=21827154&amp;type=1", "金贵银业:首次公开发行股票招股意向书摘要")</f>
        <v>金贵银业:首次公开发行股票招股意向书摘要</v>
      </c>
    </row>
    <row r="194" spans="1:3" x14ac:dyDescent="0.15">
      <c r="A194" s="1">
        <v>41647</v>
      </c>
      <c r="B194" t="s">
        <v>21</v>
      </c>
      <c r="C194" s="2" t="str">
        <f>HYPERLINK("http://snap.windin.com/ns/bulletin.php?id=21827148&amp;type=1", "金贵银业:首次公开发行股票招股意向书")</f>
        <v>金贵银业:首次公开发行股票招股意向书</v>
      </c>
    </row>
    <row r="195" spans="1:3" x14ac:dyDescent="0.15">
      <c r="A195" s="1">
        <v>41647</v>
      </c>
      <c r="B195" t="s">
        <v>28</v>
      </c>
      <c r="C195" s="2" t="str">
        <f>HYPERLINK("http://snap.windin.com/ns/bulletin.php?id=21826974&amp;type=1", "陕西煤业:首次公开发行A股股票招股意向书附录")</f>
        <v>陕西煤业:首次公开发行A股股票招股意向书附录</v>
      </c>
    </row>
    <row r="196" spans="1:3" x14ac:dyDescent="0.15">
      <c r="A196" s="1">
        <v>41647</v>
      </c>
      <c r="B196" t="s">
        <v>28</v>
      </c>
      <c r="C196" s="2" t="str">
        <f>HYPERLINK("http://snap.windin.com/ns/bulletin.php?id=21826970&amp;type=1", "陕西煤业:首次公开发行A股股票招股意向书")</f>
        <v>陕西煤业:首次公开发行A股股票招股意向书</v>
      </c>
    </row>
    <row r="197" spans="1:3" x14ac:dyDescent="0.15">
      <c r="A197" s="1">
        <v>41647</v>
      </c>
      <c r="B197" t="s">
        <v>28</v>
      </c>
      <c r="C197" s="2" t="str">
        <f>HYPERLINK("http://snap.windin.com/ns/bulletin.php?id=21826968&amp;type=1", "陕西煤业:首次公开发行A股股票招股意向书摘要")</f>
        <v>陕西煤业:首次公开发行A股股票招股意向书摘要</v>
      </c>
    </row>
    <row r="198" spans="1:3" x14ac:dyDescent="0.15">
      <c r="A198" s="1">
        <v>41647</v>
      </c>
      <c r="B198" t="s">
        <v>7</v>
      </c>
      <c r="C198" s="2" t="str">
        <f>HYPERLINK("http://snap.windin.com/ns/bulletin.php?id=21826708&amp;type=1", "岭南园林:首次公开发行股票招股意向书")</f>
        <v>岭南园林:首次公开发行股票招股意向书</v>
      </c>
    </row>
    <row r="199" spans="1:3" x14ac:dyDescent="0.15">
      <c r="A199" s="1">
        <v>41647</v>
      </c>
      <c r="B199" t="s">
        <v>7</v>
      </c>
      <c r="C199" s="2" t="str">
        <f>HYPERLINK("http://snap.windin.com/ns/bulletin.php?id=21826636&amp;type=1", "岭南园林:首次公开发行股票招股意向书摘要")</f>
        <v>岭南园林:首次公开发行股票招股意向书摘要</v>
      </c>
    </row>
    <row r="200" spans="1:3" x14ac:dyDescent="0.15">
      <c r="A200" s="1">
        <v>41647</v>
      </c>
      <c r="B200" t="s">
        <v>8</v>
      </c>
      <c r="C200" s="2" t="str">
        <f>HYPERLINK("http://snap.windin.com/ns/bulletin.php?id=21826472&amp;type=1", "登云股份:首次公开发行股票招股意向书")</f>
        <v>登云股份:首次公开发行股票招股意向书</v>
      </c>
    </row>
    <row r="201" spans="1:3" x14ac:dyDescent="0.15">
      <c r="A201" s="1">
        <v>41647</v>
      </c>
      <c r="B201" t="s">
        <v>8</v>
      </c>
      <c r="C201" s="2" t="str">
        <f>HYPERLINK("http://snap.windin.com/ns/bulletin.php?id=21826424&amp;type=1", "登云股份:首次公开发行股票招股意向书摘要")</f>
        <v>登云股份:首次公开发行股票招股意向书摘要</v>
      </c>
    </row>
    <row r="202" spans="1:3" x14ac:dyDescent="0.15">
      <c r="A202" s="1">
        <v>41647</v>
      </c>
      <c r="B202" t="s">
        <v>34</v>
      </c>
      <c r="C202" s="2" t="str">
        <f>HYPERLINK("http://snap.windin.com/ns/bulletin.php?id=21825568&amp;type=1", "鼎捷软件:首次公开发行股票并在创业板上市招股意向书")</f>
        <v>鼎捷软件:首次公开发行股票并在创业板上市招股意向书</v>
      </c>
    </row>
    <row r="203" spans="1:3" x14ac:dyDescent="0.15">
      <c r="A203" s="1">
        <v>41647</v>
      </c>
      <c r="B203" t="s">
        <v>32</v>
      </c>
      <c r="C203" s="2" t="str">
        <f>HYPERLINK("http://snap.windin.com/ns/bulletin.php?id=21825498&amp;type=1", "赢时胜:首次公开发行股票并在创业板上市招股意向书")</f>
        <v>赢时胜:首次公开发行股票并在创业板上市招股意向书</v>
      </c>
    </row>
    <row r="204" spans="1:3" x14ac:dyDescent="0.15">
      <c r="A204" s="1">
        <v>41646</v>
      </c>
      <c r="B204" t="s">
        <v>36</v>
      </c>
      <c r="C204" s="2" t="str">
        <f>HYPERLINK("http://snap.windin.com/ns/bulletin.php?id=21816806&amp;type=1", "鹏翎股份:首次公开发行股票并在创业板上市招股意向书")</f>
        <v>鹏翎股份:首次公开发行股票并在创业板上市招股意向书</v>
      </c>
    </row>
    <row r="205" spans="1:3" x14ac:dyDescent="0.15">
      <c r="A205" s="1">
        <v>41646</v>
      </c>
      <c r="B205" t="s">
        <v>10</v>
      </c>
      <c r="C205" s="2" t="str">
        <f>HYPERLINK("http://snap.windin.com/ns/bulletin.php?id=21816804&amp;type=1", "新宝股份:首次公开发行股票招股说明书摘要")</f>
        <v>新宝股份:首次公开发行股票招股说明书摘要</v>
      </c>
    </row>
    <row r="206" spans="1:3" x14ac:dyDescent="0.15">
      <c r="A206" s="1">
        <v>41646</v>
      </c>
      <c r="B206" t="s">
        <v>10</v>
      </c>
      <c r="C206" s="2" t="str">
        <f>HYPERLINK("http://snap.windin.com/ns/bulletin.php?id=21816802&amp;type=1", "新宝股份:首次公开发行股票招股说明书")</f>
        <v>新宝股份:首次公开发行股票招股说明书</v>
      </c>
    </row>
    <row r="207" spans="1:3" x14ac:dyDescent="0.15">
      <c r="A207" s="1">
        <v>41646</v>
      </c>
      <c r="B207" t="s">
        <v>46</v>
      </c>
      <c r="C207" s="2" t="str">
        <f>HYPERLINK("http://snap.windin.com/ns/bulletin.php?id=21816798&amp;type=1", "我武生物:首次公开发行股票并在创业板上市招股说明书")</f>
        <v>我武生物:首次公开发行股票并在创业板上市招股说明书</v>
      </c>
    </row>
    <row r="208" spans="1:3" x14ac:dyDescent="0.15">
      <c r="A208" s="1">
        <v>41646</v>
      </c>
      <c r="B208" t="s">
        <v>9</v>
      </c>
      <c r="C208" s="2" t="str">
        <f>HYPERLINK("http://snap.windin.com/ns/bulletin.php?id=21816792&amp;type=1", "东易日盛:首次公开发行股票并上市招股意向书摘要")</f>
        <v>东易日盛:首次公开发行股票并上市招股意向书摘要</v>
      </c>
    </row>
    <row r="209" spans="1:3" x14ac:dyDescent="0.15">
      <c r="A209" s="1">
        <v>41646</v>
      </c>
      <c r="B209" t="s">
        <v>9</v>
      </c>
      <c r="C209" s="2" t="str">
        <f>HYPERLINK("http://snap.windin.com/ns/bulletin.php?id=21816778&amp;type=1", "东易日盛:首次公开发行股票并上市招股意向书")</f>
        <v>东易日盛:首次公开发行股票并上市招股意向书</v>
      </c>
    </row>
    <row r="210" spans="1:3" x14ac:dyDescent="0.15">
      <c r="A210" s="1">
        <v>41646</v>
      </c>
      <c r="B210" t="s">
        <v>37</v>
      </c>
      <c r="C210" s="2" t="str">
        <f>HYPERLINK("http://snap.windin.com/ns/bulletin.php?id=21816766&amp;type=1", "贵人鸟:首次公开发行A股股票招股意向书")</f>
        <v>贵人鸟:首次公开发行A股股票招股意向书</v>
      </c>
    </row>
    <row r="211" spans="1:3" x14ac:dyDescent="0.15">
      <c r="A211" s="1">
        <v>41646</v>
      </c>
      <c r="B211" t="s">
        <v>37</v>
      </c>
      <c r="C211" s="2" t="str">
        <f>HYPERLINK("http://snap.windin.com/ns/bulletin.php?id=21816764&amp;type=1", "贵人鸟:首次公开发行股票招股意向书附录")</f>
        <v>贵人鸟:首次公开发行股票招股意向书附录</v>
      </c>
    </row>
    <row r="212" spans="1:3" x14ac:dyDescent="0.15">
      <c r="A212" s="1">
        <v>41646</v>
      </c>
      <c r="B212" t="s">
        <v>37</v>
      </c>
      <c r="C212" s="2" t="str">
        <f>HYPERLINK("http://snap.windin.com/ns/bulletin.php?id=21816758&amp;type=1", "贵人鸟:首次公开发行A股股票招股意向书摘要")</f>
        <v>贵人鸟:首次公开发行A股股票招股意向书摘要</v>
      </c>
    </row>
    <row r="213" spans="1:3" x14ac:dyDescent="0.15">
      <c r="A213" s="1">
        <v>41646</v>
      </c>
      <c r="B213" t="s">
        <v>33</v>
      </c>
      <c r="C213" s="2" t="str">
        <f>HYPERLINK("http://snap.windin.com/ns/bulletin.php?id=21816744&amp;type=1", "易事特:首次公开发行股票并在创业板上市招股意向书")</f>
        <v>易事特:首次公开发行股票并在创业板上市招股意向书</v>
      </c>
    </row>
    <row r="214" spans="1:3" x14ac:dyDescent="0.15">
      <c r="A214" s="1">
        <v>41645</v>
      </c>
      <c r="B214" t="s">
        <v>31</v>
      </c>
      <c r="C214" s="2" t="str">
        <f>HYPERLINK("http://snap.windin.com/ns/bulletin.php?id=21809736&amp;type=1", "创意信息:首次公开发行股票并在创业板上市招股意向书")</f>
        <v>创意信息:首次公开发行股票并在创业板上市招股意向书</v>
      </c>
    </row>
    <row r="215" spans="1:3" x14ac:dyDescent="0.15">
      <c r="A215" s="1">
        <v>41645</v>
      </c>
      <c r="B215" t="s">
        <v>44</v>
      </c>
      <c r="C215" s="2" t="str">
        <f>HYPERLINK("http://snap.windin.com/ns/bulletin.php?id=21809626&amp;type=1", "汇金股份:首次公开发行股票并在创业板上市招股意向书")</f>
        <v>汇金股份:首次公开发行股票并在创业板上市招股意向书</v>
      </c>
    </row>
    <row r="216" spans="1:3" x14ac:dyDescent="0.15">
      <c r="A216" s="1">
        <v>41645</v>
      </c>
      <c r="B216" t="s">
        <v>43</v>
      </c>
      <c r="C216" s="2" t="str">
        <f>HYPERLINK("http://snap.windin.com/ns/bulletin.php?id=21809496&amp;type=1", "扬杰科技:首次公开发行股票并在创业板上市招股意向书")</f>
        <v>扬杰科技:首次公开发行股票并在创业板上市招股意向书</v>
      </c>
    </row>
    <row r="217" spans="1:3" x14ac:dyDescent="0.15">
      <c r="A217" s="1">
        <v>41645</v>
      </c>
      <c r="B217" t="s">
        <v>6</v>
      </c>
      <c r="C217" s="2" t="str">
        <f>HYPERLINK("http://snap.windin.com/ns/bulletin.php?id=21809430&amp;type=1", "安控股份:首次公开发行股票并在创业板上市招股意向书")</f>
        <v>安控股份:首次公开发行股票并在创业板上市招股意向书</v>
      </c>
    </row>
    <row r="218" spans="1:3" x14ac:dyDescent="0.15">
      <c r="A218" s="1">
        <v>41645</v>
      </c>
      <c r="B218" t="s">
        <v>40</v>
      </c>
      <c r="C218" s="2" t="str">
        <f>HYPERLINK("http://snap.windin.com/ns/bulletin.php?id=21809378&amp;type=1", "汇中股份:首次公开发行股票并在创业板上市招股意向书")</f>
        <v>汇中股份:首次公开发行股票并在创业板上市招股意向书</v>
      </c>
    </row>
    <row r="219" spans="1:3" x14ac:dyDescent="0.15">
      <c r="A219" s="1">
        <v>41645</v>
      </c>
      <c r="B219" t="s">
        <v>30</v>
      </c>
      <c r="C219" s="2" t="str">
        <f>HYPERLINK("http://snap.windin.com/ns/bulletin.php?id=21809342&amp;type=1", "欣泰电气:首次公开发行股票并在创业板上市招股意向书")</f>
        <v>欣泰电气:首次公开发行股票并在创业板上市招股意向书</v>
      </c>
    </row>
    <row r="220" spans="1:3" x14ac:dyDescent="0.15">
      <c r="A220" s="1">
        <v>41645</v>
      </c>
      <c r="B220" t="s">
        <v>29</v>
      </c>
      <c r="C220" s="2" t="str">
        <f>HYPERLINK("http://snap.windin.com/ns/bulletin.php?id=21809318&amp;type=1", "欧浦钢网:首次公开发行股票招股意向书")</f>
        <v>欧浦钢网:首次公开发行股票招股意向书</v>
      </c>
    </row>
    <row r="221" spans="1:3" x14ac:dyDescent="0.15">
      <c r="A221" s="1">
        <v>41645</v>
      </c>
      <c r="B221" t="s">
        <v>19</v>
      </c>
      <c r="C221" s="2" t="str">
        <f>HYPERLINK("http://snap.windin.com/ns/bulletin.php?id=21809288&amp;type=1", "东方网力:首次公开发行股票并在创业板上市招股意向书")</f>
        <v>东方网力:首次公开发行股票并在创业板上市招股意向书</v>
      </c>
    </row>
    <row r="222" spans="1:3" x14ac:dyDescent="0.15">
      <c r="A222" s="1">
        <v>41645</v>
      </c>
      <c r="B222" t="s">
        <v>29</v>
      </c>
      <c r="C222" s="2" t="str">
        <f>HYPERLINK("http://snap.windin.com/ns/bulletin.php?id=21809280&amp;type=1", "欧浦钢网:首次公开发行股票招股意向书摘要")</f>
        <v>欧浦钢网:首次公开发行股票招股意向书摘要</v>
      </c>
    </row>
    <row r="223" spans="1:3" x14ac:dyDescent="0.15">
      <c r="A223" s="1">
        <v>41645</v>
      </c>
      <c r="B223" t="s">
        <v>38</v>
      </c>
      <c r="C223" s="2" t="str">
        <f>HYPERLINK("http://snap.windin.com/ns/bulletin.php?id=21809152&amp;type=1", "思美传媒:首次公开发行股票并上市招股意向书")</f>
        <v>思美传媒:首次公开发行股票并上市招股意向书</v>
      </c>
    </row>
    <row r="224" spans="1:3" x14ac:dyDescent="0.15">
      <c r="A224" s="1">
        <v>41645</v>
      </c>
      <c r="B224" t="s">
        <v>38</v>
      </c>
      <c r="C224" s="2" t="str">
        <f>HYPERLINK("http://snap.windin.com/ns/bulletin.php?id=21809126&amp;type=1", "思美传媒:首次公开发行股票并上市招股意向书摘要")</f>
        <v>思美传媒:首次公开发行股票并上市招股意向书摘要</v>
      </c>
    </row>
    <row r="225" spans="1:3" x14ac:dyDescent="0.15">
      <c r="A225" s="1">
        <v>41645</v>
      </c>
      <c r="B225" t="s">
        <v>15</v>
      </c>
      <c r="C225" s="2" t="str">
        <f>HYPERLINK("http://snap.windin.com/ns/bulletin.php?id=21809036&amp;type=1", "绿盟科技:首次公开发行股票并在创业板上市招股意向书")</f>
        <v>绿盟科技:首次公开发行股票并在创业板上市招股意向书</v>
      </c>
    </row>
    <row r="226" spans="1:3" x14ac:dyDescent="0.15">
      <c r="A226" s="1">
        <v>41642</v>
      </c>
      <c r="B226" t="s">
        <v>41</v>
      </c>
      <c r="C226" s="2" t="str">
        <f>HYPERLINK("http://snap.windin.com/ns/bulletin.php?id=21761432&amp;type=1", "天赐材料:首次公开发行股票招股意向书(更新后)")</f>
        <v>天赐材料:首次公开发行股票招股意向书(更新后)</v>
      </c>
    </row>
    <row r="227" spans="1:3" x14ac:dyDescent="0.15">
      <c r="A227" s="1">
        <v>41642</v>
      </c>
      <c r="B227" t="s">
        <v>41</v>
      </c>
      <c r="C227" s="2" t="str">
        <f>HYPERLINK("http://snap.windin.com/ns/bulletin.php?id=21761428&amp;type=1", "天赐材料:首次公开发行股票招股意向书摘要(更新后)")</f>
        <v>天赐材料:首次公开发行股票招股意向书摘要(更新后)</v>
      </c>
    </row>
    <row r="228" spans="1:3" x14ac:dyDescent="0.15">
      <c r="A228" s="1">
        <v>41642</v>
      </c>
      <c r="B228" t="s">
        <v>41</v>
      </c>
      <c r="C228" s="2" t="str">
        <f>HYPERLINK("http://snap.windin.com/ns/bulletin.php?id=21761426&amp;type=1", "天赐材料:关于公司首次公开发行股票招股意向书以及招股意向书摘要之更正公告")</f>
        <v>天赐材料:关于公司首次公开发行股票招股意向书以及招股意向书摘要之更正公告</v>
      </c>
    </row>
    <row r="229" spans="1:3" x14ac:dyDescent="0.15">
      <c r="A229" s="1">
        <v>41642</v>
      </c>
      <c r="B229" t="s">
        <v>51</v>
      </c>
      <c r="C229" s="2" t="str">
        <f>HYPERLINK("http://snap.windin.com/ns/bulletin.php?id=21759704&amp;type=1", "光洋股份:首次公开发行股票招股意向书摘要")</f>
        <v>光洋股份:首次公开发行股票招股意向书摘要</v>
      </c>
    </row>
    <row r="230" spans="1:3" x14ac:dyDescent="0.15">
      <c r="A230" s="1">
        <v>41642</v>
      </c>
      <c r="B230" t="s">
        <v>51</v>
      </c>
      <c r="C230" s="2" t="str">
        <f>HYPERLINK("http://snap.windin.com/ns/bulletin.php?id=21759696&amp;type=1", "光洋股份:首次公开发行股票招股意向书")</f>
        <v>光洋股份:首次公开发行股票招股意向书</v>
      </c>
    </row>
    <row r="231" spans="1:3" x14ac:dyDescent="0.15">
      <c r="A231" s="1">
        <v>41642</v>
      </c>
      <c r="B231" t="s">
        <v>41</v>
      </c>
      <c r="C231" s="2" t="str">
        <f>HYPERLINK("http://snap.windin.com/ns/bulletin.php?id=21759602&amp;type=1", "天赐材料:首次公开发行股票招股意向书")</f>
        <v>天赐材料:首次公开发行股票招股意向书</v>
      </c>
    </row>
    <row r="232" spans="1:3" x14ac:dyDescent="0.15">
      <c r="A232" s="1">
        <v>41642</v>
      </c>
      <c r="B232" t="s">
        <v>41</v>
      </c>
      <c r="C232" s="2" t="str">
        <f>HYPERLINK("http://snap.windin.com/ns/bulletin.php?id=21759590&amp;type=1", "天赐材料:首次公开发行股票招股意向书摘要")</f>
        <v>天赐材料:首次公开发行股票招股意向书摘要</v>
      </c>
    </row>
    <row r="233" spans="1:3" x14ac:dyDescent="0.15">
      <c r="A233" s="1">
        <v>41642</v>
      </c>
      <c r="B233" t="s">
        <v>20</v>
      </c>
      <c r="C233" s="2" t="str">
        <f>HYPERLINK("http://snap.windin.com/ns/bulletin.php?id=21759546&amp;type=1", "博腾股份:首次公开发行股票并在创业板上市招股意向书")</f>
        <v>博腾股份:首次公开发行股票并在创业板上市招股意向书</v>
      </c>
    </row>
    <row r="234" spans="1:3" x14ac:dyDescent="0.15">
      <c r="A234" s="1">
        <v>41642</v>
      </c>
      <c r="B234" t="s">
        <v>39</v>
      </c>
      <c r="C234" s="2" t="str">
        <f>HYPERLINK("http://snap.windin.com/ns/bulletin.php?id=21759476&amp;type=1", "恒华科技:首次公开发行股票并在创业板上市招股意向书")</f>
        <v>恒华科技:首次公开发行股票并在创业板上市招股意向书</v>
      </c>
    </row>
    <row r="235" spans="1:3" x14ac:dyDescent="0.15">
      <c r="A235" s="1">
        <v>41642</v>
      </c>
      <c r="B235" t="s">
        <v>45</v>
      </c>
      <c r="C235" s="2" t="str">
        <f>HYPERLINK("http://snap.windin.com/ns/bulletin.php?id=21759416&amp;type=1", "应流股份:首次公开发行股票招股意向书附录")</f>
        <v>应流股份:首次公开发行股票招股意向书附录</v>
      </c>
    </row>
    <row r="236" spans="1:3" x14ac:dyDescent="0.15">
      <c r="A236" s="1">
        <v>41642</v>
      </c>
      <c r="B236" t="s">
        <v>45</v>
      </c>
      <c r="C236" s="2" t="str">
        <f>HYPERLINK("http://snap.windin.com/ns/bulletin.php?id=21759414&amp;type=1", "应流股份:首次公开发行股票招股意向书")</f>
        <v>应流股份:首次公开发行股票招股意向书</v>
      </c>
    </row>
    <row r="237" spans="1:3" x14ac:dyDescent="0.15">
      <c r="A237" s="1">
        <v>41642</v>
      </c>
      <c r="B237" t="s">
        <v>45</v>
      </c>
      <c r="C237" s="2" t="str">
        <f>HYPERLINK("http://snap.windin.com/ns/bulletin.php?id=21759412&amp;type=1", "应流股份:首次公开发行股票招股意向书摘要")</f>
        <v>应流股份:首次公开发行股票招股意向书摘要</v>
      </c>
    </row>
    <row r="238" spans="1:3" x14ac:dyDescent="0.15">
      <c r="A238" s="1">
        <v>41642</v>
      </c>
      <c r="B238" t="s">
        <v>53</v>
      </c>
      <c r="C238" s="2" t="str">
        <f>HYPERLINK("http://snap.windin.com/ns/bulletin.php?id=21758894&amp;type=1", "纽威股份:首次公开发行股票招股意向书更正公告")</f>
        <v>纽威股份:首次公开发行股票招股意向书更正公告</v>
      </c>
    </row>
    <row r="239" spans="1:3" x14ac:dyDescent="0.15">
      <c r="A239" s="1">
        <v>41641</v>
      </c>
      <c r="B239" t="s">
        <v>42</v>
      </c>
      <c r="C239" s="2" t="str">
        <f>HYPERLINK("http://snap.windin.com/ns/bulletin.php?id=21742380&amp;type=1", "众信旅游:首次公开发行股票招股意向书")</f>
        <v>众信旅游:首次公开发行股票招股意向书</v>
      </c>
    </row>
    <row r="240" spans="1:3" x14ac:dyDescent="0.15">
      <c r="A240" s="1">
        <v>41641</v>
      </c>
      <c r="B240" t="s">
        <v>52</v>
      </c>
      <c r="C240" s="2" t="str">
        <f>HYPERLINK("http://snap.windin.com/ns/bulletin.php?id=21742366&amp;type=1", "良信电器:首次公开发行股票招股意向书")</f>
        <v>良信电器:首次公开发行股票招股意向书</v>
      </c>
    </row>
    <row r="241" spans="1:3" x14ac:dyDescent="0.15">
      <c r="A241" s="1">
        <v>41641</v>
      </c>
      <c r="B241" t="s">
        <v>52</v>
      </c>
      <c r="C241" s="2" t="str">
        <f>HYPERLINK("http://snap.windin.com/ns/bulletin.php?id=21742358&amp;type=1", "良信电器:首次公开发行股票招股意向书摘要")</f>
        <v>良信电器:首次公开发行股票招股意向书摘要</v>
      </c>
    </row>
    <row r="242" spans="1:3" x14ac:dyDescent="0.15">
      <c r="A242" s="1">
        <v>41641</v>
      </c>
      <c r="B242" t="s">
        <v>42</v>
      </c>
      <c r="C242" s="2" t="str">
        <f>HYPERLINK("http://snap.windin.com/ns/bulletin.php?id=21742320&amp;type=1", "众信旅游:首次公开发行股票招股意向书摘要")</f>
        <v>众信旅游:首次公开发行股票招股意向书摘要</v>
      </c>
    </row>
    <row r="243" spans="1:3" x14ac:dyDescent="0.15">
      <c r="A243" s="1">
        <v>41641</v>
      </c>
      <c r="B243" t="s">
        <v>47</v>
      </c>
      <c r="C243" s="2" t="str">
        <f>HYPERLINK("http://snap.windin.com/ns/bulletin.php?id=21742228&amp;type=1", "炬华科技:首次公开发行股票并在创业板上市招股意向书")</f>
        <v>炬华科技:首次公开发行股票并在创业板上市招股意向书</v>
      </c>
    </row>
    <row r="244" spans="1:3" x14ac:dyDescent="0.15">
      <c r="A244" s="1">
        <v>41641</v>
      </c>
      <c r="B244" t="s">
        <v>49</v>
      </c>
      <c r="C244" s="2" t="str">
        <f>HYPERLINK("http://snap.windin.com/ns/bulletin.php?id=21742160&amp;type=1", "天保重装:首次公开发行股票并在创业板上市招股意向书")</f>
        <v>天保重装:首次公开发行股票并在创业板上市招股意向书</v>
      </c>
    </row>
    <row r="245" spans="1:3" x14ac:dyDescent="0.15">
      <c r="A245" s="1">
        <v>41639</v>
      </c>
      <c r="B245" t="s">
        <v>53</v>
      </c>
      <c r="C245" s="2" t="str">
        <f>HYPERLINK("http://snap.windin.com/ns/bulletin.php?id=21728132&amp;type=1", "纽威股份:首次公开发行股票招股意向书附录")</f>
        <v>纽威股份:首次公开发行股票招股意向书附录</v>
      </c>
    </row>
    <row r="246" spans="1:3" x14ac:dyDescent="0.15">
      <c r="A246" s="1">
        <v>41639</v>
      </c>
      <c r="B246" t="s">
        <v>53</v>
      </c>
      <c r="C246" s="2" t="str">
        <f>HYPERLINK("http://snap.windin.com/ns/bulletin.php?id=21728128&amp;type=1", "纽威股份:首次公开发行股票招股意向书")</f>
        <v>纽威股份:首次公开发行股票招股意向书</v>
      </c>
    </row>
    <row r="247" spans="1:3" x14ac:dyDescent="0.15">
      <c r="A247" s="1">
        <v>41639</v>
      </c>
      <c r="B247" t="s">
        <v>53</v>
      </c>
      <c r="C247" s="2" t="str">
        <f>HYPERLINK("http://snap.windin.com/ns/bulletin.php?id=21728126&amp;type=1", "纽威股份:首次公开发行股票招股意向书摘要")</f>
        <v>纽威股份:首次公开发行股票招股意向书摘要</v>
      </c>
    </row>
    <row r="248" spans="1:3" x14ac:dyDescent="0.15">
      <c r="A248" s="1">
        <v>41639</v>
      </c>
      <c r="B248" t="s">
        <v>48</v>
      </c>
      <c r="C248" s="2" t="str">
        <f>HYPERLINK("http://snap.windin.com/ns/bulletin.php?id=21726900&amp;type=1", "全通教育:首次公开发行股票并在创业板上市招股意向书")</f>
        <v>全通教育:首次公开发行股票并在创业板上市招股意向书</v>
      </c>
    </row>
    <row r="249" spans="1:3" x14ac:dyDescent="0.15">
      <c r="A249" s="1">
        <v>41639</v>
      </c>
      <c r="B249" t="s">
        <v>46</v>
      </c>
      <c r="C249" s="2" t="str">
        <f>HYPERLINK("http://snap.windin.com/ns/bulletin.php?id=21726862&amp;type=1", "我武生物:首次公开发行股票并在创业板上市招股意向书")</f>
        <v>我武生物:首次公开发行股票并在创业板上市招股意向书</v>
      </c>
    </row>
    <row r="250" spans="1:3" x14ac:dyDescent="0.15">
      <c r="A250" s="1">
        <v>41639</v>
      </c>
      <c r="B250" t="s">
        <v>50</v>
      </c>
      <c r="C250" s="2" t="str">
        <f>HYPERLINK("http://snap.windin.com/ns/bulletin.php?id=21726802&amp;type=1", "楚天科技:首次公开发行股票并在创业板上市招股意向书")</f>
        <v>楚天科技:首次公开发行股票并在创业板上市招股意向书</v>
      </c>
    </row>
    <row r="251" spans="1:3" x14ac:dyDescent="0.15">
      <c r="A251" s="1">
        <v>41639</v>
      </c>
      <c r="B251" t="s">
        <v>10</v>
      </c>
      <c r="C251" s="2" t="str">
        <f>HYPERLINK("http://snap.windin.com/ns/bulletin.php?id=21726704&amp;type=1", "新宝股份:首次公开发行股票招股意向书")</f>
        <v>新宝股份:首次公开发行股票招股意向书</v>
      </c>
    </row>
    <row r="252" spans="1:3" x14ac:dyDescent="0.15">
      <c r="A252" s="1">
        <v>41639</v>
      </c>
      <c r="B252" t="s">
        <v>10</v>
      </c>
      <c r="C252" s="2" t="str">
        <f>HYPERLINK("http://snap.windin.com/ns/bulletin.php?id=21726692&amp;type=1", "新宝股份:首次公开发行股票招股意向书摘要")</f>
        <v>新宝股份:首次公开发行股票招股意向书摘要</v>
      </c>
    </row>
    <row r="253" spans="1:3" x14ac:dyDescent="0.15">
      <c r="A253" s="1">
        <v>41458</v>
      </c>
      <c r="B253" t="s">
        <v>54</v>
      </c>
      <c r="C253" s="2" t="str">
        <f>HYPERLINK("http://snap.windin.com/ns/bulletin.php?id=20524066&amp;type=1", "露笑科技:首次公开发行股票上市公告书的更正公告")</f>
        <v>露笑科技:首次公开发行股票上市公告书的更正公告</v>
      </c>
    </row>
    <row r="254" spans="1:3" x14ac:dyDescent="0.15">
      <c r="A254" s="1">
        <v>41458</v>
      </c>
      <c r="B254" t="s">
        <v>54</v>
      </c>
      <c r="C254" s="2" t="str">
        <f>HYPERLINK("http://snap.windin.com/ns/bulletin.php?id=20524058&amp;type=1", "露笑科技:首次公开发行股票上市公告书(更新后)")</f>
        <v>露笑科技:首次公开发行股票上市公告书(更新后)</v>
      </c>
    </row>
    <row r="255" spans="1:3" x14ac:dyDescent="0.15">
      <c r="A255" s="1">
        <v>41235</v>
      </c>
      <c r="B255" t="s">
        <v>55</v>
      </c>
      <c r="C255" s="2" t="str">
        <f>HYPERLINK("http://snap.windin.com/ns/bulletin.php?id=11667430&amp;type=1", "郑煤机:关于刊发H股招股说明书,H股发行价格区间及H股香港公开发售等相关事宜的公告")</f>
        <v>郑煤机:关于刊发H股招股说明书,H股发行价格区间及H股香港公开发售等相关事宜的公告</v>
      </c>
    </row>
    <row r="256" spans="1:3" x14ac:dyDescent="0.15">
      <c r="A256" s="1">
        <v>41214</v>
      </c>
      <c r="B256" t="s">
        <v>56</v>
      </c>
      <c r="C256" s="2" t="str">
        <f>HYPERLINK("http://snap.windin.com/ns/bulletin.php?id=11336110&amp;type=1", "浙江世宝:首次公开发行A股股票上市公告书")</f>
        <v>浙江世宝:首次公开发行A股股票上市公告书</v>
      </c>
    </row>
    <row r="257" spans="1:3" x14ac:dyDescent="0.15">
      <c r="A257" s="1">
        <v>41207</v>
      </c>
      <c r="B257" t="s">
        <v>56</v>
      </c>
      <c r="C257" s="2" t="str">
        <f>HYPERLINK("http://snap.windin.com/ns/bulletin.php?id=11179240&amp;type=1", "浙江世宝:首次公开发行股票招股说明书摘要")</f>
        <v>浙江世宝:首次公开发行股票招股说明书摘要</v>
      </c>
    </row>
    <row r="258" spans="1:3" x14ac:dyDescent="0.15">
      <c r="A258" s="1">
        <v>41207</v>
      </c>
      <c r="B258" t="s">
        <v>56</v>
      </c>
      <c r="C258" s="2" t="str">
        <f>HYPERLINK("http://snap.windin.com/ns/bulletin.php?id=11179230&amp;type=1", "浙江世宝:首次公开发行股票招股说明书")</f>
        <v>浙江世宝:首次公开发行股票招股说明书</v>
      </c>
    </row>
    <row r="259" spans="1:3" x14ac:dyDescent="0.15">
      <c r="A259" s="1">
        <v>41192</v>
      </c>
      <c r="B259" t="s">
        <v>57</v>
      </c>
      <c r="C259" s="2" t="str">
        <f>HYPERLINK("http://snap.windin.com/ns/bulletin.php?id=10979210&amp;type=1", "奥瑞金:首次公开发行股票上市公告书")</f>
        <v>奥瑞金:首次公开发行股票上市公告书</v>
      </c>
    </row>
    <row r="260" spans="1:3" x14ac:dyDescent="0.15">
      <c r="A260" s="1">
        <v>41192</v>
      </c>
      <c r="B260" t="s">
        <v>58</v>
      </c>
      <c r="C260" s="2" t="str">
        <f>HYPERLINK("http://snap.windin.com/ns/bulletin.php?id=10978950&amp;type=1", "腾新食品:首次公开发行股票上市公告书")</f>
        <v>腾新食品:首次公开发行股票上市公告书</v>
      </c>
    </row>
    <row r="261" spans="1:3" x14ac:dyDescent="0.15">
      <c r="A261" s="1">
        <v>41190</v>
      </c>
      <c r="B261" t="s">
        <v>59</v>
      </c>
      <c r="C261" s="2" t="str">
        <f>HYPERLINK("http://snap.windin.com/ns/bulletin.php?id=10952980&amp;type=1", "光一科技:首次公开发行股票并在创业板上市公告书提示性公告")</f>
        <v>光一科技:首次公开发行股票并在创业板上市公告书提示性公告</v>
      </c>
    </row>
    <row r="262" spans="1:3" x14ac:dyDescent="0.15">
      <c r="A262" s="1">
        <v>41190</v>
      </c>
      <c r="B262" t="s">
        <v>59</v>
      </c>
      <c r="C262" s="2" t="str">
        <f>HYPERLINK("http://snap.windin.com/ns/bulletin.php?id=10952880&amp;type=1", "光一科技:首次公开发行股票并在创业板上市上市公告书")</f>
        <v>光一科技:首次公开发行股票并在创业板上市上市公告书</v>
      </c>
    </row>
    <row r="263" spans="1:3" x14ac:dyDescent="0.15">
      <c r="A263" s="1">
        <v>41190</v>
      </c>
      <c r="B263" t="s">
        <v>60</v>
      </c>
      <c r="C263" s="2" t="str">
        <f>HYPERLINK("http://snap.windin.com/ns/bulletin.php?id=10951500&amp;type=1", "洛阳钼业:首次公开发行A股股票招股说明书")</f>
        <v>洛阳钼业:首次公开发行A股股票招股说明书</v>
      </c>
    </row>
    <row r="264" spans="1:3" x14ac:dyDescent="0.15">
      <c r="A264" s="1">
        <v>41190</v>
      </c>
      <c r="B264" t="s">
        <v>60</v>
      </c>
      <c r="C264" s="2" t="str">
        <f>HYPERLINK("http://snap.windin.com/ns/bulletin.php?id=10951470&amp;type=1", "洛阳钼业:首次公开发行股票上市公告书")</f>
        <v>洛阳钼业:首次公开发行股票上市公告书</v>
      </c>
    </row>
    <row r="265" spans="1:3" x14ac:dyDescent="0.15">
      <c r="A265" s="1">
        <v>41180</v>
      </c>
      <c r="B265" t="s">
        <v>56</v>
      </c>
      <c r="C265" s="2" t="str">
        <f>HYPERLINK("http://snap.windin.com/ns/bulletin.php?id=10892860&amp;type=1", "浙江世宝:首次公开发行股票招股意向书摘要")</f>
        <v>浙江世宝:首次公开发行股票招股意向书摘要</v>
      </c>
    </row>
    <row r="266" spans="1:3" x14ac:dyDescent="0.15">
      <c r="A266" s="1">
        <v>41180</v>
      </c>
      <c r="B266" t="s">
        <v>56</v>
      </c>
      <c r="C266" s="2" t="str">
        <f>HYPERLINK("http://snap.windin.com/ns/bulletin.php?id=10892820&amp;type=1", "浙江世宝:首次公开发行股票招股意向书")</f>
        <v>浙江世宝:首次公开发行股票招股意向书</v>
      </c>
    </row>
    <row r="267" spans="1:3" x14ac:dyDescent="0.15">
      <c r="A267" s="1">
        <v>41178</v>
      </c>
      <c r="B267" t="s">
        <v>61</v>
      </c>
      <c r="C267" s="2" t="str">
        <f>HYPERLINK("http://snap.windin.com/ns/bulletin.php?id=10818510&amp;type=1", "蒙草抗旱:首次公开发行股票并在创业板上市之上市公告书")</f>
        <v>蒙草抗旱:首次公开发行股票并在创业板上市之上市公告书</v>
      </c>
    </row>
    <row r="268" spans="1:3" x14ac:dyDescent="0.15">
      <c r="A268" s="1">
        <v>41178</v>
      </c>
      <c r="B268" t="s">
        <v>61</v>
      </c>
      <c r="C268" s="2" t="str">
        <f>HYPERLINK("http://snap.windin.com/ns/bulletin.php?id=10818400&amp;type=1", "蒙草抗旱:首次公开发行股票并在创业板上市公告书提示性公告")</f>
        <v>蒙草抗旱:首次公开发行股票并在创业板上市公告书提示性公告</v>
      </c>
    </row>
    <row r="269" spans="1:3" x14ac:dyDescent="0.15">
      <c r="A269" s="1">
        <v>41178</v>
      </c>
      <c r="B269" t="s">
        <v>62</v>
      </c>
      <c r="C269" s="2" t="str">
        <f>HYPERLINK("http://snap.windin.com/ns/bulletin.php?id=10806770&amp;type=1", "东土科技:首次公开发行股票并在创业板上市公告书")</f>
        <v>东土科技:首次公开发行股票并在创业板上市公告书</v>
      </c>
    </row>
    <row r="270" spans="1:3" x14ac:dyDescent="0.15">
      <c r="A270" s="1">
        <v>41178</v>
      </c>
      <c r="B270" t="s">
        <v>62</v>
      </c>
      <c r="C270" s="2" t="str">
        <f>HYPERLINK("http://snap.windin.com/ns/bulletin.php?id=10806710&amp;type=1", "东土科技:首次公开发行股票并在创业板上市上市公告书提示性公告")</f>
        <v>东土科技:首次公开发行股票并在创业板上市上市公告书提示性公告</v>
      </c>
    </row>
    <row r="271" spans="1:3" x14ac:dyDescent="0.15">
      <c r="A271" s="1">
        <v>41176</v>
      </c>
      <c r="B271" t="s">
        <v>57</v>
      </c>
      <c r="C271" s="2" t="str">
        <f>HYPERLINK("http://snap.windin.com/ns/bulletin.php?id=10569660&amp;type=1", "奥瑞金:首次公开发行股票招股说明书摘要")</f>
        <v>奥瑞金:首次公开发行股票招股说明书摘要</v>
      </c>
    </row>
    <row r="272" spans="1:3" x14ac:dyDescent="0.15">
      <c r="A272" s="1">
        <v>41176</v>
      </c>
      <c r="B272" t="s">
        <v>57</v>
      </c>
      <c r="C272" s="2" t="str">
        <f>HYPERLINK("http://snap.windin.com/ns/bulletin.php?id=10569650&amp;type=1", "奥瑞金:首次公开发行股票招股说明书")</f>
        <v>奥瑞金:首次公开发行股票招股说明书</v>
      </c>
    </row>
    <row r="273" spans="1:3" x14ac:dyDescent="0.15">
      <c r="A273" s="1">
        <v>41176</v>
      </c>
      <c r="B273" t="s">
        <v>58</v>
      </c>
      <c r="C273" s="2" t="str">
        <f>HYPERLINK("http://snap.windin.com/ns/bulletin.php?id=10520870&amp;type=1", "腾新食品:首次公开发行股票招股说明书")</f>
        <v>腾新食品:首次公开发行股票招股说明书</v>
      </c>
    </row>
    <row r="274" spans="1:3" x14ac:dyDescent="0.15">
      <c r="A274" s="1">
        <v>41176</v>
      </c>
      <c r="B274" t="s">
        <v>58</v>
      </c>
      <c r="C274" s="2" t="str">
        <f>HYPERLINK("http://snap.windin.com/ns/bulletin.php?id=10520800&amp;type=1", "腾新食品:首次公开发行股票招股说明书摘要")</f>
        <v>腾新食品:首次公开发行股票招股说明书摘要</v>
      </c>
    </row>
    <row r="275" spans="1:3" x14ac:dyDescent="0.15">
      <c r="A275" s="1">
        <v>41173</v>
      </c>
      <c r="B275" t="s">
        <v>59</v>
      </c>
      <c r="C275" s="2" t="str">
        <f>HYPERLINK("http://snap.windin.com/ns/bulletin.php?id=10106860&amp;type=1", "光一科技:首次公开发行股票并在创业板上市招股说明书")</f>
        <v>光一科技:首次公开发行股票并在创业板上市招股说明书</v>
      </c>
    </row>
    <row r="276" spans="1:3" x14ac:dyDescent="0.15">
      <c r="A276" s="1">
        <v>41172</v>
      </c>
      <c r="B276" t="s">
        <v>63</v>
      </c>
      <c r="C276" s="2" t="str">
        <f>HYPERLINK("http://snap.windin.com/ns/bulletin.php?id=10063730&amp;type=1", "新疆浩源:首次公开发行股票上市公告书")</f>
        <v>新疆浩源:首次公开发行股票上市公告书</v>
      </c>
    </row>
    <row r="277" spans="1:3" x14ac:dyDescent="0.15">
      <c r="A277" s="1">
        <v>41171</v>
      </c>
      <c r="B277" t="s">
        <v>64</v>
      </c>
      <c r="C277" s="2" t="str">
        <f>HYPERLINK("http://snap.windin.com/ns/bulletin.php?id=10055650&amp;type=1", "东华测试:首次公开发行股票并在创业板上市上市公告书")</f>
        <v>东华测试:首次公开发行股票并在创业板上市上市公告书</v>
      </c>
    </row>
    <row r="278" spans="1:3" x14ac:dyDescent="0.15">
      <c r="A278" s="1">
        <v>41171</v>
      </c>
      <c r="B278" t="s">
        <v>64</v>
      </c>
      <c r="C278" s="2" t="str">
        <f>HYPERLINK("http://snap.windin.com/ns/bulletin.php?id=10055630&amp;type=1", "东华测试:首次公开发行股票并在创业板上市上市公告书提示性公告")</f>
        <v>东华测试:首次公开发行股票并在创业板上市上市公告书提示性公告</v>
      </c>
    </row>
    <row r="279" spans="1:3" x14ac:dyDescent="0.15">
      <c r="A279" s="1">
        <v>41171</v>
      </c>
      <c r="B279" t="s">
        <v>65</v>
      </c>
      <c r="C279" s="2" t="str">
        <f>HYPERLINK("http://snap.windin.com/ns/bulletin.php?id=10055610&amp;type=1", "永贵电器:首次公开发行股票并在创业板上市上市公告书提示性公告")</f>
        <v>永贵电器:首次公开发行股票并在创业板上市上市公告书提示性公告</v>
      </c>
    </row>
    <row r="280" spans="1:3" x14ac:dyDescent="0.15">
      <c r="A280" s="1">
        <v>41171</v>
      </c>
      <c r="B280" t="s">
        <v>65</v>
      </c>
      <c r="C280" s="2" t="str">
        <f>HYPERLINK("http://snap.windin.com/ns/bulletin.php?id=10055600&amp;type=1", "永贵电器:首次公开发行股票并在创业板上市公告书")</f>
        <v>永贵电器:首次公开发行股票并在创业板上市公告书</v>
      </c>
    </row>
    <row r="281" spans="1:3" x14ac:dyDescent="0.15">
      <c r="A281" s="1">
        <v>41170</v>
      </c>
      <c r="B281" t="s">
        <v>58</v>
      </c>
      <c r="C281" s="2" t="str">
        <f>HYPERLINK("http://snap.windin.com/ns/bulletin.php?id=10047500&amp;type=1", "腾新食品:首次公开发行股票招股意向书摘要(更新后)")</f>
        <v>腾新食品:首次公开发行股票招股意向书摘要(更新后)</v>
      </c>
    </row>
    <row r="282" spans="1:3" x14ac:dyDescent="0.15">
      <c r="A282" s="1">
        <v>41170</v>
      </c>
      <c r="B282" t="s">
        <v>58</v>
      </c>
      <c r="C282" s="2" t="str">
        <f>HYPERLINK("http://snap.windin.com/ns/bulletin.php?id=10047470&amp;type=1", "腾新食品:首次公开发行股票招股意向书(更新后)")</f>
        <v>腾新食品:首次公开发行股票招股意向书(更新后)</v>
      </c>
    </row>
    <row r="283" spans="1:3" x14ac:dyDescent="0.15">
      <c r="A283" s="1">
        <v>41169</v>
      </c>
      <c r="B283" t="s">
        <v>58</v>
      </c>
      <c r="C283" s="2" t="str">
        <f>HYPERLINK("http://snap.windin.com/ns/bulletin.php?id=10036860&amp;type=1", "腾新食品:首次公开发行股票招股意向书摘要")</f>
        <v>腾新食品:首次公开发行股票招股意向书摘要</v>
      </c>
    </row>
    <row r="284" spans="1:3" x14ac:dyDescent="0.15">
      <c r="A284" s="1">
        <v>41169</v>
      </c>
      <c r="B284" t="s">
        <v>58</v>
      </c>
      <c r="C284" s="2" t="str">
        <f>HYPERLINK("http://snap.windin.com/ns/bulletin.php?id=10036850&amp;type=1", "腾新食品:首次公开发行股票招股意向书")</f>
        <v>腾新食品:首次公开发行股票招股意向书</v>
      </c>
    </row>
    <row r="285" spans="1:3" x14ac:dyDescent="0.15">
      <c r="A285" s="1">
        <v>41166</v>
      </c>
      <c r="B285" t="s">
        <v>61</v>
      </c>
      <c r="C285" s="2" t="str">
        <f>HYPERLINK("http://snap.windin.com/ns/bulletin.php?id=10023240&amp;type=1", "蒙草抗旱:首次公开发行股票并在创业板上市招股说明书")</f>
        <v>蒙草抗旱:首次公开发行股票并在创业板上市招股说明书</v>
      </c>
    </row>
    <row r="286" spans="1:3" x14ac:dyDescent="0.15">
      <c r="A286" s="1">
        <v>41164</v>
      </c>
      <c r="B286" t="s">
        <v>57</v>
      </c>
      <c r="C286" s="2" t="str">
        <f>HYPERLINK("http://snap.windin.com/ns/bulletin.php?id=10001570&amp;type=1", "奥瑞金:首次公开发行股票招股意向书")</f>
        <v>奥瑞金:首次公开发行股票招股意向书</v>
      </c>
    </row>
    <row r="287" spans="1:3" x14ac:dyDescent="0.15">
      <c r="A287" s="1">
        <v>41164</v>
      </c>
      <c r="B287" t="s">
        <v>57</v>
      </c>
      <c r="C287" s="2" t="str">
        <f>HYPERLINK("http://snap.windin.com/ns/bulletin.php?id=10001560&amp;type=1", "奥瑞金:首次公开发行股票招股意向书摘要")</f>
        <v>奥瑞金:首次公开发行股票招股意向书摘要</v>
      </c>
    </row>
    <row r="288" spans="1:3" x14ac:dyDescent="0.15">
      <c r="A288" s="1">
        <v>41163</v>
      </c>
      <c r="B288" t="s">
        <v>59</v>
      </c>
      <c r="C288" s="2" t="str">
        <f>HYPERLINK("http://snap.windin.com/ns/bulletin.php?id=2572399&amp;type=1", "光一科技:首次公开发行股票并在创业板上市招股意向书")</f>
        <v>光一科技:首次公开发行股票并在创业板上市招股意向书</v>
      </c>
    </row>
    <row r="289" spans="1:3" x14ac:dyDescent="0.15">
      <c r="A289" s="1">
        <v>41163</v>
      </c>
      <c r="B289" t="s">
        <v>65</v>
      </c>
      <c r="C289" s="2" t="str">
        <f>HYPERLINK("http://snap.windin.com/ns/bulletin.php?id=2572261&amp;type=1", "永贵电器:首次公开发行股票并在创业板上市招股说明书")</f>
        <v>永贵电器:首次公开发行股票并在创业板上市招股说明书</v>
      </c>
    </row>
    <row r="290" spans="1:3" x14ac:dyDescent="0.15">
      <c r="A290" s="1">
        <v>41163</v>
      </c>
      <c r="B290" t="s">
        <v>66</v>
      </c>
      <c r="C290" s="2" t="str">
        <f>HYPERLINK("http://snap.windin.com/ns/bulletin.php?id=2572247&amp;type=1", "北信源:首次公开发行股票并在创业板上市公告书")</f>
        <v>北信源:首次公开发行股票并在创业板上市公告书</v>
      </c>
    </row>
    <row r="291" spans="1:3" x14ac:dyDescent="0.15">
      <c r="A291" s="1">
        <v>41163</v>
      </c>
      <c r="B291" t="s">
        <v>66</v>
      </c>
      <c r="C291" s="2" t="str">
        <f>HYPERLINK("http://snap.windin.com/ns/bulletin.php?id=2572243&amp;type=1", "北信源:首次公开发行股票并在创业板上市上市公告书提示性公告")</f>
        <v>北信源:首次公开发行股票并在创业板上市上市公告书提示性公告</v>
      </c>
    </row>
    <row r="292" spans="1:3" x14ac:dyDescent="0.15">
      <c r="A292" s="1">
        <v>41162</v>
      </c>
      <c r="B292" t="s">
        <v>60</v>
      </c>
      <c r="C292" s="2" t="str">
        <f>HYPERLINK("http://snap.windin.com/ns/bulletin.php?id=2571086&amp;type=1", "洛阳钼业:首次公开发行A股股票招股意向书附录二")</f>
        <v>洛阳钼业:首次公开发行A股股票招股意向书附录二</v>
      </c>
    </row>
    <row r="293" spans="1:3" x14ac:dyDescent="0.15">
      <c r="A293" s="1">
        <v>41162</v>
      </c>
      <c r="B293" t="s">
        <v>60</v>
      </c>
      <c r="C293" s="2" t="str">
        <f>HYPERLINK("http://snap.windin.com/ns/bulletin.php?id=2571081&amp;type=1", "洛阳钼业:首次公开发行A股股票招股意向书附录一")</f>
        <v>洛阳钼业:首次公开发行A股股票招股意向书附录一</v>
      </c>
    </row>
    <row r="294" spans="1:3" x14ac:dyDescent="0.15">
      <c r="A294" s="1">
        <v>41162</v>
      </c>
      <c r="B294" t="s">
        <v>60</v>
      </c>
      <c r="C294" s="2" t="str">
        <f>HYPERLINK("http://snap.windin.com/ns/bulletin.php?id=2571080&amp;type=1", "洛阳钼业:首次公开发行A股股票招股意向书摘要")</f>
        <v>洛阳钼业:首次公开发行A股股票招股意向书摘要</v>
      </c>
    </row>
    <row r="295" spans="1:3" x14ac:dyDescent="0.15">
      <c r="A295" s="1">
        <v>41162</v>
      </c>
      <c r="B295" t="s">
        <v>60</v>
      </c>
      <c r="C295" s="2" t="str">
        <f>HYPERLINK("http://snap.windin.com/ns/bulletin.php?id=2571079&amp;type=1", "洛阳钼业:首次公开发行A股股票招股意向书")</f>
        <v>洛阳钼业:首次公开发行A股股票招股意向书</v>
      </c>
    </row>
    <row r="296" spans="1:3" x14ac:dyDescent="0.15">
      <c r="A296" s="1">
        <v>41162</v>
      </c>
      <c r="B296" t="s">
        <v>63</v>
      </c>
      <c r="C296" s="2" t="str">
        <f>HYPERLINK("http://snap.windin.com/ns/bulletin.php?id=2571048&amp;type=1", "新疆浩源:首次公开发行股票并上市招股说明书")</f>
        <v>新疆浩源:首次公开发行股票并上市招股说明书</v>
      </c>
    </row>
    <row r="297" spans="1:3" x14ac:dyDescent="0.15">
      <c r="A297" s="1">
        <v>41162</v>
      </c>
      <c r="B297" t="s">
        <v>63</v>
      </c>
      <c r="C297" s="2" t="str">
        <f>HYPERLINK("http://snap.windin.com/ns/bulletin.php?id=2571047&amp;type=1", "新疆浩源:首次公开发行股票招股说明书摘要")</f>
        <v>新疆浩源:首次公开发行股票招股说明书摘要</v>
      </c>
    </row>
    <row r="298" spans="1:3" x14ac:dyDescent="0.15">
      <c r="A298" s="1">
        <v>41162</v>
      </c>
      <c r="B298" t="s">
        <v>67</v>
      </c>
      <c r="C298" s="2" t="str">
        <f>HYPERLINK("http://snap.windin.com/ns/bulletin.php?id=2571046&amp;type=1", "美盛文化:首次公开发行股票上市公告书")</f>
        <v>美盛文化:首次公开发行股票上市公告书</v>
      </c>
    </row>
    <row r="299" spans="1:3" x14ac:dyDescent="0.15">
      <c r="A299" s="1">
        <v>41162</v>
      </c>
      <c r="B299" t="s">
        <v>68</v>
      </c>
      <c r="C299" s="2" t="str">
        <f>HYPERLINK("http://snap.windin.com/ns/bulletin.php?id=2571042&amp;type=1", "博实股份:首次公开发行股票上市公告书")</f>
        <v>博实股份:首次公开发行股票上市公告书</v>
      </c>
    </row>
    <row r="300" spans="1:3" x14ac:dyDescent="0.15">
      <c r="A300" s="1">
        <v>41162</v>
      </c>
      <c r="B300" t="s">
        <v>62</v>
      </c>
      <c r="C300" s="2" t="str">
        <f>HYPERLINK("http://snap.windin.com/ns/bulletin.php?id=2571040&amp;type=1", "东土科技:首次公开发行股票并在创业板上市招股说明书")</f>
        <v>东土科技:首次公开发行股票并在创业板上市招股说明书</v>
      </c>
    </row>
    <row r="301" spans="1:3" x14ac:dyDescent="0.15">
      <c r="A301" s="1">
        <v>41159</v>
      </c>
      <c r="B301" t="s">
        <v>64</v>
      </c>
      <c r="C301" s="2" t="str">
        <f>HYPERLINK("http://snap.windin.com/ns/bulletin.php?id=2569166&amp;type=1", "东华测试:首次公开发行股票并在创业板上市招股说明书")</f>
        <v>东华测试:首次公开发行股票并在创业板上市招股说明书</v>
      </c>
    </row>
    <row r="302" spans="1:3" x14ac:dyDescent="0.15">
      <c r="A302" s="1">
        <v>41157</v>
      </c>
      <c r="B302" t="s">
        <v>69</v>
      </c>
      <c r="C302" s="2" t="str">
        <f>HYPERLINK("http://snap.windin.com/ns/bulletin.php?id=2565224&amp;type=1", "渤海轮渡:首次公开发行A股股票上市公告书")</f>
        <v>渤海轮渡:首次公开发行A股股票上市公告书</v>
      </c>
    </row>
    <row r="303" spans="1:3" x14ac:dyDescent="0.15">
      <c r="A303" s="1">
        <v>41157</v>
      </c>
      <c r="B303" t="s">
        <v>69</v>
      </c>
      <c r="C303" s="2" t="str">
        <f>HYPERLINK("http://snap.windin.com/ns/bulletin.php?id=2565222&amp;type=1", "渤海轮渡:首次公开发行A股股票招股说明书")</f>
        <v>渤海轮渡:首次公开发行A股股票招股说明书</v>
      </c>
    </row>
    <row r="304" spans="1:3" x14ac:dyDescent="0.15">
      <c r="A304" s="1">
        <v>41156</v>
      </c>
      <c r="B304" t="s">
        <v>70</v>
      </c>
      <c r="C304" s="2" t="str">
        <f>HYPERLINK("http://snap.windin.com/ns/bulletin.php?id=2520418&amp;type=1", "煌上煌:首次公开发行股票上市公告书")</f>
        <v>煌上煌:首次公开发行股票上市公告书</v>
      </c>
    </row>
    <row r="305" spans="1:3" x14ac:dyDescent="0.15">
      <c r="A305" s="1">
        <v>41156</v>
      </c>
      <c r="B305" t="s">
        <v>71</v>
      </c>
      <c r="C305" s="2" t="str">
        <f>HYPERLINK("http://snap.windin.com/ns/bulletin.php?id=2520415&amp;type=1", "百洋股份:首次公开发行股票上市公告书")</f>
        <v>百洋股份:首次公开发行股票上市公告书</v>
      </c>
    </row>
    <row r="306" spans="1:3" x14ac:dyDescent="0.15">
      <c r="A306" s="1">
        <v>41156</v>
      </c>
      <c r="B306" t="s">
        <v>72</v>
      </c>
      <c r="C306" s="2" t="str">
        <f>HYPERLINK("http://snap.windin.com/ns/bulletin.php?id=2520402&amp;type=1", "红旗连锁:首次公开发行股票上市公告书")</f>
        <v>红旗连锁:首次公开发行股票上市公告书</v>
      </c>
    </row>
    <row r="307" spans="1:3" x14ac:dyDescent="0.15">
      <c r="A307" s="1">
        <v>41155</v>
      </c>
      <c r="B307" t="s">
        <v>66</v>
      </c>
      <c r="C307" s="2" t="str">
        <f>HYPERLINK("http://snap.windin.com/ns/bulletin.php?id=2518551&amp;type=1", "北信源:首次公开发行股票并在创业板上市招股说明书")</f>
        <v>北信源:首次公开发行股票并在创业板上市招股说明书</v>
      </c>
    </row>
    <row r="308" spans="1:3" x14ac:dyDescent="0.15">
      <c r="A308" s="1">
        <v>41152</v>
      </c>
      <c r="B308" t="s">
        <v>63</v>
      </c>
      <c r="C308" s="2" t="str">
        <f>HYPERLINK("http://snap.windin.com/ns/bulletin.php?id=2500245&amp;type=1", "新疆浩源:首次公开发行股票并上市招股意向书")</f>
        <v>新疆浩源:首次公开发行股票并上市招股意向书</v>
      </c>
    </row>
    <row r="309" spans="1:3" x14ac:dyDescent="0.15">
      <c r="A309" s="1">
        <v>41152</v>
      </c>
      <c r="B309" t="s">
        <v>63</v>
      </c>
      <c r="C309" s="2" t="str">
        <f>HYPERLINK("http://snap.windin.com/ns/bulletin.php?id=2499511&amp;type=1", "新疆浩源:首次公开发行股票招股意向书摘要")</f>
        <v>新疆浩源:首次公开发行股票招股意向书摘要</v>
      </c>
    </row>
    <row r="310" spans="1:3" x14ac:dyDescent="0.15">
      <c r="A310" s="1">
        <v>41152</v>
      </c>
      <c r="B310" t="s">
        <v>68</v>
      </c>
      <c r="C310" s="2" t="str">
        <f>HYPERLINK("http://snap.windin.com/ns/bulletin.php?id=2499382&amp;type=1", "博实股份:首次公开发行股票招股说明书")</f>
        <v>博实股份:首次公开发行股票招股说明书</v>
      </c>
    </row>
    <row r="311" spans="1:3" x14ac:dyDescent="0.15">
      <c r="A311" s="1">
        <v>41152</v>
      </c>
      <c r="B311" t="s">
        <v>68</v>
      </c>
      <c r="C311" s="2" t="str">
        <f>HYPERLINK("http://snap.windin.com/ns/bulletin.php?id=2499248&amp;type=1", "博实股份:首次公开发行股票招股说明书摘要")</f>
        <v>博实股份:首次公开发行股票招股说明书摘要</v>
      </c>
    </row>
    <row r="312" spans="1:3" x14ac:dyDescent="0.15">
      <c r="A312" s="1">
        <v>41152</v>
      </c>
      <c r="B312" t="s">
        <v>61</v>
      </c>
      <c r="C312" s="2" t="str">
        <f>HYPERLINK("http://snap.windin.com/ns/bulletin.php?id=2498670&amp;type=1", "蒙草抗旱:首次公开发行股票并在创业板上市招股意向书")</f>
        <v>蒙草抗旱:首次公开发行股票并在创业板上市招股意向书</v>
      </c>
    </row>
    <row r="313" spans="1:3" x14ac:dyDescent="0.15">
      <c r="A313" s="1">
        <v>41152</v>
      </c>
      <c r="B313" t="s">
        <v>67</v>
      </c>
      <c r="C313" s="2" t="str">
        <f>HYPERLINK("http://snap.windin.com/ns/bulletin.php?id=2497982&amp;type=1", "美盛文化:首次公开发行股票招股说明书摘要")</f>
        <v>美盛文化:首次公开发行股票招股说明书摘要</v>
      </c>
    </row>
    <row r="314" spans="1:3" x14ac:dyDescent="0.15">
      <c r="A314" s="1">
        <v>41152</v>
      </c>
      <c r="B314" t="s">
        <v>67</v>
      </c>
      <c r="C314" s="2" t="str">
        <f>HYPERLINK("http://snap.windin.com/ns/bulletin.php?id=2496870&amp;type=1", "美盛文化:首次公开发行股票招股说明书")</f>
        <v>美盛文化:首次公开发行股票招股说明书</v>
      </c>
    </row>
    <row r="315" spans="1:3" x14ac:dyDescent="0.15">
      <c r="A315" s="1">
        <v>41152</v>
      </c>
      <c r="B315" t="s">
        <v>62</v>
      </c>
      <c r="C315" s="2" t="str">
        <f>HYPERLINK("http://snap.windin.com/ns/bulletin.php?id=2496851&amp;type=1", "东土科技:首次公开发行股票并在创业板上市招股意向书")</f>
        <v>东土科技:首次公开发行股票并在创业板上市招股意向书</v>
      </c>
    </row>
    <row r="316" spans="1:3" x14ac:dyDescent="0.15">
      <c r="A316" s="1">
        <v>41151</v>
      </c>
      <c r="B316" t="s">
        <v>64</v>
      </c>
      <c r="C316" s="2" t="str">
        <f>HYPERLINK("http://snap.windin.com/ns/bulletin.php?id=2467247&amp;type=1", "东华测试:首次公开发行股票并在创业板上市招股意向书")</f>
        <v>东华测试:首次公开发行股票并在创业板上市招股意向书</v>
      </c>
    </row>
    <row r="317" spans="1:3" x14ac:dyDescent="0.15">
      <c r="A317" s="1">
        <v>41149</v>
      </c>
      <c r="B317" t="s">
        <v>65</v>
      </c>
      <c r="C317" s="2" t="str">
        <f>HYPERLINK("http://snap.windin.com/ns/bulletin.php?id=2419255&amp;type=1", "永贵电器:首次公开发行股票并在创业板上市招股意向书")</f>
        <v>永贵电器:首次公开发行股票并在创业板上市招股意向书</v>
      </c>
    </row>
    <row r="318" spans="1:3" x14ac:dyDescent="0.15">
      <c r="A318" s="1">
        <v>41148</v>
      </c>
      <c r="B318" t="s">
        <v>66</v>
      </c>
      <c r="C318" s="2" t="str">
        <f>HYPERLINK("http://snap.windin.com/ns/bulletin.php?id=2403632&amp;type=1", "北信源:首次公开发行股票并在创业板上市招股意向书")</f>
        <v>北信源:首次公开发行股票并在创业板上市招股意向书</v>
      </c>
    </row>
    <row r="319" spans="1:3" x14ac:dyDescent="0.15">
      <c r="A319" s="1">
        <v>41148</v>
      </c>
      <c r="B319" t="s">
        <v>72</v>
      </c>
      <c r="C319" s="2" t="str">
        <f>HYPERLINK("http://snap.windin.com/ns/bulletin.php?id=2403108&amp;type=1", "红旗连锁:首次公开发行股票招股说明书摘要")</f>
        <v>红旗连锁:首次公开发行股票招股说明书摘要</v>
      </c>
    </row>
    <row r="320" spans="1:3" x14ac:dyDescent="0.15">
      <c r="A320" s="1">
        <v>41148</v>
      </c>
      <c r="B320" t="s">
        <v>72</v>
      </c>
      <c r="C320" s="2" t="str">
        <f>HYPERLINK("http://snap.windin.com/ns/bulletin.php?id=2403100&amp;type=1", "红旗连锁:首次公开发行股票招股说明书")</f>
        <v>红旗连锁:首次公开发行股票招股说明书</v>
      </c>
    </row>
    <row r="321" spans="1:3" x14ac:dyDescent="0.15">
      <c r="A321" s="1">
        <v>41148</v>
      </c>
      <c r="B321" t="s">
        <v>70</v>
      </c>
      <c r="C321" s="2" t="str">
        <f>HYPERLINK("http://snap.windin.com/ns/bulletin.php?id=2403082&amp;type=1", "煌上煌:首次公开发行股票招股说明书")</f>
        <v>煌上煌:首次公开发行股票招股说明书</v>
      </c>
    </row>
    <row r="322" spans="1:3" x14ac:dyDescent="0.15">
      <c r="A322" s="1">
        <v>41148</v>
      </c>
      <c r="B322" t="s">
        <v>70</v>
      </c>
      <c r="C322" s="2" t="str">
        <f>HYPERLINK("http://snap.windin.com/ns/bulletin.php?id=2403081&amp;type=1", "煌上煌:首次公开发行股票招股说明书摘要")</f>
        <v>煌上煌:首次公开发行股票招股说明书摘要</v>
      </c>
    </row>
    <row r="323" spans="1:3" x14ac:dyDescent="0.15">
      <c r="A323" s="1">
        <v>41145</v>
      </c>
      <c r="B323" t="s">
        <v>68</v>
      </c>
      <c r="C323" s="2" t="str">
        <f>HYPERLINK("http://snap.windin.com/ns/bulletin.php?id=2357155&amp;type=1", "博实股份:首次公开发行股票招股意向书摘要")</f>
        <v>博实股份:首次公开发行股票招股意向书摘要</v>
      </c>
    </row>
    <row r="324" spans="1:3" x14ac:dyDescent="0.15">
      <c r="A324" s="1">
        <v>41145</v>
      </c>
      <c r="B324" t="s">
        <v>68</v>
      </c>
      <c r="C324" s="2" t="str">
        <f>HYPERLINK("http://snap.windin.com/ns/bulletin.php?id=2357149&amp;type=1", "博实股份:首次公开发行股票招股意向书")</f>
        <v>博实股份:首次公开发行股票招股意向书</v>
      </c>
    </row>
    <row r="325" spans="1:3" x14ac:dyDescent="0.15">
      <c r="A325" s="1">
        <v>41145</v>
      </c>
      <c r="B325" t="s">
        <v>67</v>
      </c>
      <c r="C325" s="2" t="str">
        <f>HYPERLINK("http://snap.windin.com/ns/bulletin.php?id=2353074&amp;type=1", "美盛文化:首次公开发行股票招股意向书摘要")</f>
        <v>美盛文化:首次公开发行股票招股意向书摘要</v>
      </c>
    </row>
    <row r="326" spans="1:3" x14ac:dyDescent="0.15">
      <c r="A326" s="1">
        <v>41145</v>
      </c>
      <c r="B326" t="s">
        <v>67</v>
      </c>
      <c r="C326" s="2" t="str">
        <f>HYPERLINK("http://snap.windin.com/ns/bulletin.php?id=2352886&amp;type=1", "美盛文化:首次公开发行股票招股意向书")</f>
        <v>美盛文化:首次公开发行股票招股意向书</v>
      </c>
    </row>
    <row r="327" spans="1:3" x14ac:dyDescent="0.15">
      <c r="A327" s="1">
        <v>41145</v>
      </c>
      <c r="B327" t="s">
        <v>71</v>
      </c>
      <c r="C327" s="2" t="str">
        <f>HYPERLINK("http://snap.windin.com/ns/bulletin.php?id=2348204&amp;type=1", "百洋股份:首次公开发行股票招股说明书摘要")</f>
        <v>百洋股份:首次公开发行股票招股说明书摘要</v>
      </c>
    </row>
    <row r="328" spans="1:3" x14ac:dyDescent="0.15">
      <c r="A328" s="1">
        <v>41145</v>
      </c>
      <c r="B328" t="s">
        <v>71</v>
      </c>
      <c r="C328" s="2" t="str">
        <f>HYPERLINK("http://snap.windin.com/ns/bulletin.php?id=2348164&amp;type=1", "百洋股份:首次公开发行股票招股说明书")</f>
        <v>百洋股份:首次公开发行股票招股说明书</v>
      </c>
    </row>
    <row r="329" spans="1:3" x14ac:dyDescent="0.15">
      <c r="A329" s="1">
        <v>41144</v>
      </c>
      <c r="B329" t="s">
        <v>73</v>
      </c>
      <c r="C329" s="2" t="str">
        <f>HYPERLINK("http://snap.windin.com/ns/bulletin.php?id=2308498&amp;type=1", "新华龙:首次公开发行股票招股说明书")</f>
        <v>新华龙:首次公开发行股票招股说明书</v>
      </c>
    </row>
    <row r="330" spans="1:3" x14ac:dyDescent="0.15">
      <c r="A330" s="1">
        <v>41144</v>
      </c>
      <c r="B330" t="s">
        <v>73</v>
      </c>
      <c r="C330" s="2" t="str">
        <f>HYPERLINK("http://snap.windin.com/ns/bulletin.php?id=2308277&amp;type=1", "新华龙:首次公开发行股票上市公告书")</f>
        <v>新华龙:首次公开发行股票上市公告书</v>
      </c>
    </row>
    <row r="331" spans="1:3" x14ac:dyDescent="0.15">
      <c r="A331" s="1">
        <v>41141</v>
      </c>
      <c r="B331" t="s">
        <v>74</v>
      </c>
      <c r="C331" s="2" t="str">
        <f>HYPERLINK("http://snap.windin.com/ns/bulletin.php?id=2243276&amp;type=1", "华鹏飞:首次公开发行股票并在创业板上市公告书")</f>
        <v>华鹏飞:首次公开发行股票并在创业板上市公告书</v>
      </c>
    </row>
    <row r="332" spans="1:3" x14ac:dyDescent="0.15">
      <c r="A332" s="1">
        <v>41141</v>
      </c>
      <c r="B332" t="s">
        <v>74</v>
      </c>
      <c r="C332" s="2" t="str">
        <f>HYPERLINK("http://snap.windin.com/ns/bulletin.php?id=2243269&amp;type=1", "华鹏飞:首次公开发行股票并在创业板上市上市公告书提示性公告")</f>
        <v>华鹏飞:首次公开发行股票并在创业板上市上市公告书提示性公告</v>
      </c>
    </row>
    <row r="333" spans="1:3" x14ac:dyDescent="0.15">
      <c r="A333" s="1">
        <v>41138</v>
      </c>
      <c r="B333" t="s">
        <v>71</v>
      </c>
      <c r="C333" s="2" t="str">
        <f>HYPERLINK("http://snap.windin.com/ns/bulletin.php?id=2231668&amp;type=1", "百洋股份:首次公开发行股票招股意向书摘要（更新后）")</f>
        <v>百洋股份:首次公开发行股票招股意向书摘要（更新后）</v>
      </c>
    </row>
    <row r="334" spans="1:3" x14ac:dyDescent="0.15">
      <c r="A334" s="1">
        <v>41138</v>
      </c>
      <c r="B334" t="s">
        <v>71</v>
      </c>
      <c r="C334" s="2" t="str">
        <f>HYPERLINK("http://snap.windin.com/ns/bulletin.php?id=2231667&amp;type=1", "百洋股份:首次公开发行股票招股意向书（更新后）")</f>
        <v>百洋股份:首次公开发行股票招股意向书（更新后）</v>
      </c>
    </row>
    <row r="335" spans="1:3" x14ac:dyDescent="0.15">
      <c r="A335" s="1">
        <v>41138</v>
      </c>
      <c r="B335" t="s">
        <v>72</v>
      </c>
      <c r="C335" s="2" t="str">
        <f>HYPERLINK("http://snap.windin.com/ns/bulletin.php?id=2231660&amp;type=1", "红旗连锁:首次公开发行股票招股意向书")</f>
        <v>红旗连锁:首次公开发行股票招股意向书</v>
      </c>
    </row>
    <row r="336" spans="1:3" x14ac:dyDescent="0.15">
      <c r="A336" s="1">
        <v>41138</v>
      </c>
      <c r="B336" t="s">
        <v>72</v>
      </c>
      <c r="C336" s="2" t="str">
        <f>HYPERLINK("http://snap.windin.com/ns/bulletin.php?id=2231655&amp;type=1", "红旗连锁:首次公开发行股票招股意向书摘要")</f>
        <v>红旗连锁:首次公开发行股票招股意向书摘要</v>
      </c>
    </row>
    <row r="337" spans="1:3" x14ac:dyDescent="0.15">
      <c r="A337" s="1">
        <v>41138</v>
      </c>
      <c r="B337" t="s">
        <v>71</v>
      </c>
      <c r="C337" s="2" t="str">
        <f>HYPERLINK("http://snap.windin.com/ns/bulletin.php?id=2231572&amp;type=1", "百洋股份:首次公开发行股票招股意向书")</f>
        <v>百洋股份:首次公开发行股票招股意向书</v>
      </c>
    </row>
    <row r="338" spans="1:3" x14ac:dyDescent="0.15">
      <c r="A338" s="1">
        <v>41138</v>
      </c>
      <c r="B338" t="s">
        <v>71</v>
      </c>
      <c r="C338" s="2" t="str">
        <f>HYPERLINK("http://snap.windin.com/ns/bulletin.php?id=2231571&amp;type=1", "百洋股份:首次公开发行股票招股意向书摘要")</f>
        <v>百洋股份:首次公开发行股票招股意向书摘要</v>
      </c>
    </row>
    <row r="339" spans="1:3" x14ac:dyDescent="0.15">
      <c r="A339" s="1">
        <v>41137</v>
      </c>
      <c r="B339" t="s">
        <v>75</v>
      </c>
      <c r="C339" s="2" t="str">
        <f>HYPERLINK("http://snap.windin.com/ns/bulletin.php?id=2229636&amp;type=1", "金卡股份:首次公开发行股票并在创业板上市上市公告书提示性公告")</f>
        <v>金卡股份:首次公开发行股票并在创业板上市上市公告书提示性公告</v>
      </c>
    </row>
    <row r="340" spans="1:3" x14ac:dyDescent="0.15">
      <c r="A340" s="1">
        <v>41137</v>
      </c>
      <c r="B340" t="s">
        <v>75</v>
      </c>
      <c r="C340" s="2" t="str">
        <f>HYPERLINK("http://snap.windin.com/ns/bulletin.php?id=2229634&amp;type=1", "金卡股份:首次公开发行股票并在创业板上市上市公告书")</f>
        <v>金卡股份:首次公开发行股票并在创业板上市上市公告书</v>
      </c>
    </row>
    <row r="341" spans="1:3" x14ac:dyDescent="0.15">
      <c r="A341" s="1">
        <v>41137</v>
      </c>
      <c r="B341" t="s">
        <v>76</v>
      </c>
      <c r="C341" s="2" t="str">
        <f>HYPERLINK("http://snap.windin.com/ns/bulletin.php?id=2229516&amp;type=1", "长亮科技:首次公开发行股票并在创业板上市公告书提示性公告")</f>
        <v>长亮科技:首次公开发行股票并在创业板上市公告书提示性公告</v>
      </c>
    </row>
    <row r="342" spans="1:3" x14ac:dyDescent="0.15">
      <c r="A342" s="1">
        <v>41137</v>
      </c>
      <c r="B342" t="s">
        <v>76</v>
      </c>
      <c r="C342" s="2" t="str">
        <f>HYPERLINK("http://snap.windin.com/ns/bulletin.php?id=2229515&amp;type=1", "长亮科技:首次公开发行股票并在创业板上市之上市公告书")</f>
        <v>长亮科技:首次公开发行股票并在创业板上市之上市公告书</v>
      </c>
    </row>
    <row r="343" spans="1:3" x14ac:dyDescent="0.15">
      <c r="A343" s="1">
        <v>41137</v>
      </c>
      <c r="B343" t="s">
        <v>77</v>
      </c>
      <c r="C343" s="2" t="str">
        <f>HYPERLINK("http://snap.windin.com/ns/bulletin.php?id=2229437&amp;type=1", "龙宇燃油:首次公开发行股票招股说明书")</f>
        <v>龙宇燃油:首次公开发行股票招股说明书</v>
      </c>
    </row>
    <row r="344" spans="1:3" x14ac:dyDescent="0.15">
      <c r="A344" s="1">
        <v>41137</v>
      </c>
      <c r="B344" t="s">
        <v>77</v>
      </c>
      <c r="C344" s="2" t="str">
        <f>HYPERLINK("http://snap.windin.com/ns/bulletin.php?id=2229399&amp;type=1", "龙宇燃油:首次公开发行A股股票上市公告书")</f>
        <v>龙宇燃油:首次公开发行A股股票上市公告书</v>
      </c>
    </row>
    <row r="345" spans="1:3" x14ac:dyDescent="0.15">
      <c r="A345" s="1">
        <v>41137</v>
      </c>
      <c r="B345" t="s">
        <v>78</v>
      </c>
      <c r="C345" s="2" t="str">
        <f>HYPERLINK("http://snap.windin.com/ns/bulletin.php?id=2228915&amp;type=1", "泰格医药:首次公开发行股票并在创业板上市上市公告书提示性公告")</f>
        <v>泰格医药:首次公开发行股票并在创业板上市上市公告书提示性公告</v>
      </c>
    </row>
    <row r="346" spans="1:3" x14ac:dyDescent="0.15">
      <c r="A346" s="1">
        <v>41137</v>
      </c>
      <c r="B346" t="s">
        <v>78</v>
      </c>
      <c r="C346" s="2" t="str">
        <f>HYPERLINK("http://snap.windin.com/ns/bulletin.php?id=2228914&amp;type=1", "泰格医药:首次公开发行股票并在创业板上市公告书")</f>
        <v>泰格医药:首次公开发行股票并在创业板上市公告书</v>
      </c>
    </row>
    <row r="347" spans="1:3" x14ac:dyDescent="0.15">
      <c r="A347" s="1">
        <v>41136</v>
      </c>
      <c r="B347" t="s">
        <v>79</v>
      </c>
      <c r="C347" s="2" t="str">
        <f>HYPERLINK("http://snap.windin.com/ns/bulletin.php?id=2227212&amp;type=1", "顾地科技:首次公开发行股票上市公告书")</f>
        <v>顾地科技:首次公开发行股票上市公告书</v>
      </c>
    </row>
    <row r="348" spans="1:3" x14ac:dyDescent="0.15">
      <c r="A348" s="1">
        <v>41131</v>
      </c>
      <c r="B348" t="s">
        <v>70</v>
      </c>
      <c r="C348" s="2" t="str">
        <f>HYPERLINK("http://snap.windin.com/ns/bulletin.php?id=2211897&amp;type=1", "煌上煌:首次公开发行股票招股意向书摘要")</f>
        <v>煌上煌:首次公开发行股票招股意向书摘要</v>
      </c>
    </row>
    <row r="349" spans="1:3" x14ac:dyDescent="0.15">
      <c r="A349" s="1">
        <v>41131</v>
      </c>
      <c r="B349" t="s">
        <v>70</v>
      </c>
      <c r="C349" s="2" t="str">
        <f>HYPERLINK("http://snap.windin.com/ns/bulletin.php?id=2211888&amp;type=1", "煌上煌:首次公开发行股票招股意向书")</f>
        <v>煌上煌:首次公开发行股票招股意向书</v>
      </c>
    </row>
    <row r="350" spans="1:3" x14ac:dyDescent="0.15">
      <c r="A350" s="1">
        <v>41131</v>
      </c>
      <c r="B350" t="s">
        <v>69</v>
      </c>
      <c r="C350" s="2" t="str">
        <f>HYPERLINK("http://snap.windin.com/ns/bulletin.php?id=2211831&amp;type=1", "渤海轮渡:首次公开发行A股股票招股意向书附录")</f>
        <v>渤海轮渡:首次公开发行A股股票招股意向书附录</v>
      </c>
    </row>
    <row r="351" spans="1:3" x14ac:dyDescent="0.15">
      <c r="A351" s="1">
        <v>41131</v>
      </c>
      <c r="B351" t="s">
        <v>69</v>
      </c>
      <c r="C351" s="2" t="str">
        <f>HYPERLINK("http://snap.windin.com/ns/bulletin.php?id=2211830&amp;type=1", "渤海轮渡:首次公开发行A股股票招股意向书摘要")</f>
        <v>渤海轮渡:首次公开发行A股股票招股意向书摘要</v>
      </c>
    </row>
    <row r="352" spans="1:3" x14ac:dyDescent="0.15">
      <c r="A352" s="1">
        <v>41131</v>
      </c>
      <c r="B352" t="s">
        <v>69</v>
      </c>
      <c r="C352" s="2" t="str">
        <f>HYPERLINK("http://snap.windin.com/ns/bulletin.php?id=2211829&amp;type=1", "渤海轮渡:首次公开发行A股股票招股意向书")</f>
        <v>渤海轮渡:首次公开发行A股股票招股意向书</v>
      </c>
    </row>
    <row r="353" spans="1:3" x14ac:dyDescent="0.15">
      <c r="A353" s="1">
        <v>41131</v>
      </c>
      <c r="B353" t="s">
        <v>74</v>
      </c>
      <c r="C353" s="2" t="str">
        <f>HYPERLINK("http://snap.windin.com/ns/bulletin.php?id=2211541&amp;type=1", "华鹏飞:首次公开发行股票并在创业板上市招股说明书")</f>
        <v>华鹏飞:首次公开发行股票并在创业板上市招股说明书</v>
      </c>
    </row>
    <row r="354" spans="1:3" x14ac:dyDescent="0.15">
      <c r="A354" s="1">
        <v>41130</v>
      </c>
      <c r="B354" t="s">
        <v>80</v>
      </c>
      <c r="C354" s="2" t="str">
        <f>HYPERLINK("http://snap.windin.com/ns/bulletin.php?id=2200273&amp;type=1", "隆鑫通用:首次公开发行A股股票招股说明书")</f>
        <v>隆鑫通用:首次公开发行A股股票招股说明书</v>
      </c>
    </row>
    <row r="355" spans="1:3" x14ac:dyDescent="0.15">
      <c r="A355" s="1">
        <v>41130</v>
      </c>
      <c r="B355" t="s">
        <v>80</v>
      </c>
      <c r="C355" s="2" t="str">
        <f>HYPERLINK("http://snap.windin.com/ns/bulletin.php?id=2200272&amp;type=1", "隆鑫通用:首次公开发行A股股票上市公告书")</f>
        <v>隆鑫通用:首次公开发行A股股票上市公告书</v>
      </c>
    </row>
    <row r="356" spans="1:3" x14ac:dyDescent="0.15">
      <c r="A356" s="1">
        <v>41129</v>
      </c>
      <c r="B356" t="s">
        <v>75</v>
      </c>
      <c r="C356" s="2" t="str">
        <f>HYPERLINK("http://snap.windin.com/ns/bulletin.php?id=2199291&amp;type=1", "金卡股份:首次公开发行股票并在创业板上市招股说明书")</f>
        <v>金卡股份:首次公开发行股票并在创业板上市招股说明书</v>
      </c>
    </row>
    <row r="357" spans="1:3" x14ac:dyDescent="0.15">
      <c r="A357" s="1">
        <v>41128</v>
      </c>
      <c r="B357" t="s">
        <v>76</v>
      </c>
      <c r="C357" s="2" t="str">
        <f>HYPERLINK("http://snap.windin.com/ns/bulletin.php?id=2197855&amp;type=1", "长亮科技:首次公开发行股票并在创业板上市招股说明书")</f>
        <v>长亮科技:首次公开发行股票并在创业板上市招股说明书</v>
      </c>
    </row>
    <row r="358" spans="1:3" x14ac:dyDescent="0.15">
      <c r="A358" s="1">
        <v>41128</v>
      </c>
      <c r="B358" t="s">
        <v>81</v>
      </c>
      <c r="C358" s="2" t="str">
        <f>HYPERLINK("http://snap.windin.com/ns/bulletin.php?id=2197746&amp;type=1", "一拖股份:首次公开发行A股股票招股说明书")</f>
        <v>一拖股份:首次公开发行A股股票招股说明书</v>
      </c>
    </row>
    <row r="359" spans="1:3" x14ac:dyDescent="0.15">
      <c r="A359" s="1">
        <v>41128</v>
      </c>
      <c r="B359" t="s">
        <v>81</v>
      </c>
      <c r="C359" s="2" t="str">
        <f>HYPERLINK("http://snap.windin.com/ns/bulletin.php?id=2197745&amp;type=1", "一拖股份:首次公开发行A股股票上市公告书")</f>
        <v>一拖股份:首次公开发行A股股票上市公告书</v>
      </c>
    </row>
    <row r="360" spans="1:3" x14ac:dyDescent="0.15">
      <c r="A360" s="1">
        <v>41128</v>
      </c>
      <c r="B360" t="s">
        <v>82</v>
      </c>
      <c r="C360" s="2" t="str">
        <f>HYPERLINK("http://snap.windin.com/ns/bulletin.php?id=2197648&amp;type=1", "双成药业:首次公开发行股票上市公告书")</f>
        <v>双成药业:首次公开发行股票上市公告书</v>
      </c>
    </row>
    <row r="361" spans="1:3" x14ac:dyDescent="0.15">
      <c r="A361" s="1">
        <v>41128</v>
      </c>
      <c r="B361" t="s">
        <v>79</v>
      </c>
      <c r="C361" s="2" t="str">
        <f>HYPERLINK("http://snap.windin.com/ns/bulletin.php?id=2197646&amp;type=1", "顾地科技:首次公开发行股票招股说明书摘要")</f>
        <v>顾地科技:首次公开发行股票招股说明书摘要</v>
      </c>
    </row>
    <row r="362" spans="1:3" x14ac:dyDescent="0.15">
      <c r="A362" s="1">
        <v>41128</v>
      </c>
      <c r="B362" t="s">
        <v>79</v>
      </c>
      <c r="C362" s="2" t="str">
        <f>HYPERLINK("http://snap.windin.com/ns/bulletin.php?id=2197639&amp;type=1", "顾地科技:首次公开发行股票招股说明书")</f>
        <v>顾地科技:首次公开发行股票招股说明书</v>
      </c>
    </row>
    <row r="363" spans="1:3" x14ac:dyDescent="0.15">
      <c r="A363" s="1">
        <v>41128</v>
      </c>
      <c r="B363" t="s">
        <v>83</v>
      </c>
      <c r="C363" s="2" t="str">
        <f>HYPERLINK("http://snap.windin.com/ns/bulletin.php?id=2197629&amp;type=1", "远程电缆:首次公开发行股票上市公告书")</f>
        <v>远程电缆:首次公开发行股票上市公告书</v>
      </c>
    </row>
    <row r="364" spans="1:3" x14ac:dyDescent="0.15">
      <c r="A364" s="1">
        <v>41127</v>
      </c>
      <c r="B364" t="s">
        <v>84</v>
      </c>
      <c r="C364" s="2" t="str">
        <f>HYPERLINK("http://snap.windin.com/ns/bulletin.php?id=2195834&amp;type=1", "南大光电:首次公开发行股票并在创业板上市之上市公告书")</f>
        <v>南大光电:首次公开发行股票并在创业板上市之上市公告书</v>
      </c>
    </row>
    <row r="365" spans="1:3" x14ac:dyDescent="0.15">
      <c r="A365" s="1">
        <v>41127</v>
      </c>
      <c r="B365" t="s">
        <v>84</v>
      </c>
      <c r="C365" s="2" t="str">
        <f>HYPERLINK("http://snap.windin.com/ns/bulletin.php?id=2195833&amp;type=1", "南大光电:首次公开发行股票并在创业板上市上市公告书提示性公告")</f>
        <v>南大光电:首次公开发行股票并在创业板上市上市公告书提示性公告</v>
      </c>
    </row>
    <row r="366" spans="1:3" x14ac:dyDescent="0.15">
      <c r="A366" s="1">
        <v>41127</v>
      </c>
      <c r="B366" t="s">
        <v>78</v>
      </c>
      <c r="C366" s="2" t="str">
        <f>HYPERLINK("http://snap.windin.com/ns/bulletin.php?id=2195751&amp;type=1", "泰格医药:首次公开发行股票并在创业板上市招股说明书")</f>
        <v>泰格医药:首次公开发行股票并在创业板上市招股说明书</v>
      </c>
    </row>
    <row r="367" spans="1:3" x14ac:dyDescent="0.15">
      <c r="A367" s="1">
        <v>41121</v>
      </c>
      <c r="B367" t="s">
        <v>85</v>
      </c>
      <c r="C367" s="2" t="str">
        <f>HYPERLINK("http://snap.windin.com/ns/bulletin.php?id=2117686&amp;type=1", "红宇新材:首次公开发行股票并在创业板上市上市公告书")</f>
        <v>红宇新材:首次公开发行股票并在创业板上市上市公告书</v>
      </c>
    </row>
    <row r="368" spans="1:3" x14ac:dyDescent="0.15">
      <c r="A368" s="1">
        <v>41121</v>
      </c>
      <c r="B368" t="s">
        <v>86</v>
      </c>
      <c r="C368" s="2" t="str">
        <f>HYPERLINK("http://snap.windin.com/ns/bulletin.php?id=2077515&amp;type=1", "联创节能:首次公开发行股票并在创业板上市公告书提示性公告")</f>
        <v>联创节能:首次公开发行股票并在创业板上市公告书提示性公告</v>
      </c>
    </row>
    <row r="369" spans="1:3" x14ac:dyDescent="0.15">
      <c r="A369" s="1">
        <v>41121</v>
      </c>
      <c r="B369" t="s">
        <v>73</v>
      </c>
      <c r="C369" s="2" t="str">
        <f>HYPERLINK("http://snap.windin.com/ns/bulletin.php?id=2037029&amp;type=1", "新华龙:首次公开发行股票招股意向书")</f>
        <v>新华龙:首次公开发行股票招股意向书</v>
      </c>
    </row>
    <row r="370" spans="1:3" x14ac:dyDescent="0.15">
      <c r="A370" s="1">
        <v>41121</v>
      </c>
      <c r="B370" t="s">
        <v>87</v>
      </c>
      <c r="C370" s="2" t="str">
        <f>HYPERLINK("http://snap.windin.com/ns/bulletin.php?id=2035864&amp;type=1", "太空板业:首次公开发行股票并在创业板上市公告书")</f>
        <v>太空板业:首次公开发行股票并在创业板上市公告书</v>
      </c>
    </row>
    <row r="371" spans="1:3" x14ac:dyDescent="0.15">
      <c r="A371" s="1">
        <v>41121</v>
      </c>
      <c r="B371" t="s">
        <v>75</v>
      </c>
      <c r="C371" s="2" t="str">
        <f>HYPERLINK("http://snap.windin.com/ns/bulletin.php?id=1950941&amp;type=1", "金卡股份:首次公开发行股票并在创业板上市招股意向书")</f>
        <v>金卡股份:首次公开发行股票并在创业板上市招股意向书</v>
      </c>
    </row>
    <row r="372" spans="1:3" x14ac:dyDescent="0.15">
      <c r="A372" s="1">
        <v>41121</v>
      </c>
      <c r="B372" t="s">
        <v>74</v>
      </c>
      <c r="C372" s="2" t="str">
        <f>HYPERLINK("http://snap.windin.com/ns/bulletin.php?id=1810078&amp;type=1", "华鹏飞:首次公开发行股票并在创业板上市招股意向书")</f>
        <v>华鹏飞:首次公开发行股票并在创业板上市招股意向书</v>
      </c>
    </row>
    <row r="373" spans="1:3" x14ac:dyDescent="0.15">
      <c r="A373" s="1">
        <v>41121</v>
      </c>
      <c r="B373" t="s">
        <v>86</v>
      </c>
      <c r="C373" s="2" t="str">
        <f>HYPERLINK("http://snap.windin.com/ns/bulletin.php?id=1782998&amp;type=1", "联创节能:首次公开发行股票并在创业板上市公告书")</f>
        <v>联创节能:首次公开发行股票并在创业板上市公告书</v>
      </c>
    </row>
    <row r="374" spans="1:3" x14ac:dyDescent="0.15">
      <c r="A374" s="1">
        <v>41121</v>
      </c>
      <c r="B374" t="s">
        <v>73</v>
      </c>
      <c r="C374" s="2" t="str">
        <f>HYPERLINK("http://snap.windin.com/ns/bulletin.php?id=1747575&amp;type=1", "新华龙:首次公开发行股票招股意向书摘要")</f>
        <v>新华龙:首次公开发行股票招股意向书摘要</v>
      </c>
    </row>
    <row r="375" spans="1:3" x14ac:dyDescent="0.15">
      <c r="A375" s="1">
        <v>41121</v>
      </c>
      <c r="B375" t="s">
        <v>85</v>
      </c>
      <c r="C375" s="2" t="str">
        <f>HYPERLINK("http://snap.windin.com/ns/bulletin.php?id=1718035&amp;type=1", "红宇新材:首次公开发行股票并在创业板上市公告书提示性公告")</f>
        <v>红宇新材:首次公开发行股票并在创业板上市公告书提示性公告</v>
      </c>
    </row>
    <row r="376" spans="1:3" x14ac:dyDescent="0.15">
      <c r="A376" s="1">
        <v>41121</v>
      </c>
      <c r="B376" t="s">
        <v>76</v>
      </c>
      <c r="C376" s="2" t="str">
        <f>HYPERLINK("http://snap.windin.com/ns/bulletin.php?id=1468288&amp;type=1", "长亮科技:首次公开发行股票并在创业板上市招股意向书")</f>
        <v>长亮科技:首次公开发行股票并在创业板上市招股意向书</v>
      </c>
    </row>
    <row r="377" spans="1:3" x14ac:dyDescent="0.15">
      <c r="A377" s="1">
        <v>41121</v>
      </c>
      <c r="B377" t="s">
        <v>87</v>
      </c>
      <c r="C377" s="2" t="str">
        <f>HYPERLINK("http://snap.windin.com/ns/bulletin.php?id=1054410&amp;type=1", "太空板业:首次公开发行股票并在创业板上市上市公告书提示性公告")</f>
        <v>太空板业:首次公开发行股票并在创业板上市上市公告书提示性公告</v>
      </c>
    </row>
    <row r="378" spans="1:3" x14ac:dyDescent="0.15">
      <c r="A378" s="1">
        <v>41121</v>
      </c>
      <c r="B378" t="s">
        <v>73</v>
      </c>
      <c r="C378" s="2" t="str">
        <f>HYPERLINK("http://snap.windin.com/ns/bulletin.php?id=1034053&amp;type=1", "新华龙:首次公开发行股票招股意向书附录一")</f>
        <v>新华龙:首次公开发行股票招股意向书附录一</v>
      </c>
    </row>
    <row r="379" spans="1:3" x14ac:dyDescent="0.15">
      <c r="A379" s="1">
        <v>41121</v>
      </c>
      <c r="B379" t="s">
        <v>73</v>
      </c>
      <c r="C379" s="2" t="str">
        <f>HYPERLINK("http://snap.windin.com/ns/bulletin.php?id=530296&amp;type=1", "新华龙:首次公开发行股票招股意向书附录三")</f>
        <v>新华龙:首次公开发行股票招股意向书附录三</v>
      </c>
    </row>
    <row r="380" spans="1:3" x14ac:dyDescent="0.15">
      <c r="A380" s="1">
        <v>41121</v>
      </c>
      <c r="B380" t="s">
        <v>73</v>
      </c>
      <c r="C380" s="2" t="str">
        <f>HYPERLINK("http://snap.windin.com/ns/bulletin.php?id=466283&amp;type=1", "新华龙:首次公开发行股票招股意向书附录二")</f>
        <v>新华龙:首次公开发行股票招股意向书附录二</v>
      </c>
    </row>
    <row r="381" spans="1:3" x14ac:dyDescent="0.15">
      <c r="A381" s="1">
        <v>41121</v>
      </c>
      <c r="B381" t="s">
        <v>73</v>
      </c>
      <c r="C381" s="2" t="str">
        <f>HYPERLINK("http://snap.windin.com/ns/bulletin.php?id=202093&amp;type=1", "新华龙:首次公开发行股票招股意向书附录四")</f>
        <v>新华龙:首次公开发行股票招股意向书附录四</v>
      </c>
    </row>
    <row r="382" spans="1:3" x14ac:dyDescent="0.15">
      <c r="A382" s="1">
        <v>41120</v>
      </c>
      <c r="B382" t="s">
        <v>88</v>
      </c>
      <c r="C382" s="2" t="str">
        <f>HYPERLINK("http://snap.windin.com/ns/bulletin.php?id=2112001&amp;type=1", "和邦股份:首次公开发行A股股票上市公告书")</f>
        <v>和邦股份:首次公开发行A股股票上市公告书</v>
      </c>
    </row>
    <row r="383" spans="1:3" x14ac:dyDescent="0.15">
      <c r="A383" s="1">
        <v>41120</v>
      </c>
      <c r="B383" t="s">
        <v>82</v>
      </c>
      <c r="C383" s="2" t="str">
        <f>HYPERLINK("http://snap.windin.com/ns/bulletin.php?id=1761301&amp;type=1", "双成药业:首次公开发行股票招股说明书摘要")</f>
        <v>双成药业:首次公开发行股票招股说明书摘要</v>
      </c>
    </row>
    <row r="384" spans="1:3" x14ac:dyDescent="0.15">
      <c r="A384" s="1">
        <v>41120</v>
      </c>
      <c r="B384" t="s">
        <v>78</v>
      </c>
      <c r="C384" s="2" t="str">
        <f>HYPERLINK("http://snap.windin.com/ns/bulletin.php?id=1403865&amp;type=1", "泰格医药:首次公开发行股票并在创业板上市招股意向书")</f>
        <v>泰格医药:首次公开发行股票并在创业板上市招股意向书</v>
      </c>
    </row>
    <row r="385" spans="1:3" x14ac:dyDescent="0.15">
      <c r="A385" s="1">
        <v>41120</v>
      </c>
      <c r="B385" t="s">
        <v>89</v>
      </c>
      <c r="C385" s="2" t="str">
        <f>HYPERLINK("http://snap.windin.com/ns/bulletin.php?id=1174024&amp;type=1", "石煤装备:首次公开发行股票上市公告书")</f>
        <v>石煤装备:首次公开发行股票上市公告书</v>
      </c>
    </row>
    <row r="386" spans="1:3" x14ac:dyDescent="0.15">
      <c r="A386" s="1">
        <v>41120</v>
      </c>
      <c r="B386" t="s">
        <v>82</v>
      </c>
      <c r="C386" s="2" t="str">
        <f>HYPERLINK("http://snap.windin.com/ns/bulletin.php?id=1014144&amp;type=1", "双成药业:首次公开发行股票招股说明书")</f>
        <v>双成药业:首次公开发行股票招股说明书</v>
      </c>
    </row>
    <row r="387" spans="1:3" x14ac:dyDescent="0.15">
      <c r="A387" s="1">
        <v>41120</v>
      </c>
      <c r="B387" t="s">
        <v>90</v>
      </c>
      <c r="C387" s="2" t="str">
        <f>HYPERLINK("http://snap.windin.com/ns/bulletin.php?id=766135&amp;type=1", "美亚光电:首次公开发行股票上市公告书")</f>
        <v>美亚光电:首次公开发行股票上市公告书</v>
      </c>
    </row>
    <row r="388" spans="1:3" x14ac:dyDescent="0.15">
      <c r="A388" s="1">
        <v>41120</v>
      </c>
      <c r="B388" t="s">
        <v>88</v>
      </c>
      <c r="C388" s="2" t="str">
        <f>HYPERLINK("http://snap.windin.com/ns/bulletin.php?id=129948&amp;type=1", "和邦股份:首次公开发行股票招股说明书")</f>
        <v>和邦股份:首次公开发行股票招股说明书</v>
      </c>
    </row>
    <row r="389" spans="1:3" x14ac:dyDescent="0.15">
      <c r="A389" s="1">
        <v>41117</v>
      </c>
      <c r="B389" t="s">
        <v>79</v>
      </c>
      <c r="C389" s="2" t="str">
        <f>HYPERLINK("http://snap.windin.com/ns/bulletin.php?id=1878981&amp;type=1", "顾地科技:首次公开发行股票招股意向书")</f>
        <v>顾地科技:首次公开发行股票招股意向书</v>
      </c>
    </row>
    <row r="390" spans="1:3" x14ac:dyDescent="0.15">
      <c r="A390" s="1">
        <v>41117</v>
      </c>
      <c r="B390" t="s">
        <v>83</v>
      </c>
      <c r="C390" s="2" t="str">
        <f>HYPERLINK("http://snap.windin.com/ns/bulletin.php?id=1534396&amp;type=1", "远程电缆:首次公开发行股票招股说明书摘要")</f>
        <v>远程电缆:首次公开发行股票招股说明书摘要</v>
      </c>
    </row>
    <row r="391" spans="1:3" x14ac:dyDescent="0.15">
      <c r="A391" s="1">
        <v>41117</v>
      </c>
      <c r="B391" t="s">
        <v>83</v>
      </c>
      <c r="C391" s="2" t="str">
        <f>HYPERLINK("http://snap.windin.com/ns/bulletin.php?id=1436578&amp;type=1", "远程电缆:首次公开发行股票招股说明书")</f>
        <v>远程电缆:首次公开发行股票招股说明书</v>
      </c>
    </row>
    <row r="392" spans="1:3" x14ac:dyDescent="0.15">
      <c r="A392" s="1">
        <v>41117</v>
      </c>
      <c r="B392" t="s">
        <v>84</v>
      </c>
      <c r="C392" s="2" t="str">
        <f>HYPERLINK("http://snap.windin.com/ns/bulletin.php?id=1109385&amp;type=1", "南大光电:首次公开发行股票并在创业板上市招股说明书")</f>
        <v>南大光电:首次公开发行股票并在创业板上市招股说明书</v>
      </c>
    </row>
    <row r="393" spans="1:3" x14ac:dyDescent="0.15">
      <c r="A393" s="1">
        <v>41117</v>
      </c>
      <c r="B393" t="s">
        <v>77</v>
      </c>
      <c r="C393" s="2" t="str">
        <f>HYPERLINK("http://snap.windin.com/ns/bulletin.php?id=1088974&amp;type=1", "龙宇燃油:首次公开发行股票招股意向书附录")</f>
        <v>龙宇燃油:首次公开发行股票招股意向书附录</v>
      </c>
    </row>
    <row r="394" spans="1:3" x14ac:dyDescent="0.15">
      <c r="A394" s="1">
        <v>41117</v>
      </c>
      <c r="B394" t="s">
        <v>79</v>
      </c>
      <c r="C394" s="2" t="str">
        <f>HYPERLINK("http://snap.windin.com/ns/bulletin.php?id=791853&amp;type=1", "顾地科技:首次公开发行股票招股意向书摘要")</f>
        <v>顾地科技:首次公开发行股票招股意向书摘要</v>
      </c>
    </row>
    <row r="395" spans="1:3" x14ac:dyDescent="0.15">
      <c r="A395" s="1">
        <v>41117</v>
      </c>
      <c r="B395" t="s">
        <v>77</v>
      </c>
      <c r="C395" s="2" t="str">
        <f>HYPERLINK("http://snap.windin.com/ns/bulletin.php?id=484982&amp;type=1", "龙宇燃油:首次公开发行股票招股意向书摘要")</f>
        <v>龙宇燃油:首次公开发行股票招股意向书摘要</v>
      </c>
    </row>
    <row r="396" spans="1:3" x14ac:dyDescent="0.15">
      <c r="A396" s="1">
        <v>41117</v>
      </c>
      <c r="B396" t="s">
        <v>77</v>
      </c>
      <c r="C396" s="2" t="str">
        <f>HYPERLINK("http://snap.windin.com/ns/bulletin.php?id=447770&amp;type=1", "龙宇燃油:首次公开发行股票招股意向书")</f>
        <v>龙宇燃油:首次公开发行股票招股意向书</v>
      </c>
    </row>
    <row r="397" spans="1:3" x14ac:dyDescent="0.15">
      <c r="A397" s="1">
        <v>41115</v>
      </c>
      <c r="B397" t="s">
        <v>91</v>
      </c>
      <c r="C397" s="2" t="str">
        <f>HYPERLINK("http://snap.windin.com/ns/bulletin.php?id=1710036&amp;type=1", "科恒股份:首次公开发行股票并在创业板上市上市公告书提示性公告")</f>
        <v>科恒股份:首次公开发行股票并在创业板上市上市公告书提示性公告</v>
      </c>
    </row>
    <row r="398" spans="1:3" x14ac:dyDescent="0.15">
      <c r="A398" s="1">
        <v>41115</v>
      </c>
      <c r="B398" t="s">
        <v>92</v>
      </c>
      <c r="C398" s="2" t="str">
        <f>HYPERLINK("http://snap.windin.com/ns/bulletin.php?id=1694841&amp;type=1", "开元仪器:首次公开发行股票并在创业板上市公告书提示性公告")</f>
        <v>开元仪器:首次公开发行股票并在创业板上市公告书提示性公告</v>
      </c>
    </row>
    <row r="399" spans="1:3" x14ac:dyDescent="0.15">
      <c r="A399" s="1">
        <v>41115</v>
      </c>
      <c r="B399" t="s">
        <v>93</v>
      </c>
      <c r="C399" s="2" t="str">
        <f>HYPERLINK("http://snap.windin.com/ns/bulletin.php?id=1509586&amp;type=1", "麦迪电气:首次公开发行股票并在创业板上市上市公告书提示性公告")</f>
        <v>麦迪电气:首次公开发行股票并在创业板上市上市公告书提示性公告</v>
      </c>
    </row>
    <row r="400" spans="1:3" x14ac:dyDescent="0.15">
      <c r="A400" s="1">
        <v>41115</v>
      </c>
      <c r="B400" t="s">
        <v>94</v>
      </c>
      <c r="C400" s="2" t="str">
        <f>HYPERLINK("http://snap.windin.com/ns/bulletin.php?id=639651&amp;type=1", "天银机电:首次公开发行股票并在创业板上市公告书提示性公告")</f>
        <v>天银机电:首次公开发行股票并在创业板上市公告书提示性公告</v>
      </c>
    </row>
    <row r="401" spans="1:3" x14ac:dyDescent="0.15">
      <c r="A401" s="1">
        <v>41115</v>
      </c>
      <c r="B401" t="s">
        <v>94</v>
      </c>
      <c r="C401" s="2" t="str">
        <f>HYPERLINK("http://snap.windin.com/ns/bulletin.php?id=596867&amp;type=1", "天银机电:首次公开发行股票并在创业板上市公告书")</f>
        <v>天银机电:首次公开发行股票并在创业板上市公告书</v>
      </c>
    </row>
    <row r="402" spans="1:3" x14ac:dyDescent="0.15">
      <c r="A402" s="1">
        <v>41115</v>
      </c>
      <c r="B402" t="s">
        <v>93</v>
      </c>
      <c r="C402" s="2" t="str">
        <f>HYPERLINK("http://snap.windin.com/ns/bulletin.php?id=193575&amp;type=1", "麦迪电气:首次公开发行股票并在创业板上市上市公告书")</f>
        <v>麦迪电气:首次公开发行股票并在创业板上市上市公告书</v>
      </c>
    </row>
    <row r="403" spans="1:3" x14ac:dyDescent="0.15">
      <c r="A403" s="1">
        <v>41115</v>
      </c>
      <c r="B403" t="s">
        <v>92</v>
      </c>
      <c r="C403" s="2" t="str">
        <f>HYPERLINK("http://snap.windin.com/ns/bulletin.php?id=115466&amp;type=1", "开元仪器:首次公开发行股票并在创业板上市公告书")</f>
        <v>开元仪器:首次公开发行股票并在创业板上市公告书</v>
      </c>
    </row>
    <row r="404" spans="1:3" x14ac:dyDescent="0.15">
      <c r="A404" s="1">
        <v>41115</v>
      </c>
      <c r="B404" t="s">
        <v>91</v>
      </c>
      <c r="C404" s="2" t="str">
        <f>HYPERLINK("http://snap.windin.com/ns/bulletin.php?id=102777&amp;type=1", "科恒股份:首次公开发行股票并在创业板上市上市公告书")</f>
        <v>科恒股份:首次公开发行股票并在创业板上市上市公告书</v>
      </c>
    </row>
    <row r="405" spans="1:3" x14ac:dyDescent="0.15">
      <c r="A405" s="1">
        <v>41114</v>
      </c>
      <c r="B405" t="s">
        <v>82</v>
      </c>
      <c r="C405" s="2" t="str">
        <f>HYPERLINK("http://snap.windin.com/ns/bulletin.php?id=2035015&amp;type=1", "双成药业:首次公开发行股票招股意向书摘要")</f>
        <v>双成药业:首次公开发行股票招股意向书摘要</v>
      </c>
    </row>
    <row r="406" spans="1:3" x14ac:dyDescent="0.15">
      <c r="A406" s="1">
        <v>41114</v>
      </c>
      <c r="B406" t="s">
        <v>93</v>
      </c>
      <c r="C406" s="2" t="str">
        <f>HYPERLINK("http://snap.windin.com/ns/bulletin.php?id=1699680&amp;type=1", "麦迪电气:关于麦克奥迪（厦门）电气股份有限公司股票在创业板上市交易的公告")</f>
        <v>麦迪电气:关于麦克奥迪（厦门）电气股份有限公司股票在创业板上市交易的公告</v>
      </c>
    </row>
    <row r="407" spans="1:3" x14ac:dyDescent="0.15">
      <c r="A407" s="1">
        <v>41114</v>
      </c>
      <c r="B407" t="s">
        <v>82</v>
      </c>
      <c r="C407" s="2" t="str">
        <f>HYPERLINK("http://snap.windin.com/ns/bulletin.php?id=126109&amp;type=1", "双成药业:首次公开发行股票招股意向书")</f>
        <v>双成药业:首次公开发行股票招股意向书</v>
      </c>
    </row>
    <row r="408" spans="1:3" x14ac:dyDescent="0.15">
      <c r="A408" s="1">
        <v>41113</v>
      </c>
      <c r="B408" t="s">
        <v>80</v>
      </c>
      <c r="C408" s="2" t="str">
        <f>HYPERLINK("http://snap.windin.com/ns/bulletin.php?id=2068829&amp;type=1", "隆鑫通用:首次公开发行A股股票招股意向书摘要")</f>
        <v>隆鑫通用:首次公开发行A股股票招股意向书摘要</v>
      </c>
    </row>
    <row r="409" spans="1:3" x14ac:dyDescent="0.15">
      <c r="A409" s="1">
        <v>41113</v>
      </c>
      <c r="B409" t="s">
        <v>80</v>
      </c>
      <c r="C409" s="2" t="str">
        <f>HYPERLINK("http://snap.windin.com/ns/bulletin.php?id=1774526&amp;type=1", "隆鑫通用:首次公开发行股票招股意向书附录")</f>
        <v>隆鑫通用:首次公开发行股票招股意向书附录</v>
      </c>
    </row>
    <row r="410" spans="1:3" x14ac:dyDescent="0.15">
      <c r="A410" s="1">
        <v>41113</v>
      </c>
      <c r="B410" t="s">
        <v>80</v>
      </c>
      <c r="C410" s="2" t="str">
        <f>HYPERLINK("http://snap.windin.com/ns/bulletin.php?id=1512596&amp;type=1", "隆鑫通用:首次公开发行A股股票招股意向书")</f>
        <v>隆鑫通用:首次公开发行A股股票招股意向书</v>
      </c>
    </row>
    <row r="411" spans="1:3" x14ac:dyDescent="0.15">
      <c r="A411" s="1">
        <v>41113</v>
      </c>
      <c r="B411" t="s">
        <v>85</v>
      </c>
      <c r="C411" s="2" t="str">
        <f>HYPERLINK("http://snap.windin.com/ns/bulletin.php?id=210296&amp;type=1", "红宇新材:首次公开发行股票并在创业板上市招股说明书")</f>
        <v>红宇新材:首次公开发行股票并在创业板上市招股说明书</v>
      </c>
    </row>
    <row r="412" spans="1:3" x14ac:dyDescent="0.15">
      <c r="A412" s="1">
        <v>41110</v>
      </c>
      <c r="B412" t="s">
        <v>89</v>
      </c>
      <c r="C412" s="2" t="str">
        <f>HYPERLINK("http://snap.windin.com/ns/bulletin.php?id=2029251&amp;type=1", "石煤装备:首次公开发行股票招股说明书")</f>
        <v>石煤装备:首次公开发行股票招股说明书</v>
      </c>
    </row>
    <row r="413" spans="1:3" x14ac:dyDescent="0.15">
      <c r="A413" s="1">
        <v>41110</v>
      </c>
      <c r="B413" t="s">
        <v>83</v>
      </c>
      <c r="C413" s="2" t="str">
        <f>HYPERLINK("http://snap.windin.com/ns/bulletin.php?id=1071202&amp;type=1", "远程电缆:首次公开发行股票招股意向书")</f>
        <v>远程电缆:首次公开发行股票招股意向书</v>
      </c>
    </row>
    <row r="414" spans="1:3" x14ac:dyDescent="0.15">
      <c r="A414" s="1">
        <v>41110</v>
      </c>
      <c r="B414" t="s">
        <v>84</v>
      </c>
      <c r="C414" s="2" t="str">
        <f>HYPERLINK("http://snap.windin.com/ns/bulletin.php?id=932264&amp;type=1", "南大光电:首次公开发行股票并在创业板上市招股意向书")</f>
        <v>南大光电:首次公开发行股票并在创业板上市招股意向书</v>
      </c>
    </row>
    <row r="415" spans="1:3" x14ac:dyDescent="0.15">
      <c r="A415" s="1">
        <v>41110</v>
      </c>
      <c r="B415" t="s">
        <v>89</v>
      </c>
      <c r="C415" s="2" t="str">
        <f>HYPERLINK("http://snap.windin.com/ns/bulletin.php?id=125055&amp;type=1", "石煤装备:首次公开发行股票招股说明书摘要")</f>
        <v>石煤装备:首次公开发行股票招股说明书摘要</v>
      </c>
    </row>
    <row r="416" spans="1:3" x14ac:dyDescent="0.15">
      <c r="A416" s="1">
        <v>41110</v>
      </c>
      <c r="B416" t="s">
        <v>83</v>
      </c>
      <c r="C416" s="2" t="str">
        <f>HYPERLINK("http://snap.windin.com/ns/bulletin.php?id=98007&amp;type=1", "远程电缆:首次公开发行股票招股意向书摘要")</f>
        <v>远程电缆:首次公开发行股票招股意向书摘要</v>
      </c>
    </row>
    <row r="417" spans="1:3" x14ac:dyDescent="0.15">
      <c r="A417" s="1">
        <v>41109</v>
      </c>
      <c r="B417" t="s">
        <v>90</v>
      </c>
      <c r="C417" s="2" t="str">
        <f>HYPERLINK("http://snap.windin.com/ns/bulletin.php?id=2007197&amp;type=1", "美亚光电:首次公开发行股票招股说明书")</f>
        <v>美亚光电:首次公开发行股票招股说明书</v>
      </c>
    </row>
    <row r="418" spans="1:3" x14ac:dyDescent="0.15">
      <c r="A418" s="1">
        <v>41109</v>
      </c>
      <c r="B418" t="s">
        <v>87</v>
      </c>
      <c r="C418" s="2" t="str">
        <f>HYPERLINK("http://snap.windin.com/ns/bulletin.php?id=1918090&amp;type=1", "太空板业:首次公开发行股票并在创业板上市招股说明书")</f>
        <v>太空板业:首次公开发行股票并在创业板上市招股说明书</v>
      </c>
    </row>
    <row r="419" spans="1:3" x14ac:dyDescent="0.15">
      <c r="A419" s="1">
        <v>41109</v>
      </c>
      <c r="B419" t="s">
        <v>86</v>
      </c>
      <c r="C419" s="2" t="str">
        <f>HYPERLINK("http://snap.windin.com/ns/bulletin.php?id=806729&amp;type=1", "联创节能:首次公开发行股票并在创业板上市招股说明书")</f>
        <v>联创节能:首次公开发行股票并在创业板上市招股说明书</v>
      </c>
    </row>
    <row r="420" spans="1:3" x14ac:dyDescent="0.15">
      <c r="A420" s="1">
        <v>41109</v>
      </c>
      <c r="B420" t="s">
        <v>90</v>
      </c>
      <c r="C420" s="2" t="str">
        <f>HYPERLINK("http://snap.windin.com/ns/bulletin.php?id=629370&amp;type=1", "美亚光电:首次公开发行股票招股说明书摘要")</f>
        <v>美亚光电:首次公开发行股票招股说明书摘要</v>
      </c>
    </row>
    <row r="421" spans="1:3" x14ac:dyDescent="0.15">
      <c r="A421" s="1">
        <v>41107</v>
      </c>
      <c r="B421" t="s">
        <v>95</v>
      </c>
      <c r="C421" s="2" t="str">
        <f>HYPERLINK("http://snap.windin.com/ns/bulletin.php?id=2048790&amp;type=1", "银邦股份:首次公开发行股票并在创业板上市上市公告书")</f>
        <v>银邦股份:首次公开发行股票并在创业板上市上市公告书</v>
      </c>
    </row>
    <row r="422" spans="1:3" x14ac:dyDescent="0.15">
      <c r="A422" s="1">
        <v>41107</v>
      </c>
      <c r="B422" t="s">
        <v>96</v>
      </c>
      <c r="C422" s="2" t="str">
        <f>HYPERLINK("http://snap.windin.com/ns/bulletin.php?id=1392701&amp;type=1", "润和软件:首次公开发行股票并在创业板上市公告书")</f>
        <v>润和软件:首次公开发行股票并在创业板上市公告书</v>
      </c>
    </row>
    <row r="423" spans="1:3" x14ac:dyDescent="0.15">
      <c r="A423" s="1">
        <v>41107</v>
      </c>
      <c r="B423" t="s">
        <v>95</v>
      </c>
      <c r="C423" s="2" t="str">
        <f>HYPERLINK("http://snap.windin.com/ns/bulletin.php?id=815024&amp;type=1", "银邦股份:首次公开发行股票并在创业板上市上市公告书提示性公告")</f>
        <v>银邦股份:首次公开发行股票并在创业板上市上市公告书提示性公告</v>
      </c>
    </row>
    <row r="424" spans="1:3" x14ac:dyDescent="0.15">
      <c r="A424" s="1">
        <v>41107</v>
      </c>
      <c r="B424" t="s">
        <v>96</v>
      </c>
      <c r="C424" s="2" t="str">
        <f>HYPERLINK("http://snap.windin.com/ns/bulletin.php?id=719269&amp;type=1", "润和软件:首次公开发行股票并在创业板上市公告书提示性公告")</f>
        <v>润和软件:首次公开发行股票并在创业板上市公告书提示性公告</v>
      </c>
    </row>
    <row r="425" spans="1:3" x14ac:dyDescent="0.15">
      <c r="A425" s="1">
        <v>41107</v>
      </c>
      <c r="B425" t="s">
        <v>92</v>
      </c>
      <c r="C425" s="2" t="str">
        <f>HYPERLINK("http://snap.windin.com/ns/bulletin.php?id=683482&amp;type=1", "开元仪器:首次公开发行股票并在创业板上市招股说明书")</f>
        <v>开元仪器:首次公开发行股票并在创业板上市招股说明书</v>
      </c>
    </row>
    <row r="426" spans="1:3" x14ac:dyDescent="0.15">
      <c r="A426" s="1">
        <v>41106</v>
      </c>
      <c r="B426" t="s">
        <v>81</v>
      </c>
      <c r="C426" s="2" t="str">
        <f>HYPERLINK("http://snap.windin.com/ns/bulletin.php?id=2068285&amp;type=1", "一拖股份:首次公开发行股票招股意向书附录")</f>
        <v>一拖股份:首次公开发行股票招股意向书附录</v>
      </c>
    </row>
    <row r="427" spans="1:3" x14ac:dyDescent="0.15">
      <c r="A427" s="1">
        <v>41106</v>
      </c>
      <c r="B427" t="s">
        <v>93</v>
      </c>
      <c r="C427" s="2" t="str">
        <f>HYPERLINK("http://snap.windin.com/ns/bulletin.php?id=1775029&amp;type=1", "麦迪电气:首次公开发行股票并在创业板上市招股说明书")</f>
        <v>麦迪电气:首次公开发行股票并在创业板上市招股说明书</v>
      </c>
    </row>
    <row r="428" spans="1:3" x14ac:dyDescent="0.15">
      <c r="A428" s="1">
        <v>41106</v>
      </c>
      <c r="B428" t="s">
        <v>81</v>
      </c>
      <c r="C428" s="2" t="str">
        <f>HYPERLINK("http://snap.windin.com/ns/bulletin.php?id=1700804&amp;type=1", "一拖股份:首次公开发行A股股票招股意向书")</f>
        <v>一拖股份:首次公开发行A股股票招股意向书</v>
      </c>
    </row>
    <row r="429" spans="1:3" x14ac:dyDescent="0.15">
      <c r="A429" s="1">
        <v>41106</v>
      </c>
      <c r="B429" t="s">
        <v>81</v>
      </c>
      <c r="C429" s="2" t="str">
        <f>HYPERLINK("http://snap.windin.com/ns/bulletin.php?id=1597210&amp;type=1", "一拖股份:首次公开发行A股股票招股意向书摘要")</f>
        <v>一拖股份:首次公开发行A股股票招股意向书摘要</v>
      </c>
    </row>
    <row r="430" spans="1:3" x14ac:dyDescent="0.15">
      <c r="A430" s="1">
        <v>41106</v>
      </c>
      <c r="B430" t="s">
        <v>94</v>
      </c>
      <c r="C430" s="2" t="str">
        <f>HYPERLINK("http://snap.windin.com/ns/bulletin.php?id=1479096&amp;type=1", "天银机电:首次公开发行股票并在创业板上市招股说明书")</f>
        <v>天银机电:首次公开发行股票并在创业板上市招股说明书</v>
      </c>
    </row>
    <row r="431" spans="1:3" x14ac:dyDescent="0.15">
      <c r="A431" s="1">
        <v>41106</v>
      </c>
      <c r="B431" t="s">
        <v>97</v>
      </c>
      <c r="C431" s="2" t="str">
        <f>HYPERLINK("http://snap.windin.com/ns/bulletin.php?id=1362305&amp;type=1", "喜临门:首次公开发行A股股票招股说明书")</f>
        <v>喜临门:首次公开发行A股股票招股说明书</v>
      </c>
    </row>
    <row r="432" spans="1:3" x14ac:dyDescent="0.15">
      <c r="A432" s="1">
        <v>41106</v>
      </c>
      <c r="B432" t="s">
        <v>97</v>
      </c>
      <c r="C432" s="2" t="str">
        <f>HYPERLINK("http://snap.windin.com/ns/bulletin.php?id=1092149&amp;type=1", "喜临门:首次公开发行A股股票上市公告书")</f>
        <v>喜临门:首次公开发行A股股票上市公告书</v>
      </c>
    </row>
    <row r="433" spans="1:3" x14ac:dyDescent="0.15">
      <c r="A433" s="1">
        <v>41106</v>
      </c>
      <c r="B433" t="s">
        <v>98</v>
      </c>
      <c r="C433" s="2" t="str">
        <f>HYPERLINK("http://snap.windin.com/ns/bulletin.php?id=160212&amp;type=1", "博林特:首次公开发行股票上市公告书")</f>
        <v>博林特:首次公开发行股票上市公告书</v>
      </c>
    </row>
    <row r="434" spans="1:3" x14ac:dyDescent="0.15">
      <c r="A434" s="1">
        <v>41103</v>
      </c>
      <c r="B434" t="s">
        <v>85</v>
      </c>
      <c r="C434" s="2" t="str">
        <f>HYPERLINK("http://snap.windin.com/ns/bulletin.php?id=1385788&amp;type=1", "红宇新材:首次公开发行股票并在创业板上市招股意向书")</f>
        <v>红宇新材:首次公开发行股票并在创业板上市招股意向书</v>
      </c>
    </row>
    <row r="435" spans="1:3" x14ac:dyDescent="0.15">
      <c r="A435" s="1">
        <v>41103</v>
      </c>
      <c r="B435" t="s">
        <v>89</v>
      </c>
      <c r="C435" s="2" t="str">
        <f>HYPERLINK("http://snap.windin.com/ns/bulletin.php?id=969542&amp;type=1", "石煤装备:首次公开发行股票招股意向书")</f>
        <v>石煤装备:首次公开发行股票招股意向书</v>
      </c>
    </row>
    <row r="436" spans="1:3" x14ac:dyDescent="0.15">
      <c r="A436" s="1">
        <v>41103</v>
      </c>
      <c r="B436" t="s">
        <v>89</v>
      </c>
      <c r="C436" s="2" t="str">
        <f>HYPERLINK("http://snap.windin.com/ns/bulletin.php?id=545741&amp;type=1", "石煤装备:首次公开发行股票招股意向书摘要")</f>
        <v>石煤装备:首次公开发行股票招股意向书摘要</v>
      </c>
    </row>
    <row r="437" spans="1:3" x14ac:dyDescent="0.15">
      <c r="A437" s="1">
        <v>41103</v>
      </c>
      <c r="B437" t="s">
        <v>91</v>
      </c>
      <c r="C437" s="2" t="str">
        <f>HYPERLINK("http://snap.windin.com/ns/bulletin.php?id=545718&amp;type=1", "科恒股份:首次公开发行股票并在创业板上市招股说明书")</f>
        <v>科恒股份:首次公开发行股票并在创业板上市招股说明书</v>
      </c>
    </row>
    <row r="438" spans="1:3" x14ac:dyDescent="0.15">
      <c r="A438" s="1">
        <v>41102</v>
      </c>
      <c r="B438" t="s">
        <v>99</v>
      </c>
      <c r="C438" s="2" t="str">
        <f>HYPERLINK("http://snap.windin.com/ns/bulletin.php?id=1898732&amp;type=1", "N金河:首次公开发行股票上市公告书")</f>
        <v>N金河:首次公开发行股票上市公告书</v>
      </c>
    </row>
    <row r="439" spans="1:3" x14ac:dyDescent="0.15">
      <c r="A439" s="1">
        <v>41102</v>
      </c>
      <c r="B439" t="s">
        <v>100</v>
      </c>
      <c r="C439" s="2" t="str">
        <f>HYPERLINK("http://snap.windin.com/ns/bulletin.php?id=1090880&amp;type=1", "N乔治白:首次公开发行股票上市公告书")</f>
        <v>N乔治白:首次公开发行股票上市公告书</v>
      </c>
    </row>
    <row r="440" spans="1:3" x14ac:dyDescent="0.15">
      <c r="A440" s="1">
        <v>41101</v>
      </c>
      <c r="B440" t="s">
        <v>86</v>
      </c>
      <c r="C440" s="2" t="str">
        <f>HYPERLINK("http://snap.windin.com/ns/bulletin.php?id=1721647&amp;type=1", "联创节能:首次公开发行股票并在创业板上市招股意向书")</f>
        <v>联创节能:首次公开发行股票并在创业板上市招股意向书</v>
      </c>
    </row>
    <row r="441" spans="1:3" x14ac:dyDescent="0.15">
      <c r="A441" s="1">
        <v>41101</v>
      </c>
      <c r="B441" t="s">
        <v>87</v>
      </c>
      <c r="C441" s="2" t="str">
        <f>HYPERLINK("http://snap.windin.com/ns/bulletin.php?id=233838&amp;type=1", "太空板业:首次公开发行股票并在创业板上市招股意向书")</f>
        <v>太空板业:首次公开发行股票并在创业板上市招股意向书</v>
      </c>
    </row>
    <row r="442" spans="1:3" x14ac:dyDescent="0.15">
      <c r="A442" s="1">
        <v>41099</v>
      </c>
      <c r="B442" t="s">
        <v>90</v>
      </c>
      <c r="C442" s="2" t="str">
        <f>HYPERLINK("http://snap.windin.com/ns/bulletin.php?id=2126162&amp;type=1", "美亚光电:首次公开发行股票招股意向书摘要")</f>
        <v>美亚光电:首次公开发行股票招股意向书摘要</v>
      </c>
    </row>
    <row r="443" spans="1:3" x14ac:dyDescent="0.15">
      <c r="A443" s="1">
        <v>41099</v>
      </c>
      <c r="B443" t="s">
        <v>95</v>
      </c>
      <c r="C443" s="2" t="str">
        <f>HYPERLINK("http://snap.windin.com/ns/bulletin.php?id=2054567&amp;type=1", "银邦股份:首次公开发行股票并在创业板上市招股说明书")</f>
        <v>银邦股份:首次公开发行股票并在创业板上市招股说明书</v>
      </c>
    </row>
    <row r="444" spans="1:3" x14ac:dyDescent="0.15">
      <c r="A444" s="1">
        <v>41099</v>
      </c>
      <c r="B444" t="s">
        <v>101</v>
      </c>
      <c r="C444" s="2" t="str">
        <f>HYPERLINK("http://snap.windin.com/ns/bulletin.php?id=1962245&amp;type=1", "新文化:首次公开发行股票并在创业板上市之上市公告书")</f>
        <v>新文化:首次公开发行股票并在创业板上市之上市公告书</v>
      </c>
    </row>
    <row r="445" spans="1:3" x14ac:dyDescent="0.15">
      <c r="A445" s="1">
        <v>41099</v>
      </c>
      <c r="B445" t="s">
        <v>88</v>
      </c>
      <c r="C445" s="2" t="str">
        <f>HYPERLINK("http://snap.windin.com/ns/bulletin.php?id=1884283&amp;type=1", "和邦股份:首次公开发行股票招股意向书")</f>
        <v>和邦股份:首次公开发行股票招股意向书</v>
      </c>
    </row>
    <row r="446" spans="1:3" x14ac:dyDescent="0.15">
      <c r="A446" s="1">
        <v>41099</v>
      </c>
      <c r="B446" t="s">
        <v>90</v>
      </c>
      <c r="C446" s="2" t="str">
        <f>HYPERLINK("http://snap.windin.com/ns/bulletin.php?id=1601556&amp;type=1", "美亚光电:首次公开发行股票招股意向书")</f>
        <v>美亚光电:首次公开发行股票招股意向书</v>
      </c>
    </row>
    <row r="447" spans="1:3" x14ac:dyDescent="0.15">
      <c r="A447" s="1">
        <v>41099</v>
      </c>
      <c r="B447" t="s">
        <v>102</v>
      </c>
      <c r="C447" s="2" t="str">
        <f>HYPERLINK("http://snap.windin.com/ns/bulletin.php?id=1089630&amp;type=1", "迪森股份:首次公开发行股票并在创业板上市公告书")</f>
        <v>迪森股份:首次公开发行股票并在创业板上市公告书</v>
      </c>
    </row>
    <row r="448" spans="1:3" x14ac:dyDescent="0.15">
      <c r="A448" s="1">
        <v>41099</v>
      </c>
      <c r="B448" t="s">
        <v>88</v>
      </c>
      <c r="C448" s="2" t="str">
        <f>HYPERLINK("http://snap.windin.com/ns/bulletin.php?id=1086417&amp;type=1", "和邦股份:首次公开发行股票招股意向书摘要")</f>
        <v>和邦股份:首次公开发行股票招股意向书摘要</v>
      </c>
    </row>
    <row r="449" spans="1:3" x14ac:dyDescent="0.15">
      <c r="A449" s="1">
        <v>41099</v>
      </c>
      <c r="B449" t="s">
        <v>96</v>
      </c>
      <c r="C449" s="2" t="str">
        <f>HYPERLINK("http://snap.windin.com/ns/bulletin.php?id=911509&amp;type=1", "润和软件:首次公开发行股票并在创业板上市招股说明书")</f>
        <v>润和软件:首次公开发行股票并在创业板上市招股说明书</v>
      </c>
    </row>
    <row r="450" spans="1:3" x14ac:dyDescent="0.15">
      <c r="A450" s="1">
        <v>41099</v>
      </c>
      <c r="B450" t="s">
        <v>102</v>
      </c>
      <c r="C450" s="2" t="str">
        <f>HYPERLINK("http://snap.windin.com/ns/bulletin.php?id=847920&amp;type=1", "迪森股份:首次公开发行股票并在创业板上市公告书提示性公告")</f>
        <v>迪森股份:首次公开发行股票并在创业板上市公告书提示性公告</v>
      </c>
    </row>
    <row r="451" spans="1:3" x14ac:dyDescent="0.15">
      <c r="A451" s="1">
        <v>41099</v>
      </c>
      <c r="B451" t="s">
        <v>88</v>
      </c>
      <c r="C451" s="2" t="str">
        <f>HYPERLINK("http://snap.windin.com/ns/bulletin.php?id=778640&amp;type=1", "和邦股份:首次公开发行股票招股意向书附录")</f>
        <v>和邦股份:首次公开发行股票招股意向书附录</v>
      </c>
    </row>
    <row r="452" spans="1:3" x14ac:dyDescent="0.15">
      <c r="A452" s="1">
        <v>41099</v>
      </c>
      <c r="B452" t="s">
        <v>101</v>
      </c>
      <c r="C452" s="2" t="str">
        <f>HYPERLINK("http://snap.windin.com/ns/bulletin.php?id=404483&amp;type=1", "新文化:首次公开发行股票并在创业板上市公告书提示性公告")</f>
        <v>新文化:首次公开发行股票并在创业板上市公告书提示性公告</v>
      </c>
    </row>
    <row r="453" spans="1:3" x14ac:dyDescent="0.15">
      <c r="A453" s="1">
        <v>41096</v>
      </c>
      <c r="B453" t="s">
        <v>91</v>
      </c>
      <c r="C453" s="2" t="str">
        <f>HYPERLINK("http://snap.windin.com/ns/bulletin.php?id=1842375&amp;type=1", "科恒股份:首次公开发行股票并在创业板上市招股意向书")</f>
        <v>科恒股份:首次公开发行股票并在创业板上市招股意向书</v>
      </c>
    </row>
    <row r="454" spans="1:3" x14ac:dyDescent="0.15">
      <c r="A454" s="1">
        <v>41096</v>
      </c>
      <c r="B454" t="s">
        <v>93</v>
      </c>
      <c r="C454" s="2" t="str">
        <f>HYPERLINK("http://snap.windin.com/ns/bulletin.php?id=1783801&amp;type=1", "麦迪电气:首次公开发行股票并在创业板上市招股意向书")</f>
        <v>麦迪电气:首次公开发行股票并在创业板上市招股意向书</v>
      </c>
    </row>
    <row r="455" spans="1:3" x14ac:dyDescent="0.15">
      <c r="A455" s="1">
        <v>41096</v>
      </c>
      <c r="B455" t="s">
        <v>98</v>
      </c>
      <c r="C455" s="2" t="str">
        <f>HYPERLINK("http://snap.windin.com/ns/bulletin.php?id=1617830&amp;type=1", "博林特:首次公开发行股票招股说明书")</f>
        <v>博林特:首次公开发行股票招股说明书</v>
      </c>
    </row>
    <row r="456" spans="1:3" x14ac:dyDescent="0.15">
      <c r="A456" s="1">
        <v>41096</v>
      </c>
      <c r="B456" t="s">
        <v>98</v>
      </c>
      <c r="C456" s="2" t="str">
        <f>HYPERLINK("http://snap.windin.com/ns/bulletin.php?id=165514&amp;type=1", "博林特:首次公开发行股票招股说明书摘要")</f>
        <v>博林特:首次公开发行股票招股说明书摘要</v>
      </c>
    </row>
    <row r="457" spans="1:3" x14ac:dyDescent="0.15">
      <c r="A457" s="1">
        <v>41096</v>
      </c>
      <c r="B457" t="s">
        <v>94</v>
      </c>
      <c r="C457" s="2" t="str">
        <f>HYPERLINK("http://snap.windin.com/ns/bulletin.php?id=73404&amp;type=1", "天银机电:首次公开发行股票并在创业板上市招股意向书")</f>
        <v>天银机电:首次公开发行股票并在创业板上市招股意向书</v>
      </c>
    </row>
    <row r="458" spans="1:3" x14ac:dyDescent="0.15">
      <c r="A458" s="1">
        <v>41095</v>
      </c>
      <c r="B458" t="s">
        <v>103</v>
      </c>
      <c r="C458" s="2" t="str">
        <f>HYPERLINK("http://snap.windin.com/ns/bulletin.php?id=1888385&amp;type=1", "中信重工:首次公开发行股票招股说明书")</f>
        <v>中信重工:首次公开发行股票招股说明书</v>
      </c>
    </row>
    <row r="459" spans="1:3" x14ac:dyDescent="0.15">
      <c r="A459" s="1">
        <v>41095</v>
      </c>
      <c r="B459" t="s">
        <v>103</v>
      </c>
      <c r="C459" s="2" t="str">
        <f>HYPERLINK("http://snap.windin.com/ns/bulletin.php?id=1364694&amp;type=1", "中信重工:首次公开发行A股股票上市公告书")</f>
        <v>中信重工:首次公开发行A股股票上市公告书</v>
      </c>
    </row>
    <row r="460" spans="1:3" x14ac:dyDescent="0.15">
      <c r="A460" s="1">
        <v>41094</v>
      </c>
      <c r="B460" t="s">
        <v>99</v>
      </c>
      <c r="C460" s="2" t="str">
        <f>HYPERLINK("http://snap.windin.com/ns/bulletin.php?id=1154531&amp;type=1", "金河生物:首次公开发行股票招股说明书摘要")</f>
        <v>金河生物:首次公开发行股票招股说明书摘要</v>
      </c>
    </row>
    <row r="461" spans="1:3" x14ac:dyDescent="0.15">
      <c r="A461" s="1">
        <v>41094</v>
      </c>
      <c r="B461" t="s">
        <v>104</v>
      </c>
      <c r="C461" s="2" t="str">
        <f>HYPERLINK("http://snap.windin.com/ns/bulletin.php?id=794376&amp;type=1", "津膜科技:首次公开发行股票并在创业板上市公告书")</f>
        <v>津膜科技:首次公开发行股票并在创业板上市公告书</v>
      </c>
    </row>
    <row r="462" spans="1:3" x14ac:dyDescent="0.15">
      <c r="A462" s="1">
        <v>41094</v>
      </c>
      <c r="B462" t="s">
        <v>104</v>
      </c>
      <c r="C462" s="2" t="str">
        <f>HYPERLINK("http://snap.windin.com/ns/bulletin.php?id=727406&amp;type=1", "津膜科技:首次公开发行股票并在创业板上市公告书提示性公告")</f>
        <v>津膜科技:首次公开发行股票并在创业板上市公告书提示性公告</v>
      </c>
    </row>
    <row r="463" spans="1:3" x14ac:dyDescent="0.15">
      <c r="A463" s="1">
        <v>41094</v>
      </c>
      <c r="B463" t="s">
        <v>99</v>
      </c>
      <c r="C463" s="2" t="str">
        <f>HYPERLINK("http://snap.windin.com/ns/bulletin.php?id=565972&amp;type=1", "金河生物:首次公开发行股票招股说明书")</f>
        <v>金河生物:首次公开发行股票招股说明书</v>
      </c>
    </row>
    <row r="464" spans="1:3" x14ac:dyDescent="0.15">
      <c r="A464" s="1">
        <v>41093</v>
      </c>
      <c r="B464" t="s">
        <v>100</v>
      </c>
      <c r="C464" s="2" t="str">
        <f>HYPERLINK("http://snap.windin.com/ns/bulletin.php?id=497952&amp;type=1", "乔治白:首次公开发行股票招股说明书摘要")</f>
        <v>乔治白:首次公开发行股票招股说明书摘要</v>
      </c>
    </row>
    <row r="465" spans="1:3" x14ac:dyDescent="0.15">
      <c r="A465" s="1">
        <v>41093</v>
      </c>
      <c r="B465" t="s">
        <v>100</v>
      </c>
      <c r="C465" s="2" t="str">
        <f>HYPERLINK("http://snap.windin.com/ns/bulletin.php?id=88990&amp;type=1", "乔治白:首次公开发行股票招股说明书")</f>
        <v>乔治白:首次公开发行股票招股说明书</v>
      </c>
    </row>
    <row r="466" spans="1:3" x14ac:dyDescent="0.15">
      <c r="A466" s="1">
        <v>41092</v>
      </c>
      <c r="B466" t="s">
        <v>105</v>
      </c>
      <c r="C466" s="2" t="str">
        <f>HYPERLINK("http://snap.windin.com/ns/bulletin.php?id=1934186&amp;type=1", "亿利达:首次公开发行股票上市公告书")</f>
        <v>亿利达:首次公开发行股票上市公告书</v>
      </c>
    </row>
    <row r="467" spans="1:3" x14ac:dyDescent="0.15">
      <c r="A467" s="1">
        <v>41092</v>
      </c>
      <c r="B467" t="s">
        <v>105</v>
      </c>
      <c r="C467" s="2" t="str">
        <f>HYPERLINK("http://snap.windin.com/ns/bulletin.php?id=1835209&amp;type=1", "N亿利达:首次公开发行股票上市公告书的更正公告")</f>
        <v>N亿利达:首次公开发行股票上市公告书的更正公告</v>
      </c>
    </row>
    <row r="468" spans="1:3" x14ac:dyDescent="0.15">
      <c r="A468" s="1">
        <v>41092</v>
      </c>
      <c r="B468" t="s">
        <v>105</v>
      </c>
      <c r="C468" s="2" t="str">
        <f>HYPERLINK("http://snap.windin.com/ns/bulletin.php?id=543580&amp;type=1", "N亿利达:首次公开发行股票上市公告书（更新后）")</f>
        <v>N亿利达:首次公开发行股票上市公告书（更新后）</v>
      </c>
    </row>
    <row r="469" spans="1:3" x14ac:dyDescent="0.15">
      <c r="A469" s="1">
        <v>41089</v>
      </c>
      <c r="B469" t="s">
        <v>98</v>
      </c>
      <c r="C469" s="2" t="str">
        <f>HYPERLINK("http://snap.windin.com/ns/bulletin.php?id=1642890&amp;type=1", "博林特:首次公开发行股票招股意向书")</f>
        <v>博林特:首次公开发行股票招股意向书</v>
      </c>
    </row>
    <row r="470" spans="1:3" x14ac:dyDescent="0.15">
      <c r="A470" s="1">
        <v>41089</v>
      </c>
      <c r="B470" t="s">
        <v>96</v>
      </c>
      <c r="C470" s="2" t="str">
        <f>HYPERLINK("http://snap.windin.com/ns/bulletin.php?id=1484172&amp;type=1", "润和软件:首次公开发行股票并在创业板上市招股意向书")</f>
        <v>润和软件:首次公开发行股票并在创业板上市招股意向书</v>
      </c>
    </row>
    <row r="471" spans="1:3" x14ac:dyDescent="0.15">
      <c r="A471" s="1">
        <v>41089</v>
      </c>
      <c r="B471" t="s">
        <v>98</v>
      </c>
      <c r="C471" s="2" t="str">
        <f>HYPERLINK("http://snap.windin.com/ns/bulletin.php?id=1464428&amp;type=1", "博林特:首次公开发行股票招股意向书摘要")</f>
        <v>博林特:首次公开发行股票招股意向书摘要</v>
      </c>
    </row>
    <row r="472" spans="1:3" x14ac:dyDescent="0.15">
      <c r="A472" s="1">
        <v>41089</v>
      </c>
      <c r="B472" t="s">
        <v>92</v>
      </c>
      <c r="C472" s="2" t="str">
        <f>HYPERLINK("http://snap.windin.com/ns/bulletin.php?id=1277142&amp;type=1", "开元仪器:首次公开发行股票并在创业板上市招股意向书")</f>
        <v>开元仪器:首次公开发行股票并在创业板上市招股意向书</v>
      </c>
    </row>
    <row r="473" spans="1:3" x14ac:dyDescent="0.15">
      <c r="A473" s="1">
        <v>41089</v>
      </c>
      <c r="B473" t="s">
        <v>95</v>
      </c>
      <c r="C473" s="2" t="str">
        <f>HYPERLINK("http://snap.windin.com/ns/bulletin.php?id=520708&amp;type=1", "银邦股份:首次公开发行股票并在创业板上市招股意向书")</f>
        <v>银邦股份:首次公开发行股票并在创业板上市招股意向书</v>
      </c>
    </row>
    <row r="474" spans="1:3" x14ac:dyDescent="0.15">
      <c r="A474" s="1">
        <v>41088</v>
      </c>
      <c r="B474" t="s">
        <v>102</v>
      </c>
      <c r="C474" s="2" t="str">
        <f>HYPERLINK("http://snap.windin.com/ns/bulletin.php?id=1593250&amp;type=1", "迪森股份:首次公开发行股票并在创业板上市招股说明书")</f>
        <v>迪森股份:首次公开发行股票并在创业板上市招股说明书</v>
      </c>
    </row>
    <row r="475" spans="1:3" x14ac:dyDescent="0.15">
      <c r="A475" s="1">
        <v>41087</v>
      </c>
      <c r="B475" t="s">
        <v>106</v>
      </c>
      <c r="C475" s="2" t="str">
        <f>HYPERLINK("http://snap.windin.com/ns/bulletin.php?id=2051293&amp;type=1", "兆日科技:首次公开发行股票并在创业板上市公告书提示性公告")</f>
        <v>兆日科技:首次公开发行股票并在创业板上市公告书提示性公告</v>
      </c>
    </row>
    <row r="476" spans="1:3" x14ac:dyDescent="0.15">
      <c r="A476" s="1">
        <v>41087</v>
      </c>
      <c r="B476" t="s">
        <v>101</v>
      </c>
      <c r="C476" s="2" t="str">
        <f>HYPERLINK("http://snap.windin.com/ns/bulletin.php?id=1988691&amp;type=1", "新文化:首次公开发行股票并在创业板上市招股说明书")</f>
        <v>新文化:首次公开发行股票并在创业板上市招股说明书</v>
      </c>
    </row>
    <row r="477" spans="1:3" x14ac:dyDescent="0.15">
      <c r="A477" s="1">
        <v>41087</v>
      </c>
      <c r="B477" t="s">
        <v>97</v>
      </c>
      <c r="C477" s="2" t="str">
        <f>HYPERLINK("http://snap.windin.com/ns/bulletin.php?id=1886790&amp;type=1", "喜临门:首次公开发行A股股票招股意向书")</f>
        <v>喜临门:首次公开发行A股股票招股意向书</v>
      </c>
    </row>
    <row r="478" spans="1:3" x14ac:dyDescent="0.15">
      <c r="A478" s="1">
        <v>41087</v>
      </c>
      <c r="B478" t="s">
        <v>107</v>
      </c>
      <c r="C478" s="2" t="str">
        <f>HYPERLINK("http://snap.windin.com/ns/bulletin.php?id=1851963&amp;type=1", "天壕节能:首次公开发行股票并在创业板上市公告书")</f>
        <v>天壕节能:首次公开发行股票并在创业板上市公告书</v>
      </c>
    </row>
    <row r="479" spans="1:3" x14ac:dyDescent="0.15">
      <c r="A479" s="1">
        <v>41087</v>
      </c>
      <c r="B479" t="s">
        <v>107</v>
      </c>
      <c r="C479" s="2" t="str">
        <f>HYPERLINK("http://snap.windin.com/ns/bulletin.php?id=1767240&amp;type=1", "天壕节能:首次公开发行股票并在创业板上市公告书的补充公告")</f>
        <v>天壕节能:首次公开发行股票并在创业板上市公告书的补充公告</v>
      </c>
    </row>
    <row r="480" spans="1:3" x14ac:dyDescent="0.15">
      <c r="A480" s="1">
        <v>41087</v>
      </c>
      <c r="B480" t="s">
        <v>107</v>
      </c>
      <c r="C480" s="2" t="str">
        <f>HYPERLINK("http://snap.windin.com/ns/bulletin.php?id=1663087&amp;type=1", "天壕节能:首次公开发行股票并在创业板上市上市公告书提示性公告")</f>
        <v>天壕节能:首次公开发行股票并在创业板上市上市公告书提示性公告</v>
      </c>
    </row>
    <row r="481" spans="1:3" x14ac:dyDescent="0.15">
      <c r="A481" s="1">
        <v>41087</v>
      </c>
      <c r="B481" t="s">
        <v>97</v>
      </c>
      <c r="C481" s="2" t="str">
        <f>HYPERLINK("http://snap.windin.com/ns/bulletin.php?id=1644483&amp;type=1", "喜临门:首次公开发行A股股票招股意向书摘要")</f>
        <v>喜临门:首次公开发行A股股票招股意向书摘要</v>
      </c>
    </row>
    <row r="482" spans="1:3" x14ac:dyDescent="0.15">
      <c r="A482" s="1">
        <v>41087</v>
      </c>
      <c r="B482" t="s">
        <v>108</v>
      </c>
      <c r="C482" s="2" t="str">
        <f>HYPERLINK("http://snap.windin.com/ns/bulletin.php?id=1480083&amp;type=1", "苏大维格:首次公开发行股票并在创业板上市公告书提示性公告")</f>
        <v>苏大维格:首次公开发行股票并在创业板上市公告书提示性公告</v>
      </c>
    </row>
    <row r="483" spans="1:3" x14ac:dyDescent="0.15">
      <c r="A483" s="1">
        <v>41087</v>
      </c>
      <c r="B483" t="s">
        <v>108</v>
      </c>
      <c r="C483" s="2" t="str">
        <f>HYPERLINK("http://snap.windin.com/ns/bulletin.php?id=1356021&amp;type=1", "苏大维格:首次公开发行股票并在创业板上市公告书")</f>
        <v>苏大维格:首次公开发行股票并在创业板上市公告书</v>
      </c>
    </row>
    <row r="484" spans="1:3" x14ac:dyDescent="0.15">
      <c r="A484" s="1">
        <v>41087</v>
      </c>
      <c r="B484" t="s">
        <v>106</v>
      </c>
      <c r="C484" s="2" t="str">
        <f>HYPERLINK("http://snap.windin.com/ns/bulletin.php?id=1086124&amp;type=1", "兆日科技:首次公开发行股票并在创业板上市公告书")</f>
        <v>兆日科技:首次公开发行股票并在创业板上市公告书</v>
      </c>
    </row>
    <row r="485" spans="1:3" x14ac:dyDescent="0.15">
      <c r="A485" s="1">
        <v>41087</v>
      </c>
      <c r="B485" t="s">
        <v>97</v>
      </c>
      <c r="C485" s="2" t="str">
        <f>HYPERLINK("http://snap.windin.com/ns/bulletin.php?id=1011391&amp;type=1", "喜临门:首次公开发行股票招股意向书附录")</f>
        <v>喜临门:首次公开发行股票招股意向书附录</v>
      </c>
    </row>
    <row r="486" spans="1:3" x14ac:dyDescent="0.15">
      <c r="A486" s="1">
        <v>41087</v>
      </c>
      <c r="B486" t="s">
        <v>107</v>
      </c>
      <c r="C486" s="2" t="str">
        <f>HYPERLINK("http://snap.windin.com/ns/bulletin.php?id=883662&amp;type=1", "天壕节能:首次公开发行股票并在创业板上市公告书（更新后）")</f>
        <v>天壕节能:首次公开发行股票并在创业板上市公告书（更新后）</v>
      </c>
    </row>
    <row r="487" spans="1:3" x14ac:dyDescent="0.15">
      <c r="A487" s="1">
        <v>41086</v>
      </c>
      <c r="B487" t="s">
        <v>99</v>
      </c>
      <c r="C487" s="2" t="str">
        <f>HYPERLINK("http://snap.windin.com/ns/bulletin.php?id=1197982&amp;type=1", "金河生物:首次公开发行股票招股意向书摘要")</f>
        <v>金河生物:首次公开发行股票招股意向书摘要</v>
      </c>
    </row>
    <row r="488" spans="1:3" x14ac:dyDescent="0.15">
      <c r="A488" s="1">
        <v>41086</v>
      </c>
      <c r="B488" t="s">
        <v>99</v>
      </c>
      <c r="C488" s="2" t="str">
        <f>HYPERLINK("http://snap.windin.com/ns/bulletin.php?id=513959&amp;type=1", "金河生物:首次公开发行股票招股意向书")</f>
        <v>金河生物:首次公开发行股票招股意向书</v>
      </c>
    </row>
    <row r="489" spans="1:3" x14ac:dyDescent="0.15">
      <c r="A489" s="1">
        <v>41085</v>
      </c>
      <c r="B489" t="s">
        <v>100</v>
      </c>
      <c r="C489" s="2" t="str">
        <f>HYPERLINK("http://snap.windin.com/ns/bulletin.php?id=1601519&amp;type=1", "乔治白:首次公开发行股票招股意向书")</f>
        <v>乔治白:首次公开发行股票招股意向书</v>
      </c>
    </row>
    <row r="490" spans="1:3" x14ac:dyDescent="0.15">
      <c r="A490" s="1">
        <v>41085</v>
      </c>
      <c r="B490" t="s">
        <v>100</v>
      </c>
      <c r="C490" s="2" t="str">
        <f>HYPERLINK("http://snap.windin.com/ns/bulletin.php?id=1538542&amp;type=1", "乔治白:首次公开发行股票招股意向书摘要")</f>
        <v>乔治白:首次公开发行股票招股意向书摘要</v>
      </c>
    </row>
    <row r="491" spans="1:3" x14ac:dyDescent="0.15">
      <c r="A491" s="1">
        <v>41080</v>
      </c>
      <c r="B491" t="s">
        <v>105</v>
      </c>
      <c r="C491" s="2" t="str">
        <f>HYPERLINK("http://snap.windin.com/ns/bulletin.php?id=1914164&amp;type=1", "亿利达:首次公开发行股票招股说明书摘要")</f>
        <v>亿利达:首次公开发行股票招股说明书摘要</v>
      </c>
    </row>
    <row r="492" spans="1:3" x14ac:dyDescent="0.15">
      <c r="A492" s="1">
        <v>41080</v>
      </c>
      <c r="B492" t="s">
        <v>104</v>
      </c>
      <c r="C492" s="2" t="str">
        <f>HYPERLINK("http://snap.windin.com/ns/bulletin.php?id=996802&amp;type=1", "津膜科技:首次公开发行股票并在创业板上市招股说明书")</f>
        <v>津膜科技:首次公开发行股票并在创业板上市招股说明书</v>
      </c>
    </row>
    <row r="493" spans="1:3" x14ac:dyDescent="0.15">
      <c r="A493" s="1">
        <v>41080</v>
      </c>
      <c r="B493" t="s">
        <v>105</v>
      </c>
      <c r="C493" s="2" t="str">
        <f>HYPERLINK("http://snap.windin.com/ns/bulletin.php?id=806422&amp;type=1", "亿利达:首次公开发行股票招股说明书")</f>
        <v>亿利达:首次公开发行股票招股说明书</v>
      </c>
    </row>
    <row r="494" spans="1:3" x14ac:dyDescent="0.15">
      <c r="A494" s="1">
        <v>41079</v>
      </c>
      <c r="B494" t="s">
        <v>102</v>
      </c>
      <c r="C494" s="2" t="str">
        <f>HYPERLINK("http://snap.windin.com/ns/bulletin.php?id=979061&amp;type=1", "迪森股份:首次公开发行股票并在创业板上市招股意向书")</f>
        <v>迪森股份:首次公开发行股票并在创业板上市招股意向书</v>
      </c>
    </row>
    <row r="495" spans="1:3" x14ac:dyDescent="0.15">
      <c r="A495" s="1">
        <v>41079</v>
      </c>
      <c r="B495" t="s">
        <v>101</v>
      </c>
      <c r="C495" s="2" t="str">
        <f>HYPERLINK("http://snap.windin.com/ns/bulletin.php?id=631698&amp;type=1", "新文化:首次公开发行股票并在创业板上市招股意向书")</f>
        <v>新文化:首次公开发行股票并在创业板上市招股意向书</v>
      </c>
    </row>
    <row r="496" spans="1:3" x14ac:dyDescent="0.15">
      <c r="A496" s="1">
        <v>41078</v>
      </c>
      <c r="B496" t="s">
        <v>109</v>
      </c>
      <c r="C496" s="2" t="str">
        <f>HYPERLINK("http://snap.windin.com/ns/bulletin.php?id=2111065&amp;type=1", "华虹计通:首次公开发行股票并在创业板上市上市公告书提示性公告")</f>
        <v>华虹计通:首次公开发行股票并在创业板上市上市公告书提示性公告</v>
      </c>
    </row>
    <row r="497" spans="1:3" x14ac:dyDescent="0.15">
      <c r="A497" s="1">
        <v>41078</v>
      </c>
      <c r="B497" t="s">
        <v>110</v>
      </c>
      <c r="C497" s="2" t="str">
        <f>HYPERLINK("http://snap.windin.com/ns/bulletin.php?id=1763836&amp;type=1", "海伦钢琴:首次公开发行股票并在创业板上市上市公告书提示性公告")</f>
        <v>海伦钢琴:首次公开发行股票并在创业板上市上市公告书提示性公告</v>
      </c>
    </row>
    <row r="498" spans="1:3" x14ac:dyDescent="0.15">
      <c r="A498" s="1">
        <v>41078</v>
      </c>
      <c r="B498" t="s">
        <v>110</v>
      </c>
      <c r="C498" s="2" t="str">
        <f>HYPERLINK("http://snap.windin.com/ns/bulletin.php?id=1638058&amp;type=1", "海伦钢琴:首次公开发行股票并在创业板上市公告书")</f>
        <v>海伦钢琴:首次公开发行股票并在创业板上市公告书</v>
      </c>
    </row>
    <row r="499" spans="1:3" x14ac:dyDescent="0.15">
      <c r="A499" s="1">
        <v>41078</v>
      </c>
      <c r="B499" t="s">
        <v>109</v>
      </c>
      <c r="C499" s="2" t="str">
        <f>HYPERLINK("http://snap.windin.com/ns/bulletin.php?id=1558474&amp;type=1", "华虹计通:首次公开发行股票并在创业板上市之上市公告书")</f>
        <v>华虹计通:首次公开发行股票并在创业板上市之上市公告书</v>
      </c>
    </row>
    <row r="500" spans="1:3" x14ac:dyDescent="0.15">
      <c r="A500" s="1">
        <v>41078</v>
      </c>
      <c r="B500" t="s">
        <v>111</v>
      </c>
      <c r="C500" s="2" t="str">
        <f>HYPERLINK("http://snap.windin.com/ns/bulletin.php?id=1479444&amp;type=1", "宜安科技:首次公开发行股票并在创业板上市上市公告书")</f>
        <v>宜安科技:首次公开发行股票并在创业板上市上市公告书</v>
      </c>
    </row>
    <row r="501" spans="1:3" x14ac:dyDescent="0.15">
      <c r="A501" s="1">
        <v>41078</v>
      </c>
      <c r="B501" t="s">
        <v>111</v>
      </c>
      <c r="C501" s="2" t="str">
        <f>HYPERLINK("http://snap.windin.com/ns/bulletin.php?id=987872&amp;type=1", "宜安科技:首次公开发行股票并在创业板上市上市公告书提示性公告")</f>
        <v>宜安科技:首次公开发行股票并在创业板上市上市公告书提示性公告</v>
      </c>
    </row>
    <row r="502" spans="1:3" x14ac:dyDescent="0.15">
      <c r="A502" s="1">
        <v>41078</v>
      </c>
      <c r="B502" t="s">
        <v>106</v>
      </c>
      <c r="C502" s="2" t="str">
        <f>HYPERLINK("http://snap.windin.com/ns/bulletin.php?id=591965&amp;type=1", "兆日科技:首次公开发行股票并在创业板上市招股说明书")</f>
        <v>兆日科技:首次公开发行股票并在创业板上市招股说明书</v>
      </c>
    </row>
    <row r="503" spans="1:3" x14ac:dyDescent="0.15">
      <c r="A503" s="1">
        <v>41076</v>
      </c>
      <c r="B503" t="s">
        <v>103</v>
      </c>
      <c r="C503" s="2" t="str">
        <f>HYPERLINK("http://snap.windin.com/ns/bulletin.php?id=1789328&amp;type=1", "中信重工:首次公开发行股票招股意向书摘要")</f>
        <v>中信重工:首次公开发行股票招股意向书摘要</v>
      </c>
    </row>
    <row r="504" spans="1:3" x14ac:dyDescent="0.15">
      <c r="A504" s="1">
        <v>41076</v>
      </c>
      <c r="B504" t="s">
        <v>103</v>
      </c>
      <c r="C504" s="2" t="str">
        <f>HYPERLINK("http://snap.windin.com/ns/bulletin.php?id=1092384&amp;type=1", "中信重工:首次公开发行股票招股意向书")</f>
        <v>中信重工:首次公开发行股票招股意向书</v>
      </c>
    </row>
    <row r="505" spans="1:3" x14ac:dyDescent="0.15">
      <c r="A505" s="1">
        <v>41076</v>
      </c>
      <c r="B505" t="s">
        <v>103</v>
      </c>
      <c r="C505" s="2" t="str">
        <f>HYPERLINK("http://snap.windin.com/ns/bulletin.php?id=798978&amp;type=1", "中信重工:首次公开发行股票招股意向书附录")</f>
        <v>中信重工:首次公开发行股票招股意向书附录</v>
      </c>
    </row>
    <row r="506" spans="1:3" x14ac:dyDescent="0.15">
      <c r="A506" s="1">
        <v>41075</v>
      </c>
      <c r="B506" t="s">
        <v>107</v>
      </c>
      <c r="C506" s="2" t="str">
        <f>HYPERLINK("http://snap.windin.com/ns/bulletin.php?id=185766&amp;type=1", "天壕节能:首次公开发行股票并在创业板上市招股说明书")</f>
        <v>天壕节能:首次公开发行股票并在创业板上市招股说明书</v>
      </c>
    </row>
    <row r="507" spans="1:3" x14ac:dyDescent="0.15">
      <c r="A507" s="1">
        <v>41074</v>
      </c>
      <c r="B507" t="s">
        <v>108</v>
      </c>
      <c r="C507" s="2" t="str">
        <f>HYPERLINK("http://snap.windin.com/ns/bulletin.php?id=187886&amp;type=1", "苏大维格:首次公开发行股票并在创业板上市招股说明书")</f>
        <v>苏大维格:首次公开发行股票并在创业板上市招股说明书</v>
      </c>
    </row>
    <row r="508" spans="1:3" x14ac:dyDescent="0.15">
      <c r="A508" s="1">
        <v>41073</v>
      </c>
      <c r="B508" t="s">
        <v>104</v>
      </c>
      <c r="C508" s="2" t="str">
        <f>HYPERLINK("http://snap.windin.com/ns/bulletin.php?id=2102366&amp;type=1", "津膜科技:首次公开发行股票并在创业板上市招股意向书")</f>
        <v>津膜科技:首次公开发行股票并在创业板上市招股意向书</v>
      </c>
    </row>
    <row r="509" spans="1:3" x14ac:dyDescent="0.15">
      <c r="A509" s="1">
        <v>41072</v>
      </c>
      <c r="B509" t="s">
        <v>112</v>
      </c>
      <c r="C509" s="2" t="str">
        <f>HYPERLINK("http://snap.windin.com/ns/bulletin.php?id=2065005&amp;type=1", "中颖电子:首次公开发行股票并在创业板上市上市公告书")</f>
        <v>中颖电子:首次公开发行股票并在创业板上市上市公告书</v>
      </c>
    </row>
    <row r="510" spans="1:3" x14ac:dyDescent="0.15">
      <c r="A510" s="1">
        <v>41072</v>
      </c>
      <c r="B510" t="s">
        <v>112</v>
      </c>
      <c r="C510" s="2" t="str">
        <f>HYPERLINK("http://snap.windin.com/ns/bulletin.php?id=1936500&amp;type=1", "中颖电子:首次公开发行股票并在创业板上市上市公告书提示性公告")</f>
        <v>中颖电子:首次公开发行股票并在创业板上市上市公告书提示性公告</v>
      </c>
    </row>
    <row r="511" spans="1:3" x14ac:dyDescent="0.15">
      <c r="A511" s="1">
        <v>41072</v>
      </c>
      <c r="B511" t="s">
        <v>113</v>
      </c>
      <c r="C511" s="2" t="str">
        <f>HYPERLINK("http://snap.windin.com/ns/bulletin.php?id=1620024&amp;type=1", "凯利泰:首次公开发行股票并在创业板上市上市公告书")</f>
        <v>凯利泰:首次公开发行股票并在创业板上市上市公告书</v>
      </c>
    </row>
    <row r="512" spans="1:3" x14ac:dyDescent="0.15">
      <c r="A512" s="1">
        <v>41072</v>
      </c>
      <c r="B512" t="s">
        <v>105</v>
      </c>
      <c r="C512" s="2" t="str">
        <f>HYPERLINK("http://snap.windin.com/ns/bulletin.php?id=1199032&amp;type=1", "亿利达:首次公开发行股票招股意向书摘要")</f>
        <v>亿利达:首次公开发行股票招股意向书摘要</v>
      </c>
    </row>
    <row r="513" spans="1:3" x14ac:dyDescent="0.15">
      <c r="A513" s="1">
        <v>41072</v>
      </c>
      <c r="B513" t="s">
        <v>113</v>
      </c>
      <c r="C513" s="2" t="str">
        <f>HYPERLINK("http://snap.windin.com/ns/bulletin.php?id=1166627&amp;type=1", "凯利泰:首次公开发行股票并在创业板上市上市公告书提示性公告")</f>
        <v>凯利泰:首次公开发行股票并在创业板上市上市公告书提示性公告</v>
      </c>
    </row>
    <row r="514" spans="1:3" x14ac:dyDescent="0.15">
      <c r="A514" s="1">
        <v>41072</v>
      </c>
      <c r="B514" t="s">
        <v>105</v>
      </c>
      <c r="C514" s="2" t="str">
        <f>HYPERLINK("http://snap.windin.com/ns/bulletin.php?id=715529&amp;type=1", "亿利达:首次公开发行股票招股意向书")</f>
        <v>亿利达:首次公开发行股票招股意向书</v>
      </c>
    </row>
    <row r="515" spans="1:3" x14ac:dyDescent="0.15">
      <c r="A515" s="1">
        <v>41071</v>
      </c>
      <c r="B515" t="s">
        <v>106</v>
      </c>
      <c r="C515" s="2" t="str">
        <f>HYPERLINK("http://snap.windin.com/ns/bulletin.php?id=1924692&amp;type=1", "兆日科技:首次公开发行股票并在创业板上市招股意向书")</f>
        <v>兆日科技:首次公开发行股票并在创业板上市招股意向书</v>
      </c>
    </row>
    <row r="516" spans="1:3" x14ac:dyDescent="0.15">
      <c r="A516" s="1">
        <v>41071</v>
      </c>
      <c r="B516" t="s">
        <v>114</v>
      </c>
      <c r="C516" s="2" t="str">
        <f>HYPERLINK("http://snap.windin.com/ns/bulletin.php?id=1832022&amp;type=1", "百隆东方:首次公开发行A股股票招股说明书")</f>
        <v>百隆东方:首次公开发行A股股票招股说明书</v>
      </c>
    </row>
    <row r="517" spans="1:3" x14ac:dyDescent="0.15">
      <c r="A517" s="1">
        <v>41071</v>
      </c>
      <c r="B517" t="s">
        <v>115</v>
      </c>
      <c r="C517" s="2" t="str">
        <f>HYPERLINK("http://snap.windin.com/ns/bulletin.php?id=1757773&amp;type=1", "宏大爆破:首次公开发行股票上市公告书")</f>
        <v>宏大爆破:首次公开发行股票上市公告书</v>
      </c>
    </row>
    <row r="518" spans="1:3" x14ac:dyDescent="0.15">
      <c r="A518" s="1">
        <v>41071</v>
      </c>
      <c r="B518" t="s">
        <v>115</v>
      </c>
      <c r="C518" s="2" t="str">
        <f>HYPERLINK("http://snap.windin.com/ns/bulletin.php?id=1647104&amp;type=1", "宏大爆破:首次公开发行股票上市公告书（更新后）")</f>
        <v>宏大爆破:首次公开发行股票上市公告书（更新后）</v>
      </c>
    </row>
    <row r="519" spans="1:3" x14ac:dyDescent="0.15">
      <c r="A519" s="1">
        <v>41071</v>
      </c>
      <c r="B519" t="s">
        <v>116</v>
      </c>
      <c r="C519" s="2" t="str">
        <f>HYPERLINK("http://snap.windin.com/ns/bulletin.php?id=1250918&amp;type=1", "华东重机:首次公开发行股票上市公告书")</f>
        <v>华东重机:首次公开发行股票上市公告书</v>
      </c>
    </row>
    <row r="520" spans="1:3" x14ac:dyDescent="0.15">
      <c r="A520" s="1">
        <v>41071</v>
      </c>
      <c r="B520" t="s">
        <v>117</v>
      </c>
      <c r="C520" s="2" t="str">
        <f>HYPERLINK("http://snap.windin.com/ns/bulletin.php?id=696757&amp;type=1", "龙洲股份:首次公开发行股票上市公告书")</f>
        <v>龙洲股份:首次公开发行股票上市公告书</v>
      </c>
    </row>
    <row r="521" spans="1:3" x14ac:dyDescent="0.15">
      <c r="A521" s="1">
        <v>41071</v>
      </c>
      <c r="B521" t="s">
        <v>118</v>
      </c>
      <c r="C521" s="2" t="str">
        <f>HYPERLINK("http://snap.windin.com/ns/bulletin.php?id=497771&amp;type=1", "猛狮科技:首次公开发行股票上市公告书")</f>
        <v>猛狮科技:首次公开发行股票上市公告书</v>
      </c>
    </row>
    <row r="522" spans="1:3" x14ac:dyDescent="0.15">
      <c r="A522" s="1">
        <v>41071</v>
      </c>
      <c r="B522" t="s">
        <v>114</v>
      </c>
      <c r="C522" s="2" t="str">
        <f>HYPERLINK("http://snap.windin.com/ns/bulletin.php?id=484596&amp;type=1", "百隆东方:首次公开发行A股股票上市公告书")</f>
        <v>百隆东方:首次公开发行A股股票上市公告书</v>
      </c>
    </row>
    <row r="523" spans="1:3" x14ac:dyDescent="0.15">
      <c r="A523" s="1">
        <v>41068</v>
      </c>
      <c r="B523" t="s">
        <v>119</v>
      </c>
      <c r="C523" s="2" t="str">
        <f>HYPERLINK("http://snap.windin.com/ns/bulletin.php?id=1713625&amp;type=1", "中国汽研:首次公开发行股票招股说明书")</f>
        <v>中国汽研:首次公开发行股票招股说明书</v>
      </c>
    </row>
    <row r="524" spans="1:3" x14ac:dyDescent="0.15">
      <c r="A524" s="1">
        <v>41068</v>
      </c>
      <c r="B524" t="s">
        <v>119</v>
      </c>
      <c r="C524" s="2" t="str">
        <f>HYPERLINK("http://snap.windin.com/ns/bulletin.php?id=588136&amp;type=1", "中国汽研:首次公开发行股票上市公告书")</f>
        <v>中国汽研:首次公开发行股票上市公告书</v>
      </c>
    </row>
    <row r="525" spans="1:3" x14ac:dyDescent="0.15">
      <c r="A525" s="1">
        <v>41067</v>
      </c>
      <c r="B525" t="s">
        <v>120</v>
      </c>
      <c r="C525" s="2" t="str">
        <f>HYPERLINK("http://snap.windin.com/ns/bulletin.php?id=2065976&amp;type=1", "旋极信息:首次公开发行股票并在创业板上市公告书提示性公告")</f>
        <v>旋极信息:首次公开发行股票并在创业板上市公告书提示性公告</v>
      </c>
    </row>
    <row r="526" spans="1:3" x14ac:dyDescent="0.15">
      <c r="A526" s="1">
        <v>41067</v>
      </c>
      <c r="B526" t="s">
        <v>121</v>
      </c>
      <c r="C526" s="2" t="str">
        <f>HYPERLINK("http://snap.windin.com/ns/bulletin.php?id=2049075&amp;type=1", "硕贝德:首次公开发行股票并在创业板上市公告书提示性公告")</f>
        <v>硕贝德:首次公开发行股票并在创业板上市公告书提示性公告</v>
      </c>
    </row>
    <row r="527" spans="1:3" x14ac:dyDescent="0.15">
      <c r="A527" s="1">
        <v>41067</v>
      </c>
      <c r="B527" t="s">
        <v>107</v>
      </c>
      <c r="C527" s="2" t="str">
        <f>HYPERLINK("http://snap.windin.com/ns/bulletin.php?id=1991761&amp;type=1", "天壕节能:首次公开发行股票并在创业板上市招股意向书")</f>
        <v>天壕节能:首次公开发行股票并在创业板上市招股意向书</v>
      </c>
    </row>
    <row r="528" spans="1:3" x14ac:dyDescent="0.15">
      <c r="A528" s="1">
        <v>41067</v>
      </c>
      <c r="B528" t="s">
        <v>121</v>
      </c>
      <c r="C528" s="2" t="str">
        <f>HYPERLINK("http://snap.windin.com/ns/bulletin.php?id=1883959&amp;type=1", "硕贝德:首次公开发行股票并在创业板上市上市公告书")</f>
        <v>硕贝德:首次公开发行股票并在创业板上市上市公告书</v>
      </c>
    </row>
    <row r="529" spans="1:3" x14ac:dyDescent="0.15">
      <c r="A529" s="1">
        <v>41067</v>
      </c>
      <c r="B529" t="s">
        <v>120</v>
      </c>
      <c r="C529" s="2" t="str">
        <f>HYPERLINK("http://snap.windin.com/ns/bulletin.php?id=1674258&amp;type=1", "旋极信息:首次公开发行股票并在创业板上市公告书")</f>
        <v>旋极信息:首次公开发行股票并在创业板上市公告书</v>
      </c>
    </row>
    <row r="530" spans="1:3" x14ac:dyDescent="0.15">
      <c r="A530" s="1">
        <v>41067</v>
      </c>
      <c r="B530" t="s">
        <v>111</v>
      </c>
      <c r="C530" s="2" t="str">
        <f>HYPERLINK("http://snap.windin.com/ns/bulletin.php?id=833057&amp;type=1", "宜安科技:首次公开发行股票并在创业板上市招股说明书")</f>
        <v>宜安科技:首次公开发行股票并在创业板上市招股说明书</v>
      </c>
    </row>
    <row r="531" spans="1:3" x14ac:dyDescent="0.15">
      <c r="A531" s="1">
        <v>41067</v>
      </c>
      <c r="B531" t="s">
        <v>108</v>
      </c>
      <c r="C531" s="2" t="str">
        <f>HYPERLINK("http://snap.windin.com/ns/bulletin.php?id=196987&amp;type=1", "苏大维格:首次公开发行股票并在创业板上市招股意向书")</f>
        <v>苏大维格:首次公开发行股票并在创业板上市招股意向书</v>
      </c>
    </row>
    <row r="532" spans="1:3" x14ac:dyDescent="0.15">
      <c r="A532" s="1">
        <v>41067</v>
      </c>
      <c r="B532" t="s">
        <v>110</v>
      </c>
      <c r="C532" s="2" t="str">
        <f>HYPERLINK("http://snap.windin.com/ns/bulletin.php?id=106243&amp;type=1", "海伦钢琴:首次公开发行股票并在创业板上市招股说明书")</f>
        <v>海伦钢琴:首次公开发行股票并在创业板上市招股说明书</v>
      </c>
    </row>
    <row r="533" spans="1:3" x14ac:dyDescent="0.15">
      <c r="A533" s="1">
        <v>41066</v>
      </c>
      <c r="B533" t="s">
        <v>109</v>
      </c>
      <c r="C533" s="2" t="str">
        <f>HYPERLINK("http://snap.windin.com/ns/bulletin.php?id=2017422&amp;type=1", "华虹计通:首次公开发行股票并在创业板上市招股说明书")</f>
        <v>华虹计通:首次公开发行股票并在创业板上市招股说明书</v>
      </c>
    </row>
    <row r="534" spans="1:3" x14ac:dyDescent="0.15">
      <c r="A534" s="1">
        <v>41064</v>
      </c>
      <c r="B534" t="s">
        <v>113</v>
      </c>
      <c r="C534" s="2" t="str">
        <f>HYPERLINK("http://snap.windin.com/ns/bulletin.php?id=1866004&amp;type=1", "凯利泰:首次公开发行股票并在创业板上市招股说明书")</f>
        <v>凯利泰:首次公开发行股票并在创业板上市招股说明书</v>
      </c>
    </row>
    <row r="535" spans="1:3" x14ac:dyDescent="0.15">
      <c r="A535" s="1">
        <v>41064</v>
      </c>
      <c r="B535" t="s">
        <v>122</v>
      </c>
      <c r="C535" s="2" t="str">
        <f>HYPERLINK("http://snap.windin.com/ns/bulletin.php?id=1197905&amp;type=1", "奋达科技:首次公开发行股票上市公告书")</f>
        <v>奋达科技:首次公开发行股票上市公告书</v>
      </c>
    </row>
    <row r="536" spans="1:3" x14ac:dyDescent="0.15">
      <c r="A536" s="1">
        <v>41064</v>
      </c>
      <c r="B536" t="s">
        <v>123</v>
      </c>
      <c r="C536" s="2" t="str">
        <f>HYPERLINK("http://snap.windin.com/ns/bulletin.php?id=1177418&amp;type=1", "黄海机械:首次公开发行股票上市公告书")</f>
        <v>黄海机械:首次公开发行股票上市公告书</v>
      </c>
    </row>
    <row r="537" spans="1:3" x14ac:dyDescent="0.15">
      <c r="A537" s="1">
        <v>41064</v>
      </c>
      <c r="B537" t="s">
        <v>124</v>
      </c>
      <c r="C537" s="2" t="str">
        <f>HYPERLINK("http://snap.windin.com/ns/bulletin.php?id=904523&amp;type=1", "福建金森:首次公开发行股票上市公告书")</f>
        <v>福建金森:首次公开发行股票上市公告书</v>
      </c>
    </row>
    <row r="538" spans="1:3" x14ac:dyDescent="0.15">
      <c r="A538" s="1">
        <v>41061</v>
      </c>
      <c r="B538" t="s">
        <v>112</v>
      </c>
      <c r="C538" s="2" t="str">
        <f>HYPERLINK("http://snap.windin.com/ns/bulletin.php?id=1750386&amp;type=1", "中颖电子:首次公开发行股票并在创业板上市招股说明书")</f>
        <v>中颖电子:首次公开发行股票并在创业板上市招股说明书</v>
      </c>
    </row>
    <row r="539" spans="1:3" x14ac:dyDescent="0.15">
      <c r="A539" s="1">
        <v>41060</v>
      </c>
      <c r="B539" t="s">
        <v>125</v>
      </c>
      <c r="C539" s="2" t="str">
        <f>HYPERLINK("http://snap.windin.com/ns/bulletin.php?id=2092723&amp;type=1", "华灿光电:首次公开发行股票并在创业板上市上市公告书提示性公告")</f>
        <v>华灿光电:首次公开发行股票并在创业板上市上市公告书提示性公告</v>
      </c>
    </row>
    <row r="540" spans="1:3" x14ac:dyDescent="0.15">
      <c r="A540" s="1">
        <v>41060</v>
      </c>
      <c r="B540" t="s">
        <v>126</v>
      </c>
      <c r="C540" s="2" t="str">
        <f>HYPERLINK("http://snap.windin.com/ns/bulletin.php?id=1808206&amp;type=1", "德威新材:首次公开发行股票并在创业板上市公告书提示性公告")</f>
        <v>德威新材:首次公开发行股票并在创业板上市公告书提示性公告</v>
      </c>
    </row>
    <row r="541" spans="1:3" x14ac:dyDescent="0.15">
      <c r="A541" s="1">
        <v>41060</v>
      </c>
      <c r="B541" t="s">
        <v>127</v>
      </c>
      <c r="C541" s="2" t="str">
        <f>HYPERLINK("http://snap.windin.com/ns/bulletin.php?id=1558671&amp;type=1", "海达股份:首次公开发行股票并在创业板上市公告书提示性公告")</f>
        <v>海达股份:首次公开发行股票并在创业板上市公告书提示性公告</v>
      </c>
    </row>
    <row r="542" spans="1:3" x14ac:dyDescent="0.15">
      <c r="A542" s="1">
        <v>41060</v>
      </c>
      <c r="B542" t="s">
        <v>117</v>
      </c>
      <c r="C542" s="2" t="str">
        <f>HYPERLINK("http://snap.windin.com/ns/bulletin.php?id=1483506&amp;type=1", "龙洲股份:首次公开发行股票招股说明书")</f>
        <v>龙洲股份:首次公开发行股票招股说明书</v>
      </c>
    </row>
    <row r="543" spans="1:3" x14ac:dyDescent="0.15">
      <c r="A543" s="1">
        <v>41060</v>
      </c>
      <c r="B543" t="s">
        <v>126</v>
      </c>
      <c r="C543" s="2" t="str">
        <f>HYPERLINK("http://snap.windin.com/ns/bulletin.php?id=1337060&amp;type=1", "德威新材:首次公开发行股票并在创业板上市公告书")</f>
        <v>德威新材:首次公开发行股票并在创业板上市公告书</v>
      </c>
    </row>
    <row r="544" spans="1:3" x14ac:dyDescent="0.15">
      <c r="A544" s="1">
        <v>41060</v>
      </c>
      <c r="B544" t="s">
        <v>118</v>
      </c>
      <c r="C544" s="2" t="str">
        <f>HYPERLINK("http://snap.windin.com/ns/bulletin.php?id=1230946&amp;type=1", "猛狮科技:首次公开发行股票招股说明书")</f>
        <v>猛狮科技:首次公开发行股票招股说明书</v>
      </c>
    </row>
    <row r="545" spans="1:3" x14ac:dyDescent="0.15">
      <c r="A545" s="1">
        <v>41060</v>
      </c>
      <c r="B545" t="s">
        <v>125</v>
      </c>
      <c r="C545" s="2" t="str">
        <f>HYPERLINK("http://snap.windin.com/ns/bulletin.php?id=976336&amp;type=1", "华灿光电:首次公开发行股票并在创业板上市公告书")</f>
        <v>华灿光电:首次公开发行股票并在创业板上市公告书</v>
      </c>
    </row>
    <row r="546" spans="1:3" x14ac:dyDescent="0.15">
      <c r="A546" s="1">
        <v>41060</v>
      </c>
      <c r="B546" t="s">
        <v>117</v>
      </c>
      <c r="C546" s="2" t="str">
        <f>HYPERLINK("http://snap.windin.com/ns/bulletin.php?id=859627&amp;type=1", "龙洲股份:首次公开发行股票招股说明书摘要")</f>
        <v>龙洲股份:首次公开发行股票招股说明书摘要</v>
      </c>
    </row>
    <row r="547" spans="1:3" x14ac:dyDescent="0.15">
      <c r="A547" s="1">
        <v>41060</v>
      </c>
      <c r="B547" t="s">
        <v>127</v>
      </c>
      <c r="C547" s="2" t="str">
        <f>HYPERLINK("http://snap.windin.com/ns/bulletin.php?id=729593&amp;type=1", "海达股份:首次公开发行股票并在创业板上市上市公告书")</f>
        <v>海达股份:首次公开发行股票并在创业板上市上市公告书</v>
      </c>
    </row>
    <row r="548" spans="1:3" x14ac:dyDescent="0.15">
      <c r="A548" s="1">
        <v>41060</v>
      </c>
      <c r="B548" t="s">
        <v>118</v>
      </c>
      <c r="C548" s="2" t="str">
        <f>HYPERLINK("http://snap.windin.com/ns/bulletin.php?id=411335&amp;type=1", "猛狮科技:首次公开发行股票招股说明书摘要")</f>
        <v>猛狮科技:首次公开发行股票招股说明书摘要</v>
      </c>
    </row>
    <row r="549" spans="1:3" x14ac:dyDescent="0.15">
      <c r="A549" s="1">
        <v>41059</v>
      </c>
      <c r="B549" t="s">
        <v>109</v>
      </c>
      <c r="C549" s="2" t="str">
        <f>HYPERLINK("http://snap.windin.com/ns/bulletin.php?id=1522438&amp;type=1", "华虹计通:首次公开发行股票并在创业板上市招股意向书")</f>
        <v>华虹计通:首次公开发行股票并在创业板上市招股意向书</v>
      </c>
    </row>
    <row r="550" spans="1:3" x14ac:dyDescent="0.15">
      <c r="A550" s="1">
        <v>41059</v>
      </c>
      <c r="B550" t="s">
        <v>111</v>
      </c>
      <c r="C550" s="2" t="str">
        <f>HYPERLINK("http://snap.windin.com/ns/bulletin.php?id=1245387&amp;type=1", "宜安科技:首次公开发行股票并在创业板上市招股意向书")</f>
        <v>宜安科技:首次公开发行股票并在创业板上市招股意向书</v>
      </c>
    </row>
    <row r="551" spans="1:3" x14ac:dyDescent="0.15">
      <c r="A551" s="1">
        <v>41059</v>
      </c>
      <c r="B551" t="s">
        <v>110</v>
      </c>
      <c r="C551" s="2" t="str">
        <f>HYPERLINK("http://snap.windin.com/ns/bulletin.php?id=692430&amp;type=1", "海伦钢琴:首次公开发行股票并在创业板上市招股意向书")</f>
        <v>海伦钢琴:首次公开发行股票并在创业板上市招股意向书</v>
      </c>
    </row>
    <row r="552" spans="1:3" x14ac:dyDescent="0.15">
      <c r="A552" s="1">
        <v>41058</v>
      </c>
      <c r="B552" t="s">
        <v>115</v>
      </c>
      <c r="C552" s="2" t="str">
        <f>HYPERLINK("http://snap.windin.com/ns/bulletin.php?id=1781190&amp;type=1", "宏大爆破:首次公开发行股票招股说明书摘要（更新后）")</f>
        <v>宏大爆破:首次公开发行股票招股说明书摘要（更新后）</v>
      </c>
    </row>
    <row r="553" spans="1:3" x14ac:dyDescent="0.15">
      <c r="A553" s="1">
        <v>41058</v>
      </c>
      <c r="B553" t="s">
        <v>120</v>
      </c>
      <c r="C553" s="2" t="str">
        <f>HYPERLINK("http://snap.windin.com/ns/bulletin.php?id=1765484&amp;type=1", "旋极信息:首次公开发行股票并在创业板上市招股说明书")</f>
        <v>旋极信息:首次公开发行股票并在创业板上市招股说明书</v>
      </c>
    </row>
    <row r="554" spans="1:3" x14ac:dyDescent="0.15">
      <c r="A554" s="1">
        <v>41058</v>
      </c>
      <c r="B554" t="s">
        <v>115</v>
      </c>
      <c r="C554" s="2" t="str">
        <f>HYPERLINK("http://snap.windin.com/ns/bulletin.php?id=1672636&amp;type=1", "宏大爆破:首次公开发行股票招股说明书")</f>
        <v>宏大爆破:首次公开发行股票招股说明书</v>
      </c>
    </row>
    <row r="555" spans="1:3" x14ac:dyDescent="0.15">
      <c r="A555" s="1">
        <v>41058</v>
      </c>
      <c r="B555" t="s">
        <v>115</v>
      </c>
      <c r="C555" s="2" t="str">
        <f>HYPERLINK("http://snap.windin.com/ns/bulletin.php?id=1186648&amp;type=1", "宏大爆破:首次公开发行股票招股说明书摘要")</f>
        <v>宏大爆破:首次公开发行股票招股说明书摘要</v>
      </c>
    </row>
    <row r="556" spans="1:3" x14ac:dyDescent="0.15">
      <c r="A556" s="1">
        <v>41058</v>
      </c>
      <c r="B556" t="s">
        <v>116</v>
      </c>
      <c r="C556" s="2" t="str">
        <f>HYPERLINK("http://snap.windin.com/ns/bulletin.php?id=828514&amp;type=1", "华东重机:首次公开发行股票招股说明书")</f>
        <v>华东重机:首次公开发行股票招股说明书</v>
      </c>
    </row>
    <row r="557" spans="1:3" x14ac:dyDescent="0.15">
      <c r="A557" s="1">
        <v>41058</v>
      </c>
      <c r="B557" t="s">
        <v>128</v>
      </c>
      <c r="C557" s="2" t="str">
        <f>HYPERLINK("http://snap.windin.com/ns/bulletin.php?id=457795&amp;type=1", "珠江钢琴:首次公开发行股票上市公告书")</f>
        <v>珠江钢琴:首次公开发行股票上市公告书</v>
      </c>
    </row>
    <row r="558" spans="1:3" x14ac:dyDescent="0.15">
      <c r="A558" s="1">
        <v>41058</v>
      </c>
      <c r="B558" t="s">
        <v>116</v>
      </c>
      <c r="C558" s="2" t="str">
        <f>HYPERLINK("http://snap.windin.com/ns/bulletin.php?id=136140&amp;type=1", "华东重机:首次公开发行股票招股说明书摘要")</f>
        <v>华东重机:首次公开发行股票招股说明书摘要</v>
      </c>
    </row>
    <row r="559" spans="1:3" x14ac:dyDescent="0.15">
      <c r="A559" s="1">
        <v>41058</v>
      </c>
      <c r="B559" t="s">
        <v>115</v>
      </c>
      <c r="C559" s="2" t="str">
        <f>HYPERLINK("http://snap.windin.com/ns/bulletin.php?id=98911&amp;type=1", "宏大爆破:首次公开发行股票招股说明书（更新后）")</f>
        <v>宏大爆破:首次公开发行股票招股说明书（更新后）</v>
      </c>
    </row>
    <row r="560" spans="1:3" x14ac:dyDescent="0.15">
      <c r="A560" s="1">
        <v>41057</v>
      </c>
      <c r="B560" t="s">
        <v>129</v>
      </c>
      <c r="C560" s="2" t="str">
        <f>HYPERLINK("http://snap.windin.com/ns/bulletin.php?id=770593&amp;type=1", "华贸物流:首次公开发行股票招股说明书")</f>
        <v>华贸物流:首次公开发行股票招股说明书</v>
      </c>
    </row>
    <row r="561" spans="1:3" x14ac:dyDescent="0.15">
      <c r="A561" s="1">
        <v>41057</v>
      </c>
      <c r="B561" t="s">
        <v>129</v>
      </c>
      <c r="C561" s="2" t="str">
        <f>HYPERLINK("http://snap.windin.com/ns/bulletin.php?id=232679&amp;type=1", "华贸物流:首次公开发行A股股票上市公告书")</f>
        <v>华贸物流:首次公开发行A股股票上市公告书</v>
      </c>
    </row>
    <row r="562" spans="1:3" x14ac:dyDescent="0.15">
      <c r="A562" s="1">
        <v>41054</v>
      </c>
      <c r="B562" t="s">
        <v>112</v>
      </c>
      <c r="C562" s="2" t="str">
        <f>HYPERLINK("http://snap.windin.com/ns/bulletin.php?id=1647848&amp;type=1", "中颖电子:首次公开发行股票并在创业板上市招股意向书")</f>
        <v>中颖电子:首次公开发行股票并在创业板上市招股意向书</v>
      </c>
    </row>
    <row r="563" spans="1:3" x14ac:dyDescent="0.15">
      <c r="A563" s="1">
        <v>41054</v>
      </c>
      <c r="B563" t="s">
        <v>113</v>
      </c>
      <c r="C563" s="2" t="str">
        <f>HYPERLINK("http://snap.windin.com/ns/bulletin.php?id=1536960&amp;type=1", "凯利泰:首次公开发行股票并在创业板上市的招股意向书")</f>
        <v>凯利泰:首次公开发行股票并在创业板上市的招股意向书</v>
      </c>
    </row>
    <row r="564" spans="1:3" x14ac:dyDescent="0.15">
      <c r="A564" s="1">
        <v>41054</v>
      </c>
      <c r="B564" t="s">
        <v>121</v>
      </c>
      <c r="C564" s="2" t="str">
        <f>HYPERLINK("http://snap.windin.com/ns/bulletin.php?id=414823&amp;type=1", "硕贝德:首次公开发行股票并在创业板上市招股说明书")</f>
        <v>硕贝德:首次公开发行股票并在创业板上市招股说明书</v>
      </c>
    </row>
    <row r="565" spans="1:3" x14ac:dyDescent="0.15">
      <c r="A565" s="1">
        <v>41053</v>
      </c>
      <c r="B565" t="s">
        <v>123</v>
      </c>
      <c r="C565" s="2" t="str">
        <f>HYPERLINK("http://snap.windin.com/ns/bulletin.php?id=1721131&amp;type=1", "黄海机械:首次公开发行股票招股说明书摘要（更新后）")</f>
        <v>黄海机械:首次公开发行股票招股说明书摘要（更新后）</v>
      </c>
    </row>
    <row r="566" spans="1:3" x14ac:dyDescent="0.15">
      <c r="A566" s="1">
        <v>41053</v>
      </c>
      <c r="B566" t="s">
        <v>130</v>
      </c>
      <c r="C566" s="2" t="str">
        <f>HYPERLINK("http://snap.windin.com/ns/bulletin.php?id=1712925&amp;type=1", "东诚生化:首次公开发行股票上市公告书")</f>
        <v>东诚生化:首次公开发行股票上市公告书</v>
      </c>
    </row>
    <row r="567" spans="1:3" x14ac:dyDescent="0.15">
      <c r="A567" s="1">
        <v>41053</v>
      </c>
      <c r="B567" t="s">
        <v>123</v>
      </c>
      <c r="C567" s="2" t="str">
        <f>HYPERLINK("http://snap.windin.com/ns/bulletin.php?id=802705&amp;type=1", "黄海机械:首次公开发行股票招股说明书（更新后）")</f>
        <v>黄海机械:首次公开发行股票招股说明书（更新后）</v>
      </c>
    </row>
    <row r="568" spans="1:3" x14ac:dyDescent="0.15">
      <c r="A568" s="1">
        <v>41053</v>
      </c>
      <c r="B568" t="s">
        <v>122</v>
      </c>
      <c r="C568" s="2" t="str">
        <f>HYPERLINK("http://snap.windin.com/ns/bulletin.php?id=785889&amp;type=1", "奋达科技:首次公开发行股票招股说明书摘要")</f>
        <v>奋达科技:首次公开发行股票招股说明书摘要</v>
      </c>
    </row>
    <row r="569" spans="1:3" x14ac:dyDescent="0.15">
      <c r="A569" s="1">
        <v>41053</v>
      </c>
      <c r="B569" t="s">
        <v>131</v>
      </c>
      <c r="C569" s="2" t="str">
        <f>HYPERLINK("http://snap.windin.com/ns/bulletin.php?id=646788&amp;type=1", "顺威股份:首次公开发行股票上市公告书")</f>
        <v>顺威股份:首次公开发行股票上市公告书</v>
      </c>
    </row>
    <row r="570" spans="1:3" x14ac:dyDescent="0.15">
      <c r="A570" s="1">
        <v>41053</v>
      </c>
      <c r="B570" t="s">
        <v>132</v>
      </c>
      <c r="C570" s="2" t="str">
        <f>HYPERLINK("http://snap.windin.com/ns/bulletin.php?id=501717&amp;type=1", "浙江美大:首次公开发行股票上市公告书")</f>
        <v>浙江美大:首次公开发行股票上市公告书</v>
      </c>
    </row>
    <row r="571" spans="1:3" x14ac:dyDescent="0.15">
      <c r="A571" s="1">
        <v>41053</v>
      </c>
      <c r="B571" t="s">
        <v>122</v>
      </c>
      <c r="C571" s="2" t="str">
        <f>HYPERLINK("http://snap.windin.com/ns/bulletin.php?id=425096&amp;type=1", "奋达科技:首次公开发行股票招股说明书")</f>
        <v>奋达科技:首次公开发行股票招股说明书</v>
      </c>
    </row>
    <row r="572" spans="1:3" x14ac:dyDescent="0.15">
      <c r="A572" s="1">
        <v>41052</v>
      </c>
      <c r="B572" t="s">
        <v>127</v>
      </c>
      <c r="C572" s="2" t="str">
        <f>HYPERLINK("http://snap.windin.com/ns/bulletin.php?id=1899922&amp;type=1", "海达股份:首次公开发行股票并在创业板上市招股说明书")</f>
        <v>海达股份:首次公开发行股票并在创业板上市招股说明书</v>
      </c>
    </row>
    <row r="573" spans="1:3" x14ac:dyDescent="0.15">
      <c r="A573" s="1">
        <v>41052</v>
      </c>
      <c r="B573" t="s">
        <v>118</v>
      </c>
      <c r="C573" s="2" t="str">
        <f>HYPERLINK("http://snap.windin.com/ns/bulletin.php?id=1500963&amp;type=1", "猛狮科技:首次公开发行股票招股意向书摘要")</f>
        <v>猛狮科技:首次公开发行股票招股意向书摘要</v>
      </c>
    </row>
    <row r="574" spans="1:3" x14ac:dyDescent="0.15">
      <c r="A574" s="1">
        <v>41052</v>
      </c>
      <c r="B574" t="s">
        <v>118</v>
      </c>
      <c r="C574" s="2" t="str">
        <f>HYPERLINK("http://snap.windin.com/ns/bulletin.php?id=684639&amp;type=1", "猛狮科技:首次公开发行股票招股意向书")</f>
        <v>猛狮科技:首次公开发行股票招股意向书</v>
      </c>
    </row>
    <row r="575" spans="1:3" x14ac:dyDescent="0.15">
      <c r="A575" s="1">
        <v>41051</v>
      </c>
      <c r="B575" t="s">
        <v>124</v>
      </c>
      <c r="C575" s="2" t="str">
        <f>HYPERLINK("http://snap.windin.com/ns/bulletin.php?id=1962108&amp;type=1", "福建金森:首次公开发行股票招股说明书摘要")</f>
        <v>福建金森:首次公开发行股票招股说明书摘要</v>
      </c>
    </row>
    <row r="576" spans="1:3" x14ac:dyDescent="0.15">
      <c r="A576" s="1">
        <v>41051</v>
      </c>
      <c r="B576" t="s">
        <v>133</v>
      </c>
      <c r="C576" s="2" t="str">
        <f>HYPERLINK("http://snap.windin.com/ns/bulletin.php?id=1939482&amp;type=1", "博晖创新:首次公开发行股票并在创业板上市上市公告书")</f>
        <v>博晖创新:首次公开发行股票并在创业板上市上市公告书</v>
      </c>
    </row>
    <row r="577" spans="1:3" x14ac:dyDescent="0.15">
      <c r="A577" s="1">
        <v>41051</v>
      </c>
      <c r="B577" t="s">
        <v>114</v>
      </c>
      <c r="C577" s="2" t="str">
        <f>HYPERLINK("http://snap.windin.com/ns/bulletin.php?id=1885518&amp;type=1", "百隆东方:首次公开发行股票招股意向书附录")</f>
        <v>百隆东方:首次公开发行股票招股意向书附录</v>
      </c>
    </row>
    <row r="578" spans="1:3" x14ac:dyDescent="0.15">
      <c r="A578" s="1">
        <v>41051</v>
      </c>
      <c r="B578" t="s">
        <v>115</v>
      </c>
      <c r="C578" s="2" t="str">
        <f>HYPERLINK("http://snap.windin.com/ns/bulletin.php?id=1641545&amp;type=1", "宏大爆破:首次公开发行股票招股意向书")</f>
        <v>宏大爆破:首次公开发行股票招股意向书</v>
      </c>
    </row>
    <row r="579" spans="1:3" x14ac:dyDescent="0.15">
      <c r="A579" s="1">
        <v>41051</v>
      </c>
      <c r="B579" t="s">
        <v>114</v>
      </c>
      <c r="C579" s="2" t="str">
        <f>HYPERLINK("http://snap.windin.com/ns/bulletin.php?id=1599793&amp;type=1", "百隆东方:首次公开发行A股股票招股意向书")</f>
        <v>百隆东方:首次公开发行A股股票招股意向书</v>
      </c>
    </row>
    <row r="580" spans="1:3" x14ac:dyDescent="0.15">
      <c r="A580" s="1">
        <v>41051</v>
      </c>
      <c r="B580" t="s">
        <v>133</v>
      </c>
      <c r="C580" s="2" t="str">
        <f>HYPERLINK("http://snap.windin.com/ns/bulletin.php?id=1560155&amp;type=1", "博晖创新:首次公开发行股票并在创业板上市上市公告书提示性公告")</f>
        <v>博晖创新:首次公开发行股票并在创业板上市上市公告书提示性公告</v>
      </c>
    </row>
    <row r="581" spans="1:3" x14ac:dyDescent="0.15">
      <c r="A581" s="1">
        <v>41051</v>
      </c>
      <c r="B581" t="s">
        <v>134</v>
      </c>
      <c r="C581" s="2" t="str">
        <f>HYPERLINK("http://snap.windin.com/ns/bulletin.php?id=1478961&amp;type=1", "麦捷科技:首次公开发行股票并在创业板上市公告书提示性公告")</f>
        <v>麦捷科技:首次公开发行股票并在创业板上市公告书提示性公告</v>
      </c>
    </row>
    <row r="582" spans="1:3" x14ac:dyDescent="0.15">
      <c r="A582" s="1">
        <v>41051</v>
      </c>
      <c r="B582" t="s">
        <v>116</v>
      </c>
      <c r="C582" s="2" t="str">
        <f>HYPERLINK("http://snap.windin.com/ns/bulletin.php?id=1405364&amp;type=1", "华东重机:首次公开发行股票招股意向书")</f>
        <v>华东重机:首次公开发行股票招股意向书</v>
      </c>
    </row>
    <row r="583" spans="1:3" x14ac:dyDescent="0.15">
      <c r="A583" s="1">
        <v>41051</v>
      </c>
      <c r="B583" t="s">
        <v>117</v>
      </c>
      <c r="C583" s="2" t="str">
        <f>HYPERLINK("http://snap.windin.com/ns/bulletin.php?id=1202846&amp;type=1", "龙洲股份:首次公开发行股票招股意向书")</f>
        <v>龙洲股份:首次公开发行股票招股意向书</v>
      </c>
    </row>
    <row r="584" spans="1:3" x14ac:dyDescent="0.15">
      <c r="A584" s="1">
        <v>41051</v>
      </c>
      <c r="B584" t="s">
        <v>135</v>
      </c>
      <c r="C584" s="2" t="str">
        <f>HYPERLINK("http://snap.windin.com/ns/bulletin.php?id=1177441&amp;type=1", "同大股份:首次公开发行股票并在创业板上市公告书")</f>
        <v>同大股份:首次公开发行股票并在创业板上市公告书</v>
      </c>
    </row>
    <row r="585" spans="1:3" x14ac:dyDescent="0.15">
      <c r="A585" s="1">
        <v>41051</v>
      </c>
      <c r="B585" t="s">
        <v>117</v>
      </c>
      <c r="C585" s="2" t="str">
        <f>HYPERLINK("http://snap.windin.com/ns/bulletin.php?id=1152701&amp;type=1", "龙洲股份:首次公开发行股票招股意向书摘要")</f>
        <v>龙洲股份:首次公开发行股票招股意向书摘要</v>
      </c>
    </row>
    <row r="586" spans="1:3" x14ac:dyDescent="0.15">
      <c r="A586" s="1">
        <v>41051</v>
      </c>
      <c r="B586" t="s">
        <v>114</v>
      </c>
      <c r="C586" s="2" t="str">
        <f>HYPERLINK("http://snap.windin.com/ns/bulletin.php?id=1126291&amp;type=1", "百隆东方:首次公开发行A股股票招股意向书摘要")</f>
        <v>百隆东方:首次公开发行A股股票招股意向书摘要</v>
      </c>
    </row>
    <row r="587" spans="1:3" x14ac:dyDescent="0.15">
      <c r="A587" s="1">
        <v>41051</v>
      </c>
      <c r="B587" t="s">
        <v>124</v>
      </c>
      <c r="C587" s="2" t="str">
        <f>HYPERLINK("http://snap.windin.com/ns/bulletin.php?id=1070443&amp;type=1", "福建金森:首次公开发行股票招股说明书")</f>
        <v>福建金森:首次公开发行股票招股说明书</v>
      </c>
    </row>
    <row r="588" spans="1:3" x14ac:dyDescent="0.15">
      <c r="A588" s="1">
        <v>41051</v>
      </c>
      <c r="B588" t="s">
        <v>116</v>
      </c>
      <c r="C588" s="2" t="str">
        <f>HYPERLINK("http://snap.windin.com/ns/bulletin.php?id=633808&amp;type=1", "华东重机:首次公开发行股票招股意向书摘要")</f>
        <v>华东重机:首次公开发行股票招股意向书摘要</v>
      </c>
    </row>
    <row r="589" spans="1:3" x14ac:dyDescent="0.15">
      <c r="A589" s="1">
        <v>41051</v>
      </c>
      <c r="B589" t="s">
        <v>115</v>
      </c>
      <c r="C589" s="2" t="str">
        <f>HYPERLINK("http://snap.windin.com/ns/bulletin.php?id=585850&amp;type=1", "宏大爆破:首次公开发行股票招股意向书摘要")</f>
        <v>宏大爆破:首次公开发行股票招股意向书摘要</v>
      </c>
    </row>
    <row r="590" spans="1:3" x14ac:dyDescent="0.15">
      <c r="A590" s="1">
        <v>41051</v>
      </c>
      <c r="B590" t="s">
        <v>134</v>
      </c>
      <c r="C590" s="2" t="str">
        <f>HYPERLINK("http://snap.windin.com/ns/bulletin.php?id=512426&amp;type=1", "麦捷科技:首次公开发行股票并在创业板上市公告书")</f>
        <v>麦捷科技:首次公开发行股票并在创业板上市公告书</v>
      </c>
    </row>
    <row r="591" spans="1:3" x14ac:dyDescent="0.15">
      <c r="A591" s="1">
        <v>41051</v>
      </c>
      <c r="B591" t="s">
        <v>136</v>
      </c>
      <c r="C591" s="2" t="str">
        <f>HYPERLINK("http://snap.windin.com/ns/bulletin.php?id=464202&amp;type=1", "巴安水务:关于中国证券监督管理委员会对公司《招股说明书》相关事项调查公告")</f>
        <v>巴安水务:关于中国证券监督管理委员会对公司《招股说明书》相关事项调查公告</v>
      </c>
    </row>
    <row r="592" spans="1:3" x14ac:dyDescent="0.15">
      <c r="A592" s="1">
        <v>41051</v>
      </c>
      <c r="B592" t="s">
        <v>135</v>
      </c>
      <c r="C592" s="2" t="str">
        <f>HYPERLINK("http://snap.windin.com/ns/bulletin.php?id=168609&amp;type=1", "同大股份:首次公开发行股票并在创业板上市公告书提示性公告")</f>
        <v>同大股份:首次公开发行股票并在创业板上市公告书提示性公告</v>
      </c>
    </row>
    <row r="593" spans="1:3" x14ac:dyDescent="0.15">
      <c r="A593" s="1">
        <v>41050</v>
      </c>
      <c r="B593" t="s">
        <v>126</v>
      </c>
      <c r="C593" s="2" t="str">
        <f>HYPERLINK("http://snap.windin.com/ns/bulletin.php?id=1477342&amp;type=1", "德威新材:首次公开发行股票并在创业板上市招股说明书")</f>
        <v>德威新材:首次公开发行股票并在创业板上市招股说明书</v>
      </c>
    </row>
    <row r="594" spans="1:3" x14ac:dyDescent="0.15">
      <c r="A594" s="1">
        <v>41050</v>
      </c>
      <c r="B594" t="s">
        <v>125</v>
      </c>
      <c r="C594" s="2" t="str">
        <f>HYPERLINK("http://snap.windin.com/ns/bulletin.php?id=634107&amp;type=1", "华灿光电:首次公开发行股票并在创业板上市招股说明书")</f>
        <v>华灿光电:首次公开发行股票并在创业板上市招股说明书</v>
      </c>
    </row>
    <row r="595" spans="1:3" x14ac:dyDescent="0.15">
      <c r="A595" s="1">
        <v>41047</v>
      </c>
      <c r="B595" t="s">
        <v>128</v>
      </c>
      <c r="C595" s="2" t="str">
        <f>HYPERLINK("http://snap.windin.com/ns/bulletin.php?id=2014621&amp;type=1", "珠江钢琴:首次公开发行股票招股说明书")</f>
        <v>珠江钢琴:首次公开发行股票招股说明书</v>
      </c>
    </row>
    <row r="596" spans="1:3" x14ac:dyDescent="0.15">
      <c r="A596" s="1">
        <v>41047</v>
      </c>
      <c r="B596" t="s">
        <v>137</v>
      </c>
      <c r="C596" s="2" t="str">
        <f>HYPERLINK("http://snap.windin.com/ns/bulletin.php?id=1476058&amp;type=1", "日出东方:首次公开发行A股股票上市公告书")</f>
        <v>日出东方:首次公开发行A股股票上市公告书</v>
      </c>
    </row>
    <row r="597" spans="1:3" x14ac:dyDescent="0.15">
      <c r="A597" s="1">
        <v>41047</v>
      </c>
      <c r="B597" t="s">
        <v>128</v>
      </c>
      <c r="C597" s="2" t="str">
        <f>HYPERLINK("http://snap.windin.com/ns/bulletin.php?id=1046321&amp;type=1", "珠江钢琴:首次公开发行股票招股说明书摘要")</f>
        <v>珠江钢琴:首次公开发行股票招股说明书摘要</v>
      </c>
    </row>
    <row r="598" spans="1:3" x14ac:dyDescent="0.15">
      <c r="A598" s="1">
        <v>41047</v>
      </c>
      <c r="B598" t="s">
        <v>137</v>
      </c>
      <c r="C598" s="2" t="str">
        <f>HYPERLINK("http://snap.windin.com/ns/bulletin.php?id=1026157&amp;type=1", "日出东方:首次公开发行股票招股说明书")</f>
        <v>日出东方:首次公开发行股票招股说明书</v>
      </c>
    </row>
    <row r="599" spans="1:3" x14ac:dyDescent="0.15">
      <c r="A599" s="1">
        <v>41046</v>
      </c>
      <c r="B599" t="s">
        <v>138</v>
      </c>
      <c r="C599" s="2" t="str">
        <f>HYPERLINK("http://snap.windin.com/ns/bulletin.php?id=1226954&amp;type=1", "宏昌电子:首次公开发行股票招股说明书")</f>
        <v>宏昌电子:首次公开发行股票招股说明书</v>
      </c>
    </row>
    <row r="600" spans="1:3" x14ac:dyDescent="0.15">
      <c r="A600" s="1">
        <v>41046</v>
      </c>
      <c r="B600" t="s">
        <v>138</v>
      </c>
      <c r="C600" s="2" t="str">
        <f>HYPERLINK("http://snap.windin.com/ns/bulletin.php?id=840484&amp;type=1", "宏昌电子:首次公开发行A股股票上市公告书")</f>
        <v>宏昌电子:首次公开发行A股股票上市公告书</v>
      </c>
    </row>
    <row r="601" spans="1:3" x14ac:dyDescent="0.15">
      <c r="A601" s="1">
        <v>41045</v>
      </c>
      <c r="B601" t="s">
        <v>121</v>
      </c>
      <c r="C601" s="2" t="str">
        <f>HYPERLINK("http://snap.windin.com/ns/bulletin.php?id=1905853&amp;type=1", "硕贝德:首次公开发行股票并在创业板上市招股意向书")</f>
        <v>硕贝德:首次公开发行股票并在创业板上市招股意向书</v>
      </c>
    </row>
    <row r="602" spans="1:3" x14ac:dyDescent="0.15">
      <c r="A602" s="1">
        <v>41045</v>
      </c>
      <c r="B602" t="s">
        <v>123</v>
      </c>
      <c r="C602" s="2" t="str">
        <f>HYPERLINK("http://snap.windin.com/ns/bulletin.php?id=961904&amp;type=1", "黄海机械:首次公开发行股票招股意向书摘要")</f>
        <v>黄海机械:首次公开发行股票招股意向书摘要</v>
      </c>
    </row>
    <row r="603" spans="1:3" x14ac:dyDescent="0.15">
      <c r="A603" s="1">
        <v>41045</v>
      </c>
      <c r="B603" t="s">
        <v>123</v>
      </c>
      <c r="C603" s="2" t="str">
        <f>HYPERLINK("http://snap.windin.com/ns/bulletin.php?id=942365&amp;type=1", "黄海机械:首次公开发行股票招股意向书")</f>
        <v>黄海机械:首次公开发行股票招股意向书</v>
      </c>
    </row>
    <row r="604" spans="1:3" x14ac:dyDescent="0.15">
      <c r="A604" s="1">
        <v>41044</v>
      </c>
      <c r="B604" t="s">
        <v>122</v>
      </c>
      <c r="C604" s="2" t="str">
        <f>HYPERLINK("http://snap.windin.com/ns/bulletin.php?id=1754041&amp;type=1", "奋达科技:首次公开发行股票招股意向书摘要")</f>
        <v>奋达科技:首次公开发行股票招股意向书摘要</v>
      </c>
    </row>
    <row r="605" spans="1:3" x14ac:dyDescent="0.15">
      <c r="A605" s="1">
        <v>41044</v>
      </c>
      <c r="B605" t="s">
        <v>119</v>
      </c>
      <c r="C605" s="2" t="str">
        <f>HYPERLINK("http://snap.windin.com/ns/bulletin.php?id=1706098&amp;type=1", "中国汽研:首次公开发行股票招股意向书摘要")</f>
        <v>中国汽研:首次公开发行股票招股意向书摘要</v>
      </c>
    </row>
    <row r="606" spans="1:3" x14ac:dyDescent="0.15">
      <c r="A606" s="1">
        <v>41044</v>
      </c>
      <c r="B606" t="s">
        <v>122</v>
      </c>
      <c r="C606" s="2" t="str">
        <f>HYPERLINK("http://snap.windin.com/ns/bulletin.php?id=1697855&amp;type=1", "奋达科技:首次公开发行股票招股意向书")</f>
        <v>奋达科技:首次公开发行股票招股意向书</v>
      </c>
    </row>
    <row r="607" spans="1:3" x14ac:dyDescent="0.15">
      <c r="A607" s="1">
        <v>41044</v>
      </c>
      <c r="B607" t="s">
        <v>119</v>
      </c>
      <c r="C607" s="2" t="str">
        <f>HYPERLINK("http://snap.windin.com/ns/bulletin.php?id=1577543&amp;type=1", "中国汽研:首次公开发行股票招股意向书")</f>
        <v>中国汽研:首次公开发行股票招股意向书</v>
      </c>
    </row>
    <row r="608" spans="1:3" x14ac:dyDescent="0.15">
      <c r="A608" s="1">
        <v>41044</v>
      </c>
      <c r="B608" t="s">
        <v>119</v>
      </c>
      <c r="C608" s="2" t="str">
        <f>HYPERLINK("http://snap.windin.com/ns/bulletin.php?id=947064&amp;type=1", "中国汽研:首次公开发行股票招股意向书附录一")</f>
        <v>中国汽研:首次公开发行股票招股意向书附录一</v>
      </c>
    </row>
    <row r="609" spans="1:3" x14ac:dyDescent="0.15">
      <c r="A609" s="1">
        <v>41044</v>
      </c>
      <c r="B609" t="s">
        <v>119</v>
      </c>
      <c r="C609" s="2" t="str">
        <f>HYPERLINK("http://snap.windin.com/ns/bulletin.php?id=779283&amp;type=1", "中国汽研:首次公开发行股票招股意向书附录二")</f>
        <v>中国汽研:首次公开发行股票招股意向书附录二</v>
      </c>
    </row>
    <row r="610" spans="1:3" x14ac:dyDescent="0.15">
      <c r="A610" s="1">
        <v>41044</v>
      </c>
      <c r="B610" t="s">
        <v>119</v>
      </c>
      <c r="C610" s="2" t="str">
        <f>HYPERLINK("http://snap.windin.com/ns/bulletin.php?id=230537&amp;type=1", "中国汽研:首次公开发行股票招股意向书附录三")</f>
        <v>中国汽研:首次公开发行股票招股意向书附录三</v>
      </c>
    </row>
    <row r="611" spans="1:3" x14ac:dyDescent="0.15">
      <c r="A611" s="1">
        <v>41043</v>
      </c>
      <c r="B611" t="s">
        <v>120</v>
      </c>
      <c r="C611" s="2" t="str">
        <f>HYPERLINK("http://snap.windin.com/ns/bulletin.php?id=1825200&amp;type=1", "旋极信息:首次公开发行股票并在创业板上市招股意向书")</f>
        <v>旋极信息:首次公开发行股票并在创业板上市招股意向书</v>
      </c>
    </row>
    <row r="612" spans="1:3" x14ac:dyDescent="0.15">
      <c r="A612" s="1">
        <v>41043</v>
      </c>
      <c r="B612" t="s">
        <v>130</v>
      </c>
      <c r="C612" s="2" t="str">
        <f>HYPERLINK("http://snap.windin.com/ns/bulletin.php?id=1557557&amp;type=1", "东诚生化:首次公开发行股票并上市招股说明书")</f>
        <v>东诚生化:首次公开发行股票并上市招股说明书</v>
      </c>
    </row>
    <row r="613" spans="1:3" x14ac:dyDescent="0.15">
      <c r="A613" s="1">
        <v>41043</v>
      </c>
      <c r="B613" t="s">
        <v>126</v>
      </c>
      <c r="C613" s="2" t="str">
        <f>HYPERLINK("http://snap.windin.com/ns/bulletin.php?id=1321341&amp;type=1", "德威新材:首次公开发行股票并在创业板上市招股意向书")</f>
        <v>德威新材:首次公开发行股票并在创业板上市招股意向书</v>
      </c>
    </row>
    <row r="614" spans="1:3" x14ac:dyDescent="0.15">
      <c r="A614" s="1">
        <v>41043</v>
      </c>
      <c r="B614" t="s">
        <v>133</v>
      </c>
      <c r="C614" s="2" t="str">
        <f>HYPERLINK("http://snap.windin.com/ns/bulletin.php?id=1262754&amp;type=1", "博晖创新:首次公开发行股票并在创业板上市招股说明书")</f>
        <v>博晖创新:首次公开发行股票并在创业板上市招股说明书</v>
      </c>
    </row>
    <row r="615" spans="1:3" x14ac:dyDescent="0.15">
      <c r="A615" s="1">
        <v>41043</v>
      </c>
      <c r="B615" t="s">
        <v>134</v>
      </c>
      <c r="C615" s="2" t="str">
        <f>HYPERLINK("http://snap.windin.com/ns/bulletin.php?id=885978&amp;type=1", "麦捷科技:首次公开发行股票并在创业板上市招股说明书")</f>
        <v>麦捷科技:首次公开发行股票并在创业板上市招股说明书</v>
      </c>
    </row>
    <row r="616" spans="1:3" x14ac:dyDescent="0.15">
      <c r="A616" s="1">
        <v>41043</v>
      </c>
      <c r="B616" t="s">
        <v>131</v>
      </c>
      <c r="C616" s="2" t="str">
        <f>HYPERLINK("http://snap.windin.com/ns/bulletin.php?id=829065&amp;type=1", "顺威股份:首次公开发行股票招股说明书")</f>
        <v>顺威股份:首次公开发行股票招股说明书</v>
      </c>
    </row>
    <row r="617" spans="1:3" x14ac:dyDescent="0.15">
      <c r="A617" s="1">
        <v>41043</v>
      </c>
      <c r="B617" t="s">
        <v>131</v>
      </c>
      <c r="C617" s="2" t="str">
        <f>HYPERLINK("http://snap.windin.com/ns/bulletin.php?id=589673&amp;type=1", "顺威股份:首次公开发行股票招股说明书摘要")</f>
        <v>顺威股份:首次公开发行股票招股说明书摘要</v>
      </c>
    </row>
    <row r="618" spans="1:3" x14ac:dyDescent="0.15">
      <c r="A618" s="1">
        <v>41043</v>
      </c>
      <c r="B618" t="s">
        <v>130</v>
      </c>
      <c r="C618" s="2" t="str">
        <f>HYPERLINK("http://snap.windin.com/ns/bulletin.php?id=119135&amp;type=1", "东诚生化:首次公开发行股票并上市招股说明书摘要")</f>
        <v>东诚生化:首次公开发行股票并上市招股说明书摘要</v>
      </c>
    </row>
    <row r="619" spans="1:3" x14ac:dyDescent="0.15">
      <c r="A619" s="1">
        <v>41040</v>
      </c>
      <c r="B619" t="s">
        <v>132</v>
      </c>
      <c r="C619" s="2" t="str">
        <f>HYPERLINK("http://snap.windin.com/ns/bulletin.php?id=1712186&amp;type=1", "浙江美大:首次公开发行股票招股说明书")</f>
        <v>浙江美大:首次公开发行股票招股说明书</v>
      </c>
    </row>
    <row r="620" spans="1:3" x14ac:dyDescent="0.15">
      <c r="A620" s="1">
        <v>41040</v>
      </c>
      <c r="B620" t="s">
        <v>124</v>
      </c>
      <c r="C620" s="2" t="str">
        <f>HYPERLINK("http://snap.windin.com/ns/bulletin.php?id=1117410&amp;type=1", "福建金森:首次公开发行股票招股意向书摘要")</f>
        <v>福建金森:首次公开发行股票招股意向书摘要</v>
      </c>
    </row>
    <row r="621" spans="1:3" x14ac:dyDescent="0.15">
      <c r="A621" s="1">
        <v>41040</v>
      </c>
      <c r="B621" t="s">
        <v>128</v>
      </c>
      <c r="C621" s="2" t="str">
        <f>HYPERLINK("http://snap.windin.com/ns/bulletin.php?id=1015760&amp;type=1", "珠江钢琴:首次公开发行股票招股意向书")</f>
        <v>珠江钢琴:首次公开发行股票招股意向书</v>
      </c>
    </row>
    <row r="622" spans="1:3" x14ac:dyDescent="0.15">
      <c r="A622" s="1">
        <v>41040</v>
      </c>
      <c r="B622" t="s">
        <v>135</v>
      </c>
      <c r="C622" s="2" t="str">
        <f>HYPERLINK("http://snap.windin.com/ns/bulletin.php?id=950969&amp;type=1", "同大股份:首次公开发行股票并在创业板上市招股说明书")</f>
        <v>同大股份:首次公开发行股票并在创业板上市招股说明书</v>
      </c>
    </row>
    <row r="623" spans="1:3" x14ac:dyDescent="0.15">
      <c r="A623" s="1">
        <v>41040</v>
      </c>
      <c r="B623" t="s">
        <v>128</v>
      </c>
      <c r="C623" s="2" t="str">
        <f>HYPERLINK("http://snap.windin.com/ns/bulletin.php?id=912617&amp;type=1", "珠江钢琴:首次公开发行股票招股意向书摘要")</f>
        <v>珠江钢琴:首次公开发行股票招股意向书摘要</v>
      </c>
    </row>
    <row r="624" spans="1:3" x14ac:dyDescent="0.15">
      <c r="A624" s="1">
        <v>41040</v>
      </c>
      <c r="B624" t="s">
        <v>125</v>
      </c>
      <c r="C624" s="2" t="str">
        <f>HYPERLINK("http://snap.windin.com/ns/bulletin.php?id=873433&amp;type=1", "华灿光电:首次公开发行股票并在创业板上市招股意向书")</f>
        <v>华灿光电:首次公开发行股票并在创业板上市招股意向书</v>
      </c>
    </row>
    <row r="625" spans="1:3" x14ac:dyDescent="0.15">
      <c r="A625" s="1">
        <v>41040</v>
      </c>
      <c r="B625" t="s">
        <v>124</v>
      </c>
      <c r="C625" s="2" t="str">
        <f>HYPERLINK("http://snap.windin.com/ns/bulletin.php?id=769625&amp;type=1", "福建金森:首次公开发行股票招股意向书")</f>
        <v>福建金森:首次公开发行股票招股意向书</v>
      </c>
    </row>
    <row r="626" spans="1:3" x14ac:dyDescent="0.15">
      <c r="A626" s="1">
        <v>41040</v>
      </c>
      <c r="B626" t="s">
        <v>132</v>
      </c>
      <c r="C626" s="2" t="str">
        <f>HYPERLINK("http://snap.windin.com/ns/bulletin.php?id=537669&amp;type=1", "浙江美大:首次公开发行股票招股说明书摘要")</f>
        <v>浙江美大:首次公开发行股票招股说明书摘要</v>
      </c>
    </row>
    <row r="627" spans="1:3" x14ac:dyDescent="0.15">
      <c r="A627" s="1">
        <v>41039</v>
      </c>
      <c r="B627" t="s">
        <v>139</v>
      </c>
      <c r="C627" s="2" t="str">
        <f>HYPERLINK("http://snap.windin.com/ns/bulletin.php?id=1726583&amp;type=1", "珈伟股份:首次公开发行股票并在创业板上市公告书提示公告")</f>
        <v>珈伟股份:首次公开发行股票并在创业板上市公告书提示公告</v>
      </c>
    </row>
    <row r="628" spans="1:3" x14ac:dyDescent="0.15">
      <c r="A628" s="1">
        <v>41039</v>
      </c>
      <c r="B628" t="s">
        <v>140</v>
      </c>
      <c r="C628" s="2" t="str">
        <f>HYPERLINK("http://snap.windin.com/ns/bulletin.php?id=1685455&amp;type=1", "掌趣科技:首次公开发行股票并在创业板上市公告书")</f>
        <v>掌趣科技:首次公开发行股票并在创业板上市公告书</v>
      </c>
    </row>
    <row r="629" spans="1:3" x14ac:dyDescent="0.15">
      <c r="A629" s="1">
        <v>41039</v>
      </c>
      <c r="B629" t="s">
        <v>139</v>
      </c>
      <c r="C629" s="2" t="str">
        <f>HYPERLINK("http://snap.windin.com/ns/bulletin.php?id=1540041&amp;type=1", "珈伟股份:首次公开发行股票并在创业板上市公告书")</f>
        <v>珈伟股份:首次公开发行股票并在创业板上市公告书</v>
      </c>
    </row>
    <row r="630" spans="1:3" x14ac:dyDescent="0.15">
      <c r="A630" s="1">
        <v>41039</v>
      </c>
      <c r="B630" t="s">
        <v>141</v>
      </c>
      <c r="C630" s="2" t="str">
        <f>HYPERLINK("http://snap.windin.com/ns/bulletin.php?id=1314590&amp;type=1", "晶盛机电:首次公开发行股票并在创业板上市上市公告书")</f>
        <v>晶盛机电:首次公开发行股票并在创业板上市上市公告书</v>
      </c>
    </row>
    <row r="631" spans="1:3" x14ac:dyDescent="0.15">
      <c r="A631" s="1">
        <v>41039</v>
      </c>
      <c r="B631" t="s">
        <v>140</v>
      </c>
      <c r="C631" s="2" t="str">
        <f>HYPERLINK("http://snap.windin.com/ns/bulletin.php?id=1238050&amp;type=1", "掌趣科技:首次公开发行股票并在创业板上市上市公告书提示性公告")</f>
        <v>掌趣科技:首次公开发行股票并在创业板上市上市公告书提示性公告</v>
      </c>
    </row>
    <row r="632" spans="1:3" x14ac:dyDescent="0.15">
      <c r="A632" s="1">
        <v>41037</v>
      </c>
      <c r="B632" t="s">
        <v>129</v>
      </c>
      <c r="C632" s="2" t="str">
        <f>HYPERLINK("http://snap.windin.com/ns/bulletin.php?id=2023507&amp;type=1", "华贸物流:首次公开发行股票招股意向书")</f>
        <v>华贸物流:首次公开发行股票招股意向书</v>
      </c>
    </row>
    <row r="633" spans="1:3" x14ac:dyDescent="0.15">
      <c r="A633" s="1">
        <v>41037</v>
      </c>
      <c r="B633" t="s">
        <v>129</v>
      </c>
      <c r="C633" s="2" t="str">
        <f>HYPERLINK("http://snap.windin.com/ns/bulletin.php?id=2008389&amp;type=1", "华贸物流:首次公开发行股票招股意向书附录一")</f>
        <v>华贸物流:首次公开发行股票招股意向书附录一</v>
      </c>
    </row>
    <row r="634" spans="1:3" x14ac:dyDescent="0.15">
      <c r="A634" s="1">
        <v>41037</v>
      </c>
      <c r="B634" t="s">
        <v>129</v>
      </c>
      <c r="C634" s="2" t="str">
        <f>HYPERLINK("http://snap.windin.com/ns/bulletin.php?id=1731350&amp;type=1", "华贸物流:首次公开发行股票招股意向书附录二")</f>
        <v>华贸物流:首次公开发行股票招股意向书附录二</v>
      </c>
    </row>
    <row r="635" spans="1:3" x14ac:dyDescent="0.15">
      <c r="A635" s="1">
        <v>41037</v>
      </c>
      <c r="B635" t="s">
        <v>129</v>
      </c>
      <c r="C635" s="2" t="str">
        <f>HYPERLINK("http://snap.windin.com/ns/bulletin.php?id=1238052&amp;type=1", "华贸物流:首次公开发行股票招股意向书附录三")</f>
        <v>华贸物流:首次公开发行股票招股意向书附录三</v>
      </c>
    </row>
    <row r="636" spans="1:3" x14ac:dyDescent="0.15">
      <c r="A636" s="1">
        <v>41037</v>
      </c>
      <c r="B636" t="s">
        <v>129</v>
      </c>
      <c r="C636" s="2" t="str">
        <f>HYPERLINK("http://snap.windin.com/ns/bulletin.php?id=89613&amp;type=1", "华贸物流:首次公开发行股票招股意向书摘要")</f>
        <v>华贸物流:首次公开发行股票招股意向书摘要</v>
      </c>
    </row>
    <row r="637" spans="1:3" x14ac:dyDescent="0.15">
      <c r="A637" s="1">
        <v>41036</v>
      </c>
      <c r="B637" t="s">
        <v>142</v>
      </c>
      <c r="C637" s="2" t="str">
        <f>HYPERLINK("http://snap.windin.com/ns/bulletin.php?id=1558468&amp;type=1", "戴维医疗:首次公开发行股票上市公告书")</f>
        <v>戴维医疗:首次公开发行股票上市公告书</v>
      </c>
    </row>
    <row r="638" spans="1:3" x14ac:dyDescent="0.15">
      <c r="A638" s="1">
        <v>41036</v>
      </c>
      <c r="B638" t="s">
        <v>143</v>
      </c>
      <c r="C638" s="2" t="str">
        <f>HYPERLINK("http://snap.windin.com/ns/bulletin.php?id=786236&amp;type=1", "邦讯技术:首次公开发行股票并在创业板上市上市公告书提示性公告")</f>
        <v>邦讯技术:首次公开发行股票并在创业板上市上市公告书提示性公告</v>
      </c>
    </row>
    <row r="639" spans="1:3" x14ac:dyDescent="0.15">
      <c r="A639" s="1">
        <v>41036</v>
      </c>
      <c r="B639" t="s">
        <v>143</v>
      </c>
      <c r="C639" s="2" t="str">
        <f>HYPERLINK("http://snap.windin.com/ns/bulletin.php?id=597665&amp;type=1", "邦讯技术:首次公开发行股票并在创业板上市上市公告书")</f>
        <v>邦讯技术:首次公开发行股票并在创业板上市上市公告书</v>
      </c>
    </row>
    <row r="640" spans="1:3" x14ac:dyDescent="0.15">
      <c r="A640" s="1">
        <v>41036</v>
      </c>
      <c r="B640" t="s">
        <v>142</v>
      </c>
      <c r="C640" s="2" t="str">
        <f>HYPERLINK("http://snap.windin.com/ns/bulletin.php?id=405704&amp;type=1", "戴维医疗:首次公开发行股票并在创业板上市公告书提示性公告")</f>
        <v>戴维医疗:首次公开发行股票并在创业板上市公告书提示性公告</v>
      </c>
    </row>
    <row r="641" spans="1:3" x14ac:dyDescent="0.15">
      <c r="A641" s="1">
        <v>41033</v>
      </c>
      <c r="B641" t="s">
        <v>131</v>
      </c>
      <c r="C641" s="2" t="str">
        <f>HYPERLINK("http://snap.windin.com/ns/bulletin.php?id=2126810&amp;type=1", "顺威股份:首次公开发行股票招股意向书摘要")</f>
        <v>顺威股份:首次公开发行股票招股意向书摘要</v>
      </c>
    </row>
    <row r="642" spans="1:3" x14ac:dyDescent="0.15">
      <c r="A642" s="1">
        <v>41033</v>
      </c>
      <c r="B642" t="s">
        <v>131</v>
      </c>
      <c r="C642" s="2" t="str">
        <f>HYPERLINK("http://snap.windin.com/ns/bulletin.php?id=1950050&amp;type=1", "顺威股份:首次公开发行股票招股意向书")</f>
        <v>顺威股份:首次公开发行股票招股意向书</v>
      </c>
    </row>
    <row r="643" spans="1:3" x14ac:dyDescent="0.15">
      <c r="A643" s="1">
        <v>41033</v>
      </c>
      <c r="B643" t="s">
        <v>144</v>
      </c>
      <c r="C643" s="2" t="str">
        <f>HYPERLINK("http://snap.windin.com/ns/bulletin.php?id=859228&amp;type=1", "明星电缆:首次公开发行股票招股说明书")</f>
        <v>明星电缆:首次公开发行股票招股说明书</v>
      </c>
    </row>
    <row r="644" spans="1:3" x14ac:dyDescent="0.15">
      <c r="A644" s="1">
        <v>41033</v>
      </c>
      <c r="B644" t="s">
        <v>130</v>
      </c>
      <c r="C644" s="2" t="str">
        <f>HYPERLINK("http://snap.windin.com/ns/bulletin.php?id=596802&amp;type=1", "东诚生化:首次公开发行股票并上市招股意向书摘要")</f>
        <v>东诚生化:首次公开发行股票并上市招股意向书摘要</v>
      </c>
    </row>
    <row r="645" spans="1:3" x14ac:dyDescent="0.15">
      <c r="A645" s="1">
        <v>41033</v>
      </c>
      <c r="B645" t="s">
        <v>144</v>
      </c>
      <c r="C645" s="2" t="str">
        <f>HYPERLINK("http://snap.windin.com/ns/bulletin.php?id=566226&amp;type=1", "明星电缆:首次公开发行A股股票上市公告书")</f>
        <v>明星电缆:首次公开发行A股股票上市公告书</v>
      </c>
    </row>
    <row r="646" spans="1:3" x14ac:dyDescent="0.15">
      <c r="A646" s="1">
        <v>41033</v>
      </c>
      <c r="B646" t="s">
        <v>132</v>
      </c>
      <c r="C646" s="2" t="str">
        <f>HYPERLINK("http://snap.windin.com/ns/bulletin.php?id=553357&amp;type=1", "浙江美大:首次公开发行股票招股意向书摘要")</f>
        <v>浙江美大:首次公开发行股票招股意向书摘要</v>
      </c>
    </row>
    <row r="647" spans="1:3" x14ac:dyDescent="0.15">
      <c r="A647" s="1">
        <v>41033</v>
      </c>
      <c r="B647" t="s">
        <v>145</v>
      </c>
      <c r="C647" s="2" t="str">
        <f>HYPERLINK("http://snap.windin.com/ns/bulletin.php?id=448454&amp;type=1", "兴业科技:首次公开发行股票上市公告书")</f>
        <v>兴业科技:首次公开发行股票上市公告书</v>
      </c>
    </row>
    <row r="648" spans="1:3" x14ac:dyDescent="0.15">
      <c r="A648" s="1">
        <v>41033</v>
      </c>
      <c r="B648" t="s">
        <v>132</v>
      </c>
      <c r="C648" s="2" t="str">
        <f>HYPERLINK("http://snap.windin.com/ns/bulletin.php?id=445462&amp;type=1", "浙江美大:首次公开发行股票招股意向书")</f>
        <v>浙江美大:首次公开发行股票招股意向书</v>
      </c>
    </row>
    <row r="649" spans="1:3" x14ac:dyDescent="0.15">
      <c r="A649" s="1">
        <v>41033</v>
      </c>
      <c r="B649" t="s">
        <v>130</v>
      </c>
      <c r="C649" s="2" t="str">
        <f>HYPERLINK("http://snap.windin.com/ns/bulletin.php?id=417111&amp;type=1", "东诚生化:首次公开发行股票并上市招股意向书")</f>
        <v>东诚生化:首次公开发行股票并上市招股意向书</v>
      </c>
    </row>
    <row r="650" spans="1:3" x14ac:dyDescent="0.15">
      <c r="A650" s="1">
        <v>41031</v>
      </c>
      <c r="B650" t="s">
        <v>134</v>
      </c>
      <c r="C650" s="2" t="str">
        <f>HYPERLINK("http://snap.windin.com/ns/bulletin.php?id=2122611&amp;type=1", "麦捷科技:首次公开发行股票并在创业板上市招股意向书")</f>
        <v>麦捷科技:首次公开发行股票并在创业板上市招股意向书</v>
      </c>
    </row>
    <row r="651" spans="1:3" x14ac:dyDescent="0.15">
      <c r="A651" s="1">
        <v>41031</v>
      </c>
      <c r="B651" t="s">
        <v>146</v>
      </c>
      <c r="C651" s="2" t="str">
        <f>HYPERLINK("http://snap.windin.com/ns/bulletin.php?id=1745348&amp;type=1", "翠微股份:首次公开发行A股股票上市公告书")</f>
        <v>翠微股份:首次公开发行A股股票上市公告书</v>
      </c>
    </row>
    <row r="652" spans="1:3" x14ac:dyDescent="0.15">
      <c r="A652" s="1">
        <v>41031</v>
      </c>
      <c r="B652" t="s">
        <v>146</v>
      </c>
      <c r="C652" s="2" t="str">
        <f>HYPERLINK("http://snap.windin.com/ns/bulletin.php?id=1246786&amp;type=1", "翠微股份:首次公开发行股票招股说明书")</f>
        <v>翠微股份:首次公开发行股票招股说明书</v>
      </c>
    </row>
    <row r="653" spans="1:3" x14ac:dyDescent="0.15">
      <c r="A653" s="1">
        <v>41031</v>
      </c>
      <c r="B653" t="s">
        <v>135</v>
      </c>
      <c r="C653" s="2" t="str">
        <f>HYPERLINK("http://snap.windin.com/ns/bulletin.php?id=1130120&amp;type=1", "同大股份:首次公开发行股票并在创业板上市招股意向书")</f>
        <v>同大股份:首次公开发行股票并在创业板上市招股意向书</v>
      </c>
    </row>
    <row r="654" spans="1:3" x14ac:dyDescent="0.15">
      <c r="A654" s="1">
        <v>41031</v>
      </c>
      <c r="B654" t="s">
        <v>139</v>
      </c>
      <c r="C654" s="2" t="str">
        <f>HYPERLINK("http://snap.windin.com/ns/bulletin.php?id=825182&amp;type=1", "珈伟股份:首次公开发行股票并在创业板上市招股说明书")</f>
        <v>珈伟股份:首次公开发行股票并在创业板上市招股说明书</v>
      </c>
    </row>
    <row r="655" spans="1:3" x14ac:dyDescent="0.15">
      <c r="A655" s="1">
        <v>41031</v>
      </c>
      <c r="B655" t="s">
        <v>147</v>
      </c>
      <c r="C655" s="2" t="str">
        <f>HYPERLINK("http://snap.windin.com/ns/bulletin.php?id=686279&amp;type=1", "西部证券:首次公开发行股票上市公告书")</f>
        <v>西部证券:首次公开发行股票上市公告书</v>
      </c>
    </row>
    <row r="656" spans="1:3" x14ac:dyDescent="0.15">
      <c r="A656" s="1">
        <v>41026</v>
      </c>
      <c r="B656" t="s">
        <v>127</v>
      </c>
      <c r="C656" s="2" t="str">
        <f>HYPERLINK("http://snap.windin.com/ns/bulletin.php?id=1846756&amp;type=1", "海达股份:首次公开发行股票并在创业板上市招股意向书")</f>
        <v>海达股份:首次公开发行股票并在创业板上市招股意向书</v>
      </c>
    </row>
    <row r="657" spans="1:3" x14ac:dyDescent="0.15">
      <c r="A657" s="1">
        <v>41026</v>
      </c>
      <c r="B657" t="s">
        <v>140</v>
      </c>
      <c r="C657" s="2" t="str">
        <f>HYPERLINK("http://snap.windin.com/ns/bulletin.php?id=1461048&amp;type=1", "掌趣科技:首次公开发行股票并在创业板上市招股说明书")</f>
        <v>掌趣科技:首次公开发行股票并在创业板上市招股说明书</v>
      </c>
    </row>
    <row r="658" spans="1:3" x14ac:dyDescent="0.15">
      <c r="A658" s="1">
        <v>41026</v>
      </c>
      <c r="B658" t="s">
        <v>141</v>
      </c>
      <c r="C658" s="2" t="str">
        <f>HYPERLINK("http://snap.windin.com/ns/bulletin.php?id=1237230&amp;type=1", "晶盛机电:首次公开发行股票并在创业板上市招股说明书")</f>
        <v>晶盛机电:首次公开发行股票并在创业板上市招股说明书</v>
      </c>
    </row>
    <row r="659" spans="1:3" x14ac:dyDescent="0.15">
      <c r="A659" s="1">
        <v>41026</v>
      </c>
      <c r="B659" t="s">
        <v>133</v>
      </c>
      <c r="C659" s="2" t="str">
        <f>HYPERLINK("http://snap.windin.com/ns/bulletin.php?id=172409&amp;type=1", "博晖创新:首次公开发行股票并在创业板上市招股意向书")</f>
        <v>博晖创新:首次公开发行股票并在创业板上市招股意向书</v>
      </c>
    </row>
    <row r="660" spans="1:3" x14ac:dyDescent="0.15">
      <c r="A660" s="1">
        <v>41025</v>
      </c>
      <c r="B660" t="s">
        <v>148</v>
      </c>
      <c r="C660" s="2" t="str">
        <f>HYPERLINK("http://snap.windin.com/ns/bulletin.php?id=1621306&amp;type=1", "N东江:首次公开发行股票上市公告书（更新后）")</f>
        <v>N东江:首次公开发行股票上市公告书（更新后）</v>
      </c>
    </row>
    <row r="661" spans="1:3" x14ac:dyDescent="0.15">
      <c r="A661" s="1">
        <v>41025</v>
      </c>
      <c r="B661" t="s">
        <v>149</v>
      </c>
      <c r="C661" s="2" t="str">
        <f>HYPERLINK("http://snap.windin.com/ns/bulletin.php?id=1261651&amp;type=1", "人民网:首次公开发行股票招股说明书")</f>
        <v>人民网:首次公开发行股票招股说明书</v>
      </c>
    </row>
    <row r="662" spans="1:3" x14ac:dyDescent="0.15">
      <c r="A662" s="1">
        <v>41025</v>
      </c>
      <c r="B662" t="s">
        <v>149</v>
      </c>
      <c r="C662" s="2" t="str">
        <f>HYPERLINK("http://snap.windin.com/ns/bulletin.php?id=1257592&amp;type=1", "人民网:首次公开发行A股股票上市公告书")</f>
        <v>人民网:首次公开发行A股股票上市公告书</v>
      </c>
    </row>
    <row r="663" spans="1:3" x14ac:dyDescent="0.15">
      <c r="A663" s="1">
        <v>41025</v>
      </c>
      <c r="B663" t="s">
        <v>148</v>
      </c>
      <c r="C663" s="2" t="str">
        <f>HYPERLINK("http://snap.windin.com/ns/bulletin.php?id=770532&amp;type=1", "N东江:关于《首次公开发行股票上市公告书》之更正公告")</f>
        <v>N东江:关于《首次公开发行股票上市公告书》之更正公告</v>
      </c>
    </row>
    <row r="664" spans="1:3" x14ac:dyDescent="0.15">
      <c r="A664" s="1">
        <v>41024</v>
      </c>
      <c r="B664" t="s">
        <v>150</v>
      </c>
      <c r="C664" s="2" t="str">
        <f>HYPERLINK("http://snap.windin.com/ns/bulletin.php?id=1545908&amp;type=1", "龙泉股份:首次公开发行股票上市公告书")</f>
        <v>龙泉股份:首次公开发行股票上市公告书</v>
      </c>
    </row>
    <row r="665" spans="1:3" x14ac:dyDescent="0.15">
      <c r="A665" s="1">
        <v>41024</v>
      </c>
      <c r="B665" t="s">
        <v>151</v>
      </c>
      <c r="C665" s="2" t="str">
        <f>HYPERLINK("http://snap.windin.com/ns/bulletin.php?id=810903&amp;type=1", "奥康国际:首次公开发行股票招股说明书")</f>
        <v>奥康国际:首次公开发行股票招股说明书</v>
      </c>
    </row>
    <row r="666" spans="1:3" x14ac:dyDescent="0.15">
      <c r="A666" s="1">
        <v>41024</v>
      </c>
      <c r="B666" t="s">
        <v>148</v>
      </c>
      <c r="C666" s="2" t="str">
        <f>HYPERLINK("http://snap.windin.com/ns/bulletin.php?id=658585&amp;type=1", "东江环保:首次公开发行股票上市公告书")</f>
        <v>东江环保:首次公开发行股票上市公告书</v>
      </c>
    </row>
    <row r="667" spans="1:3" x14ac:dyDescent="0.15">
      <c r="A667" s="1">
        <v>41024</v>
      </c>
      <c r="B667" t="s">
        <v>151</v>
      </c>
      <c r="C667" s="2" t="str">
        <f>HYPERLINK("http://snap.windin.com/ns/bulletin.php?id=638187&amp;type=1", "奥康国际:首次公开发行股票上市公告书")</f>
        <v>奥康国际:首次公开发行股票上市公告书</v>
      </c>
    </row>
    <row r="668" spans="1:3" x14ac:dyDescent="0.15">
      <c r="A668" s="1">
        <v>41023</v>
      </c>
      <c r="B668" t="s">
        <v>138</v>
      </c>
      <c r="C668" s="2" t="str">
        <f>HYPERLINK("http://snap.windin.com/ns/bulletin.php?id=2116741&amp;type=1", "宏昌电子:首次公开发行股票招股意向书")</f>
        <v>宏昌电子:首次公开发行股票招股意向书</v>
      </c>
    </row>
    <row r="669" spans="1:3" x14ac:dyDescent="0.15">
      <c r="A669" s="1">
        <v>41023</v>
      </c>
      <c r="B669" t="s">
        <v>145</v>
      </c>
      <c r="C669" s="2" t="str">
        <f>HYPERLINK("http://snap.windin.com/ns/bulletin.php?id=1978912&amp;type=1", "兴业科技:首次公开发行股票招股说明书")</f>
        <v>兴业科技:首次公开发行股票招股说明书</v>
      </c>
    </row>
    <row r="670" spans="1:3" x14ac:dyDescent="0.15">
      <c r="A670" s="1">
        <v>41023</v>
      </c>
      <c r="B670" t="s">
        <v>138</v>
      </c>
      <c r="C670" s="2" t="str">
        <f>HYPERLINK("http://snap.windin.com/ns/bulletin.php?id=1646327&amp;type=1", "宏昌电子:首次公开发行股票招股意向书附录四")</f>
        <v>宏昌电子:首次公开发行股票招股意向书附录四</v>
      </c>
    </row>
    <row r="671" spans="1:3" x14ac:dyDescent="0.15">
      <c r="A671" s="1">
        <v>41023</v>
      </c>
      <c r="B671" t="s">
        <v>152</v>
      </c>
      <c r="C671" s="2" t="str">
        <f>HYPERLINK("http://snap.windin.com/ns/bulletin.php?id=1645386&amp;type=1", "任子行:首次公开发行股票并在创业板上市上市公告书提示性公告")</f>
        <v>任子行:首次公开发行股票并在创业板上市上市公告书提示性公告</v>
      </c>
    </row>
    <row r="672" spans="1:3" x14ac:dyDescent="0.15">
      <c r="A672" s="1">
        <v>41023</v>
      </c>
      <c r="B672" t="s">
        <v>152</v>
      </c>
      <c r="C672" s="2" t="str">
        <f>HYPERLINK("http://snap.windin.com/ns/bulletin.php?id=1481370&amp;type=1", "任子行:首次公开发行股票并在创业板上市上市公告书")</f>
        <v>任子行:首次公开发行股票并在创业板上市上市公告书</v>
      </c>
    </row>
    <row r="673" spans="1:3" x14ac:dyDescent="0.15">
      <c r="A673" s="1">
        <v>41023</v>
      </c>
      <c r="B673" t="s">
        <v>137</v>
      </c>
      <c r="C673" s="2" t="str">
        <f>HYPERLINK("http://snap.windin.com/ns/bulletin.php?id=1469354&amp;type=1", "日出东方:首次公开发行股票招股意向书附录三")</f>
        <v>日出东方:首次公开发行股票招股意向书附录三</v>
      </c>
    </row>
    <row r="674" spans="1:3" x14ac:dyDescent="0.15">
      <c r="A674" s="1">
        <v>41023</v>
      </c>
      <c r="B674" t="s">
        <v>143</v>
      </c>
      <c r="C674" s="2" t="str">
        <f>HYPERLINK("http://snap.windin.com/ns/bulletin.php?id=1411800&amp;type=1", "邦讯技术:首次公开发行股票并在创业板上市招股说明书")</f>
        <v>邦讯技术:首次公开发行股票并在创业板上市招股说明书</v>
      </c>
    </row>
    <row r="675" spans="1:3" x14ac:dyDescent="0.15">
      <c r="A675" s="1">
        <v>41023</v>
      </c>
      <c r="B675" t="s">
        <v>153</v>
      </c>
      <c r="C675" s="2" t="str">
        <f>HYPERLINK("http://snap.windin.com/ns/bulletin.php?id=1390051&amp;type=1", "天山生物:首次公开发行股票并在创业板上市公告书提示性公告")</f>
        <v>天山生物:首次公开发行股票并在创业板上市公告书提示性公告</v>
      </c>
    </row>
    <row r="676" spans="1:3" x14ac:dyDescent="0.15">
      <c r="A676" s="1">
        <v>41023</v>
      </c>
      <c r="B676" t="s">
        <v>138</v>
      </c>
      <c r="C676" s="2" t="str">
        <f>HYPERLINK("http://snap.windin.com/ns/bulletin.php?id=1324011&amp;type=1", "宏昌电子:首次公开发行股票招股意向书附录二")</f>
        <v>宏昌电子:首次公开发行股票招股意向书附录二</v>
      </c>
    </row>
    <row r="677" spans="1:3" x14ac:dyDescent="0.15">
      <c r="A677" s="1">
        <v>41023</v>
      </c>
      <c r="B677" t="s">
        <v>137</v>
      </c>
      <c r="C677" s="2" t="str">
        <f>HYPERLINK("http://snap.windin.com/ns/bulletin.php?id=1256841&amp;type=1", "日出东方:首次公开发行股票招股意向书摘要")</f>
        <v>日出东方:首次公开发行股票招股意向书摘要</v>
      </c>
    </row>
    <row r="678" spans="1:3" x14ac:dyDescent="0.15">
      <c r="A678" s="1">
        <v>41023</v>
      </c>
      <c r="B678" t="s">
        <v>154</v>
      </c>
      <c r="C678" s="2" t="str">
        <f>HYPERLINK("http://snap.windin.com/ns/bulletin.php?id=1241947&amp;type=1", "宜通世纪:首次公开发行股票并在创业板上市上市公告书提示公告")</f>
        <v>宜通世纪:首次公开发行股票并在创业板上市上市公告书提示公告</v>
      </c>
    </row>
    <row r="679" spans="1:3" x14ac:dyDescent="0.15">
      <c r="A679" s="1">
        <v>41023</v>
      </c>
      <c r="B679" t="s">
        <v>137</v>
      </c>
      <c r="C679" s="2" t="str">
        <f>HYPERLINK("http://snap.windin.com/ns/bulletin.php?id=1123827&amp;type=1", "日出东方:首次公开发行股票招股意向书附录一")</f>
        <v>日出东方:首次公开发行股票招股意向书附录一</v>
      </c>
    </row>
    <row r="680" spans="1:3" x14ac:dyDescent="0.15">
      <c r="A680" s="1">
        <v>41023</v>
      </c>
      <c r="B680" t="s">
        <v>145</v>
      </c>
      <c r="C680" s="2" t="str">
        <f>HYPERLINK("http://snap.windin.com/ns/bulletin.php?id=956285&amp;type=1", "兴业科技:首次公开发行股票招股说明书摘要")</f>
        <v>兴业科技:首次公开发行股票招股说明书摘要</v>
      </c>
    </row>
    <row r="681" spans="1:3" x14ac:dyDescent="0.15">
      <c r="A681" s="1">
        <v>41023</v>
      </c>
      <c r="B681" t="s">
        <v>153</v>
      </c>
      <c r="C681" s="2" t="str">
        <f>HYPERLINK("http://snap.windin.com/ns/bulletin.php?id=898337&amp;type=1", "天山生物:首次公开发行股票并在创业板上市上市公告书")</f>
        <v>天山生物:首次公开发行股票并在创业板上市上市公告书</v>
      </c>
    </row>
    <row r="682" spans="1:3" x14ac:dyDescent="0.15">
      <c r="A682" s="1">
        <v>41023</v>
      </c>
      <c r="B682" t="s">
        <v>137</v>
      </c>
      <c r="C682" s="2" t="str">
        <f>HYPERLINK("http://snap.windin.com/ns/bulletin.php?id=827302&amp;type=1", "日出东方:首次公开发行股票招股意向书附录二")</f>
        <v>日出东方:首次公开发行股票招股意向书附录二</v>
      </c>
    </row>
    <row r="683" spans="1:3" x14ac:dyDescent="0.15">
      <c r="A683" s="1">
        <v>41023</v>
      </c>
      <c r="B683" t="s">
        <v>137</v>
      </c>
      <c r="C683" s="2" t="str">
        <f>HYPERLINK("http://snap.windin.com/ns/bulletin.php?id=772982&amp;type=1", "日出东方:首次公开发行股票招股意向书")</f>
        <v>日出东方:首次公开发行股票招股意向书</v>
      </c>
    </row>
    <row r="684" spans="1:3" x14ac:dyDescent="0.15">
      <c r="A684" s="1">
        <v>41023</v>
      </c>
      <c r="B684" t="s">
        <v>138</v>
      </c>
      <c r="C684" s="2" t="str">
        <f>HYPERLINK("http://snap.windin.com/ns/bulletin.php?id=583662&amp;type=1", "宏昌电子:首次公开发行股票招股意向书附录三")</f>
        <v>宏昌电子:首次公开发行股票招股意向书附录三</v>
      </c>
    </row>
    <row r="685" spans="1:3" x14ac:dyDescent="0.15">
      <c r="A685" s="1">
        <v>41023</v>
      </c>
      <c r="B685" t="s">
        <v>154</v>
      </c>
      <c r="C685" s="2" t="str">
        <f>HYPERLINK("http://snap.windin.com/ns/bulletin.php?id=463765&amp;type=1", "宜通世纪:首次公开发行股票并在创业板上市公告书")</f>
        <v>宜通世纪:首次公开发行股票并在创业板上市公告书</v>
      </c>
    </row>
    <row r="686" spans="1:3" x14ac:dyDescent="0.15">
      <c r="A686" s="1">
        <v>41023</v>
      </c>
      <c r="B686" t="s">
        <v>138</v>
      </c>
      <c r="C686" s="2" t="str">
        <f>HYPERLINK("http://snap.windin.com/ns/bulletin.php?id=145325&amp;type=1", "宏昌电子:首次公开发行股票招股意向书摘要")</f>
        <v>宏昌电子:首次公开发行股票招股意向书摘要</v>
      </c>
    </row>
    <row r="687" spans="1:3" x14ac:dyDescent="0.15">
      <c r="A687" s="1">
        <v>41023</v>
      </c>
      <c r="B687" t="s">
        <v>138</v>
      </c>
      <c r="C687" s="2" t="str">
        <f>HYPERLINK("http://snap.windin.com/ns/bulletin.php?id=86856&amp;type=1", "宏昌电子:首次公开发行股票招股意向书附录一")</f>
        <v>宏昌电子:首次公开发行股票招股意向书附录一</v>
      </c>
    </row>
    <row r="688" spans="1:3" x14ac:dyDescent="0.15">
      <c r="A688" s="1">
        <v>41022</v>
      </c>
      <c r="B688" t="s">
        <v>142</v>
      </c>
      <c r="C688" s="2" t="str">
        <f>HYPERLINK("http://snap.windin.com/ns/bulletin.php?id=1668612&amp;type=1", "戴维医疗:首次公开发行股票并在创业板上市招股说明书")</f>
        <v>戴维医疗:首次公开发行股票并在创业板上市招股说明书</v>
      </c>
    </row>
    <row r="689" spans="1:3" x14ac:dyDescent="0.15">
      <c r="A689" s="1">
        <v>41019</v>
      </c>
      <c r="B689" t="s">
        <v>139</v>
      </c>
      <c r="C689" s="2" t="str">
        <f>HYPERLINK("http://snap.windin.com/ns/bulletin.php?id=1859166&amp;type=1", "珈伟股份:首次公开发行股票并在创业板上市招股意向书")</f>
        <v>珈伟股份:首次公开发行股票并在创业板上市招股意向书</v>
      </c>
    </row>
    <row r="690" spans="1:3" x14ac:dyDescent="0.15">
      <c r="A690" s="1">
        <v>41019</v>
      </c>
      <c r="B690" t="s">
        <v>140</v>
      </c>
      <c r="C690" s="2" t="str">
        <f>HYPERLINK("http://snap.windin.com/ns/bulletin.php?id=1856930&amp;type=1", "掌趣科技:首次公开发行股票并在创业板上市招股意向书")</f>
        <v>掌趣科技:首次公开发行股票并在创业板上市招股意向书</v>
      </c>
    </row>
    <row r="691" spans="1:3" x14ac:dyDescent="0.15">
      <c r="A691" s="1">
        <v>41019</v>
      </c>
      <c r="B691" t="s">
        <v>141</v>
      </c>
      <c r="C691" s="2" t="str">
        <f>HYPERLINK("http://snap.windin.com/ns/bulletin.php?id=1653201&amp;type=1", "晶盛机电:首次公开发行股票并在创业板上市招股意向书")</f>
        <v>晶盛机电:首次公开发行股票并在创业板上市招股意向书</v>
      </c>
    </row>
    <row r="692" spans="1:3" x14ac:dyDescent="0.15">
      <c r="A692" s="1">
        <v>41019</v>
      </c>
      <c r="B692" t="s">
        <v>155</v>
      </c>
      <c r="C692" s="2" t="str">
        <f>HYPERLINK("http://snap.windin.com/ns/bulletin.php?id=1566981&amp;type=1", "怡球资源:首次公开发行A股股票上市公告书")</f>
        <v>怡球资源:首次公开发行A股股票上市公告书</v>
      </c>
    </row>
    <row r="693" spans="1:3" x14ac:dyDescent="0.15">
      <c r="A693" s="1">
        <v>41019</v>
      </c>
      <c r="B693" t="s">
        <v>155</v>
      </c>
      <c r="C693" s="2" t="str">
        <f>HYPERLINK("http://snap.windin.com/ns/bulletin.php?id=793692&amp;type=1", "怡球资源:首次公开发行股票招股说明书")</f>
        <v>怡球资源:首次公开发行股票招股说明书</v>
      </c>
    </row>
    <row r="694" spans="1:3" x14ac:dyDescent="0.15">
      <c r="A694" s="1">
        <v>41019</v>
      </c>
      <c r="B694" t="s">
        <v>147</v>
      </c>
      <c r="C694" s="2" t="str">
        <f>HYPERLINK("http://snap.windin.com/ns/bulletin.php?id=721983&amp;type=1", "西部证券:首次公开发行股票招股说明书摘要")</f>
        <v>西部证券:首次公开发行股票招股说明书摘要</v>
      </c>
    </row>
    <row r="695" spans="1:3" x14ac:dyDescent="0.15">
      <c r="A695" s="1">
        <v>41019</v>
      </c>
      <c r="B695" t="s">
        <v>147</v>
      </c>
      <c r="C695" s="2" t="str">
        <f>HYPERLINK("http://snap.windin.com/ns/bulletin.php?id=98345&amp;type=1", "西部证券:首次公开发行股票招股说明书")</f>
        <v>西部证券:首次公开发行股票招股说明书</v>
      </c>
    </row>
    <row r="696" spans="1:3" x14ac:dyDescent="0.15">
      <c r="A696" s="1">
        <v>41017</v>
      </c>
      <c r="B696" t="s">
        <v>156</v>
      </c>
      <c r="C696" s="2" t="str">
        <f>HYPERLINK("http://snap.windin.com/ns/bulletin.php?id=1180315&amp;type=1", "海通证券:H股--招股说明书（中文）")</f>
        <v>海通证券:H股--招股说明书（中文）</v>
      </c>
    </row>
    <row r="697" spans="1:3" x14ac:dyDescent="0.15">
      <c r="A697" s="1">
        <v>41017</v>
      </c>
      <c r="B697" t="s">
        <v>156</v>
      </c>
      <c r="C697" s="2" t="str">
        <f>HYPERLINK("http://snap.windin.com/ns/bulletin.php?id=962018&amp;type=1", "海通证券:H股--招股说明书（英文）")</f>
        <v>海通证券:H股--招股说明书（英文）</v>
      </c>
    </row>
    <row r="698" spans="1:3" x14ac:dyDescent="0.15">
      <c r="A698" s="1">
        <v>41016</v>
      </c>
      <c r="B698" t="s">
        <v>144</v>
      </c>
      <c r="C698" s="2" t="str">
        <f>HYPERLINK("http://snap.windin.com/ns/bulletin.php?id=2041383&amp;type=1", "明星电缆:首次公开发行A股股票招股意向书附录一")</f>
        <v>明星电缆:首次公开发行A股股票招股意向书附录一</v>
      </c>
    </row>
    <row r="699" spans="1:3" x14ac:dyDescent="0.15">
      <c r="A699" s="1">
        <v>41016</v>
      </c>
      <c r="B699" t="s">
        <v>150</v>
      </c>
      <c r="C699" s="2" t="str">
        <f>HYPERLINK("http://snap.windin.com/ns/bulletin.php?id=1844495&amp;type=1", "龙泉股份:首次公开发行股票招股说明书摘要")</f>
        <v>龙泉股份:首次公开发行股票招股说明书摘要</v>
      </c>
    </row>
    <row r="700" spans="1:3" x14ac:dyDescent="0.15">
      <c r="A700" s="1">
        <v>41016</v>
      </c>
      <c r="B700" t="s">
        <v>144</v>
      </c>
      <c r="C700" s="2" t="str">
        <f>HYPERLINK("http://snap.windin.com/ns/bulletin.php?id=1718893&amp;type=1", "明星电缆:首次公开发行A股股票招股意向书附录三")</f>
        <v>明星电缆:首次公开发行A股股票招股意向书附录三</v>
      </c>
    </row>
    <row r="701" spans="1:3" x14ac:dyDescent="0.15">
      <c r="A701" s="1">
        <v>41016</v>
      </c>
      <c r="B701" t="s">
        <v>144</v>
      </c>
      <c r="C701" s="2" t="str">
        <f>HYPERLINK("http://snap.windin.com/ns/bulletin.php?id=1650660&amp;type=1", "明星电缆:首次公开发行股票招股意向书摘要")</f>
        <v>明星电缆:首次公开发行股票招股意向书摘要</v>
      </c>
    </row>
    <row r="702" spans="1:3" x14ac:dyDescent="0.15">
      <c r="A702" s="1">
        <v>41016</v>
      </c>
      <c r="B702" t="s">
        <v>144</v>
      </c>
      <c r="C702" s="2" t="str">
        <f>HYPERLINK("http://snap.windin.com/ns/bulletin.php?id=1600571&amp;type=1", "明星电缆:首次公开发行A股股票招股意向书附录二")</f>
        <v>明星电缆:首次公开发行A股股票招股意向书附录二</v>
      </c>
    </row>
    <row r="703" spans="1:3" x14ac:dyDescent="0.15">
      <c r="A703" s="1">
        <v>41016</v>
      </c>
      <c r="B703" t="s">
        <v>150</v>
      </c>
      <c r="C703" s="2" t="str">
        <f>HYPERLINK("http://snap.windin.com/ns/bulletin.php?id=1343380&amp;type=1", "龙泉股份:首次公开发行股票招股说明书")</f>
        <v>龙泉股份:首次公开发行股票招股说明书</v>
      </c>
    </row>
    <row r="704" spans="1:3" x14ac:dyDescent="0.15">
      <c r="A704" s="1">
        <v>41016</v>
      </c>
      <c r="B704" t="s">
        <v>145</v>
      </c>
      <c r="C704" s="2" t="str">
        <f>HYPERLINK("http://snap.windin.com/ns/bulletin.php?id=1056256&amp;type=1", "兴业科技:首次公开发行股票招股意向书")</f>
        <v>兴业科技:首次公开发行股票招股意向书</v>
      </c>
    </row>
    <row r="705" spans="1:3" x14ac:dyDescent="0.15">
      <c r="A705" s="1">
        <v>41016</v>
      </c>
      <c r="B705" t="s">
        <v>144</v>
      </c>
      <c r="C705" s="2" t="str">
        <f>HYPERLINK("http://snap.windin.com/ns/bulletin.php?id=930220&amp;type=1", "明星电缆:首次公开发行股票招股意向书")</f>
        <v>明星电缆:首次公开发行股票招股意向书</v>
      </c>
    </row>
    <row r="706" spans="1:3" x14ac:dyDescent="0.15">
      <c r="A706" s="1">
        <v>41016</v>
      </c>
      <c r="B706" t="s">
        <v>145</v>
      </c>
      <c r="C706" s="2" t="str">
        <f>HYPERLINK("http://snap.windin.com/ns/bulletin.php?id=810171&amp;type=1", "兴业科技:首次公开发行股票招股意向书摘要")</f>
        <v>兴业科技:首次公开发行股票招股意向书摘要</v>
      </c>
    </row>
    <row r="707" spans="1:3" x14ac:dyDescent="0.15">
      <c r="A707" s="1">
        <v>41016</v>
      </c>
      <c r="B707" t="s">
        <v>144</v>
      </c>
      <c r="C707" s="2" t="str">
        <f>HYPERLINK("http://snap.windin.com/ns/bulletin.php?id=153854&amp;type=1", "明星电缆:首次公开发行A股股票招股意向书附录四")</f>
        <v>明星电缆:首次公开发行A股股票招股意向书附录四</v>
      </c>
    </row>
    <row r="708" spans="1:3" x14ac:dyDescent="0.15">
      <c r="A708" s="1">
        <v>41015</v>
      </c>
      <c r="B708" t="s">
        <v>148</v>
      </c>
      <c r="C708" s="2" t="str">
        <f>HYPERLINK("http://snap.windin.com/ns/bulletin.php?id=1929989&amp;type=1", "东江环保:首次公开发行A股股票招股说明书摘要")</f>
        <v>东江环保:首次公开发行A股股票招股说明书摘要</v>
      </c>
    </row>
    <row r="709" spans="1:3" x14ac:dyDescent="0.15">
      <c r="A709" s="1">
        <v>41015</v>
      </c>
      <c r="B709" t="s">
        <v>148</v>
      </c>
      <c r="C709" s="2" t="str">
        <f>HYPERLINK("http://snap.windin.com/ns/bulletin.php?id=1720342&amp;type=1", "东江环保:首次公开发行A股股票招股说明书")</f>
        <v>东江环保:首次公开发行A股股票招股说明书</v>
      </c>
    </row>
    <row r="710" spans="1:3" x14ac:dyDescent="0.15">
      <c r="A710" s="1">
        <v>41015</v>
      </c>
      <c r="B710" t="s">
        <v>153</v>
      </c>
      <c r="C710" s="2" t="str">
        <f>HYPERLINK("http://snap.windin.com/ns/bulletin.php?id=1563343&amp;type=1", "天山生物:首次公开发行股票并在创业板上市招股说明书")</f>
        <v>天山生物:首次公开发行股票并在创业板上市招股说明书</v>
      </c>
    </row>
    <row r="711" spans="1:3" x14ac:dyDescent="0.15">
      <c r="A711" s="1">
        <v>41015</v>
      </c>
      <c r="B711" t="s">
        <v>143</v>
      </c>
      <c r="C711" s="2" t="str">
        <f>HYPERLINK("http://snap.windin.com/ns/bulletin.php?id=429834&amp;type=1", "邦讯技术:首次公开发行股票并在创业板上市招股意向书")</f>
        <v>邦讯技术:首次公开发行股票并在创业板上市招股意向书</v>
      </c>
    </row>
    <row r="712" spans="1:3" x14ac:dyDescent="0.15">
      <c r="A712" s="1">
        <v>41012</v>
      </c>
      <c r="B712" t="s">
        <v>147</v>
      </c>
      <c r="C712" s="2" t="str">
        <f>HYPERLINK("http://snap.windin.com/ns/bulletin.php?id=1182468&amp;type=1", "西部证券:首次公开发行股票招股意向书")</f>
        <v>西部证券:首次公开发行股票招股意向书</v>
      </c>
    </row>
    <row r="713" spans="1:3" x14ac:dyDescent="0.15">
      <c r="A713" s="1">
        <v>41012</v>
      </c>
      <c r="B713" t="s">
        <v>157</v>
      </c>
      <c r="C713" s="2" t="str">
        <f>HYPERLINK("http://snap.windin.com/ns/bulletin.php?id=952687&amp;type=1", "华声股份:首次公开发行股票上市公告书")</f>
        <v>华声股份:首次公开发行股票上市公告书</v>
      </c>
    </row>
    <row r="714" spans="1:3" x14ac:dyDescent="0.15">
      <c r="A714" s="1">
        <v>41012</v>
      </c>
      <c r="B714" t="s">
        <v>142</v>
      </c>
      <c r="C714" s="2" t="str">
        <f>HYPERLINK("http://snap.windin.com/ns/bulletin.php?id=936104&amp;type=1", "戴维医疗:首次公开发行股票并在创业板上市招股意向书")</f>
        <v>戴维医疗:首次公开发行股票并在创业板上市招股意向书</v>
      </c>
    </row>
    <row r="715" spans="1:3" x14ac:dyDescent="0.15">
      <c r="A715" s="1">
        <v>41012</v>
      </c>
      <c r="B715" t="s">
        <v>147</v>
      </c>
      <c r="C715" s="2" t="str">
        <f>HYPERLINK("http://snap.windin.com/ns/bulletin.php?id=756936&amp;type=1", "西部证券:首次公开发行招股意向书摘要")</f>
        <v>西部证券:首次公开发行招股意向书摘要</v>
      </c>
    </row>
    <row r="716" spans="1:3" x14ac:dyDescent="0.15">
      <c r="A716" s="1">
        <v>41012</v>
      </c>
      <c r="B716" t="s">
        <v>158</v>
      </c>
      <c r="C716" s="2" t="str">
        <f>HYPERLINK("http://snap.windin.com/ns/bulletin.php?id=546153&amp;type=1", "康达新材:首次公开发行股票上市公告书")</f>
        <v>康达新材:首次公开发行股票上市公告书</v>
      </c>
    </row>
    <row r="717" spans="1:3" x14ac:dyDescent="0.15">
      <c r="A717" s="1">
        <v>41012</v>
      </c>
      <c r="B717" t="s">
        <v>152</v>
      </c>
      <c r="C717" s="2" t="str">
        <f>HYPERLINK("http://snap.windin.com/ns/bulletin.php?id=495008&amp;type=1", "任子行:首次公开发行股票并在创业板上市招股说明书")</f>
        <v>任子行:首次公开发行股票并在创业板上市招股说明书</v>
      </c>
    </row>
    <row r="718" spans="1:3" x14ac:dyDescent="0.15">
      <c r="A718" s="1">
        <v>41012</v>
      </c>
      <c r="B718" t="s">
        <v>154</v>
      </c>
      <c r="C718" s="2" t="str">
        <f>HYPERLINK("http://snap.windin.com/ns/bulletin.php?id=236429&amp;type=1", "宜通世纪:首次公开发行股票并在创业板上市招股说明书")</f>
        <v>宜通世纪:首次公开发行股票并在创业板上市招股说明书</v>
      </c>
    </row>
    <row r="719" spans="1:3" x14ac:dyDescent="0.15">
      <c r="A719" s="1">
        <v>41012</v>
      </c>
      <c r="B719" t="s">
        <v>159</v>
      </c>
      <c r="C719" s="2" t="str">
        <f>HYPERLINK("http://snap.windin.com/ns/bulletin.php?id=80429&amp;type=1", "奥马电器:首次公开发行股票上市公告书")</f>
        <v>奥马电器:首次公开发行股票上市公告书</v>
      </c>
    </row>
    <row r="720" spans="1:3" x14ac:dyDescent="0.15">
      <c r="A720" s="1">
        <v>41009</v>
      </c>
      <c r="B720" t="s">
        <v>151</v>
      </c>
      <c r="C720" s="2" t="str">
        <f>HYPERLINK("http://snap.windin.com/ns/bulletin.php?id=2129163&amp;type=1", "奥康国际:首次公开发行A股股票招股意向书附录四")</f>
        <v>奥康国际:首次公开发行A股股票招股意向书附录四</v>
      </c>
    </row>
    <row r="721" spans="1:3" x14ac:dyDescent="0.15">
      <c r="A721" s="1">
        <v>41009</v>
      </c>
      <c r="B721" t="s">
        <v>146</v>
      </c>
      <c r="C721" s="2" t="str">
        <f>HYPERLINK("http://snap.windin.com/ns/bulletin.php?id=1982435&amp;type=1", "翠微股份:首次公开发行A股股票招股意向书附录")</f>
        <v>翠微股份:首次公开发行A股股票招股意向书附录</v>
      </c>
    </row>
    <row r="722" spans="1:3" x14ac:dyDescent="0.15">
      <c r="A722" s="1">
        <v>41009</v>
      </c>
      <c r="B722" t="s">
        <v>151</v>
      </c>
      <c r="C722" s="2" t="str">
        <f>HYPERLINK("http://snap.windin.com/ns/bulletin.php?id=1945413&amp;type=1", "奥康国际:首次公开发行A股股票招股意向书附录二")</f>
        <v>奥康国际:首次公开发行A股股票招股意向书附录二</v>
      </c>
    </row>
    <row r="723" spans="1:3" x14ac:dyDescent="0.15">
      <c r="A723" s="1">
        <v>41009</v>
      </c>
      <c r="B723" t="s">
        <v>160</v>
      </c>
      <c r="C723" s="2" t="str">
        <f>HYPERLINK("http://snap.windin.com/ns/bulletin.php?id=1895377&amp;type=1", "N吉艾:关于《吉艾科技（北京）股份公司首次开发行票并在创业板上市之上市公告书》的更正公告")</f>
        <v>N吉艾:关于《吉艾科技（北京）股份公司首次开发行票并在创业板上市之上市公告书》的更正公告</v>
      </c>
    </row>
    <row r="724" spans="1:3" x14ac:dyDescent="0.15">
      <c r="A724" s="1">
        <v>41009</v>
      </c>
      <c r="B724" t="s">
        <v>146</v>
      </c>
      <c r="C724" s="2" t="str">
        <f>HYPERLINK("http://snap.windin.com/ns/bulletin.php?id=1861113&amp;type=1", "翠微股份:首次公开发行股票招股意向书摘要")</f>
        <v>翠微股份:首次公开发行股票招股意向书摘要</v>
      </c>
    </row>
    <row r="725" spans="1:3" x14ac:dyDescent="0.15">
      <c r="A725" s="1">
        <v>41009</v>
      </c>
      <c r="B725" t="s">
        <v>161</v>
      </c>
      <c r="C725" s="2" t="str">
        <f>HYPERLINK("http://snap.windin.com/ns/bulletin.php?id=1859881&amp;type=1", "隆基股份:首次公开发行A股股票上市公告书")</f>
        <v>隆基股份:首次公开发行A股股票上市公告书</v>
      </c>
    </row>
    <row r="726" spans="1:3" x14ac:dyDescent="0.15">
      <c r="A726" s="1">
        <v>41009</v>
      </c>
      <c r="B726" t="s">
        <v>161</v>
      </c>
      <c r="C726" s="2" t="str">
        <f>HYPERLINK("http://snap.windin.com/ns/bulletin.php?id=1747454&amp;type=1", "隆基股份:首次公开发行股票招股说明书")</f>
        <v>隆基股份:首次公开发行股票招股说明书</v>
      </c>
    </row>
    <row r="727" spans="1:3" x14ac:dyDescent="0.15">
      <c r="A727" s="1">
        <v>41009</v>
      </c>
      <c r="B727" t="s">
        <v>151</v>
      </c>
      <c r="C727" s="2" t="str">
        <f>HYPERLINK("http://snap.windin.com/ns/bulletin.php?id=1665642&amp;type=1", "奥康国际:首次公开发行A股股票招股意向书附录一")</f>
        <v>奥康国际:首次公开发行A股股票招股意向书附录一</v>
      </c>
    </row>
    <row r="728" spans="1:3" x14ac:dyDescent="0.15">
      <c r="A728" s="1">
        <v>41009</v>
      </c>
      <c r="B728" t="s">
        <v>150</v>
      </c>
      <c r="C728" s="2" t="str">
        <f>HYPERLINK("http://snap.windin.com/ns/bulletin.php?id=1384412&amp;type=1", "龙泉股份:首次公开发行股票招股意向书")</f>
        <v>龙泉股份:首次公开发行股票招股意向书</v>
      </c>
    </row>
    <row r="729" spans="1:3" x14ac:dyDescent="0.15">
      <c r="A729" s="1">
        <v>41009</v>
      </c>
      <c r="B729" t="s">
        <v>151</v>
      </c>
      <c r="C729" s="2" t="str">
        <f>HYPERLINK("http://snap.windin.com/ns/bulletin.php?id=1319567&amp;type=1", "奥康国际:首次公开发行A股股票招股意向书附录三")</f>
        <v>奥康国际:首次公开发行A股股票招股意向书附录三</v>
      </c>
    </row>
    <row r="730" spans="1:3" x14ac:dyDescent="0.15">
      <c r="A730" s="1">
        <v>41009</v>
      </c>
      <c r="B730" t="s">
        <v>150</v>
      </c>
      <c r="C730" s="2" t="str">
        <f>HYPERLINK("http://snap.windin.com/ns/bulletin.php?id=809275&amp;type=1", "龙泉股份:首次公开发行股票招股意向书摘要")</f>
        <v>龙泉股份:首次公开发行股票招股意向书摘要</v>
      </c>
    </row>
    <row r="731" spans="1:3" x14ac:dyDescent="0.15">
      <c r="A731" s="1">
        <v>41009</v>
      </c>
      <c r="B731" t="s">
        <v>160</v>
      </c>
      <c r="C731" s="2" t="str">
        <f>HYPERLINK("http://snap.windin.com/ns/bulletin.php?id=596556&amp;type=1", "N吉艾:首次公开发行股票并在创业板上市之上市公告书（更新后）")</f>
        <v>N吉艾:首次公开发行股票并在创业板上市之上市公告书（更新后）</v>
      </c>
    </row>
    <row r="732" spans="1:3" x14ac:dyDescent="0.15">
      <c r="A732" s="1">
        <v>41009</v>
      </c>
      <c r="B732" t="s">
        <v>146</v>
      </c>
      <c r="C732" s="2" t="str">
        <f>HYPERLINK("http://snap.windin.com/ns/bulletin.php?id=402282&amp;type=1", "翠微股份:首次公开发行股票招股意向书")</f>
        <v>翠微股份:首次公开发行股票招股意向书</v>
      </c>
    </row>
    <row r="733" spans="1:3" x14ac:dyDescent="0.15">
      <c r="A733" s="1">
        <v>41009</v>
      </c>
      <c r="B733" t="s">
        <v>151</v>
      </c>
      <c r="C733" s="2" t="str">
        <f>HYPERLINK("http://snap.windin.com/ns/bulletin.php?id=221991&amp;type=1", "奥康国际:首次公开发行股票招股意向书摘要")</f>
        <v>奥康国际:首次公开发行股票招股意向书摘要</v>
      </c>
    </row>
    <row r="734" spans="1:3" x14ac:dyDescent="0.15">
      <c r="A734" s="1">
        <v>41009</v>
      </c>
      <c r="B734" t="s">
        <v>151</v>
      </c>
      <c r="C734" s="2" t="str">
        <f>HYPERLINK("http://snap.windin.com/ns/bulletin.php?id=187465&amp;type=1", "奥康国际:首次公开发行股票招股意向书")</f>
        <v>奥康国际:首次公开发行股票招股意向书</v>
      </c>
    </row>
    <row r="735" spans="1:3" x14ac:dyDescent="0.15">
      <c r="A735" s="1">
        <v>41008</v>
      </c>
      <c r="B735" t="s">
        <v>160</v>
      </c>
      <c r="C735" s="2" t="str">
        <f>HYPERLINK("http://snap.windin.com/ns/bulletin.php?id=1895154&amp;type=1", "吉艾科技:首次公开发行股票并在创业板上市上市公告书提示性公告")</f>
        <v>吉艾科技:首次公开发行股票并在创业板上市上市公告书提示性公告</v>
      </c>
    </row>
    <row r="736" spans="1:3" x14ac:dyDescent="0.15">
      <c r="A736" s="1">
        <v>41008</v>
      </c>
      <c r="B736" t="s">
        <v>160</v>
      </c>
      <c r="C736" s="2" t="str">
        <f>HYPERLINK("http://snap.windin.com/ns/bulletin.php?id=1653520&amp;type=1", "吉艾科技:首次公开发行股票并在创业板上市之上市公告书")</f>
        <v>吉艾科技:首次公开发行股票并在创业板上市之上市公告书</v>
      </c>
    </row>
    <row r="737" spans="1:3" x14ac:dyDescent="0.15">
      <c r="A737" s="1">
        <v>41008</v>
      </c>
      <c r="B737" t="s">
        <v>162</v>
      </c>
      <c r="C737" s="2" t="str">
        <f>HYPERLINK("http://snap.windin.com/ns/bulletin.php?id=1643509&amp;type=1", "中际装备:首次公开发行股票并在创业板上市公告书")</f>
        <v>中际装备:首次公开发行股票并在创业板上市公告书</v>
      </c>
    </row>
    <row r="738" spans="1:3" x14ac:dyDescent="0.15">
      <c r="A738" s="1">
        <v>41008</v>
      </c>
      <c r="B738" t="s">
        <v>162</v>
      </c>
      <c r="C738" s="2" t="str">
        <f>HYPERLINK("http://snap.windin.com/ns/bulletin.php?id=1070721&amp;type=1", "中际装备:首次公开发行股票并在创业板上市上市公告书提示公告")</f>
        <v>中际装备:首次公开发行股票并在创业板上市上市公告书提示公告</v>
      </c>
    </row>
    <row r="739" spans="1:3" x14ac:dyDescent="0.15">
      <c r="A739" s="1">
        <v>41005</v>
      </c>
      <c r="B739" t="s">
        <v>148</v>
      </c>
      <c r="C739" s="2" t="str">
        <f>HYPERLINK("http://snap.windin.com/ns/bulletin.php?id=1704740&amp;type=1", "东江环保:首次公开发行A股股票招股意向书摘要")</f>
        <v>东江环保:首次公开发行A股股票招股意向书摘要</v>
      </c>
    </row>
    <row r="740" spans="1:3" x14ac:dyDescent="0.15">
      <c r="A740" s="1">
        <v>41005</v>
      </c>
      <c r="B740" t="s">
        <v>153</v>
      </c>
      <c r="C740" s="2" t="str">
        <f>HYPERLINK("http://snap.windin.com/ns/bulletin.php?id=1223566&amp;type=1", "天山生物:首次公开发行股票并在创业板上市招股意向书")</f>
        <v>天山生物:首次公开发行股票并在创业板上市招股意向书</v>
      </c>
    </row>
    <row r="741" spans="1:3" x14ac:dyDescent="0.15">
      <c r="A741" s="1">
        <v>41005</v>
      </c>
      <c r="B741" t="s">
        <v>148</v>
      </c>
      <c r="C741" s="2" t="str">
        <f>HYPERLINK("http://snap.windin.com/ns/bulletin.php?id=211157&amp;type=1", "东江环保:首次公开发行A股股票招股意向书")</f>
        <v>东江环保:首次公开发行A股股票招股意向书</v>
      </c>
    </row>
    <row r="742" spans="1:3" x14ac:dyDescent="0.15">
      <c r="A742" s="1">
        <v>41004</v>
      </c>
      <c r="B742" t="s">
        <v>157</v>
      </c>
      <c r="C742" s="2" t="str">
        <f>HYPERLINK("http://snap.windin.com/ns/bulletin.php?id=2055436&amp;type=1", "华声股份:首次公开发行股票招股说明书")</f>
        <v>华声股份:首次公开发行股票招股说明书</v>
      </c>
    </row>
    <row r="743" spans="1:3" x14ac:dyDescent="0.15">
      <c r="A743" s="1">
        <v>41004</v>
      </c>
      <c r="B743" t="s">
        <v>157</v>
      </c>
      <c r="C743" s="2" t="str">
        <f>HYPERLINK("http://snap.windin.com/ns/bulletin.php?id=2003338&amp;type=1", "华声股份:首次公开发行股票招股说明书摘要")</f>
        <v>华声股份:首次公开发行股票招股说明书摘要</v>
      </c>
    </row>
    <row r="744" spans="1:3" x14ac:dyDescent="0.15">
      <c r="A744" s="1">
        <v>41004</v>
      </c>
      <c r="B744" t="s">
        <v>149</v>
      </c>
      <c r="C744" s="2" t="str">
        <f>HYPERLINK("http://snap.windin.com/ns/bulletin.php?id=1650755&amp;type=1", "人民网:首次公开发行股票招股意向书")</f>
        <v>人民网:首次公开发行股票招股意向书</v>
      </c>
    </row>
    <row r="745" spans="1:3" x14ac:dyDescent="0.15">
      <c r="A745" s="1">
        <v>41004</v>
      </c>
      <c r="B745" t="s">
        <v>149</v>
      </c>
      <c r="C745" s="2" t="str">
        <f>HYPERLINK("http://snap.windin.com/ns/bulletin.php?id=903387&amp;type=1", "人民网:首次公开发行股票招股意向书附录")</f>
        <v>人民网:首次公开发行股票招股意向书附录</v>
      </c>
    </row>
    <row r="746" spans="1:3" x14ac:dyDescent="0.15">
      <c r="A746" s="1">
        <v>41004</v>
      </c>
      <c r="B746" t="s">
        <v>149</v>
      </c>
      <c r="C746" s="2" t="str">
        <f>HYPERLINK("http://snap.windin.com/ns/bulletin.php?id=712023&amp;type=1", "人民网:首次公开发行股票招股意向书摘要")</f>
        <v>人民网:首次公开发行股票招股意向书摘要</v>
      </c>
    </row>
    <row r="747" spans="1:3" x14ac:dyDescent="0.15">
      <c r="A747" s="1">
        <v>40998</v>
      </c>
      <c r="B747" t="s">
        <v>158</v>
      </c>
      <c r="C747" s="2" t="str">
        <f>HYPERLINK("http://snap.windin.com/ns/bulletin.php?id=1541196&amp;type=1", "康达新材:首次公开发行股票招股说明书摘要")</f>
        <v>康达新材:首次公开发行股票招股说明书摘要</v>
      </c>
    </row>
    <row r="748" spans="1:3" x14ac:dyDescent="0.15">
      <c r="A748" s="1">
        <v>40998</v>
      </c>
      <c r="B748" t="s">
        <v>152</v>
      </c>
      <c r="C748" s="2" t="str">
        <f>HYPERLINK("http://snap.windin.com/ns/bulletin.php?id=1465438&amp;type=1", "任子行:首次公开发行股票并在创业板上市招股意向书")</f>
        <v>任子行:首次公开发行股票并在创业板上市招股意向书</v>
      </c>
    </row>
    <row r="749" spans="1:3" x14ac:dyDescent="0.15">
      <c r="A749" s="1">
        <v>40998</v>
      </c>
      <c r="B749" t="s">
        <v>158</v>
      </c>
      <c r="C749" s="2" t="str">
        <f>HYPERLINK("http://snap.windin.com/ns/bulletin.php?id=1397163&amp;type=1", "康达新材:首次公开发行股票招股说明书")</f>
        <v>康达新材:首次公开发行股票招股说明书</v>
      </c>
    </row>
    <row r="750" spans="1:3" x14ac:dyDescent="0.15">
      <c r="A750" s="1">
        <v>40998</v>
      </c>
      <c r="B750" t="s">
        <v>154</v>
      </c>
      <c r="C750" s="2" t="str">
        <f>HYPERLINK("http://snap.windin.com/ns/bulletin.php?id=1234872&amp;type=1", "宜通世纪:首次公开发行股票并在创业板上市招股意向书")</f>
        <v>宜通世纪:首次公开发行股票并在创业板上市招股意向书</v>
      </c>
    </row>
    <row r="751" spans="1:3" x14ac:dyDescent="0.15">
      <c r="A751" s="1">
        <v>40996</v>
      </c>
      <c r="B751" t="s">
        <v>163</v>
      </c>
      <c r="C751" s="2" t="str">
        <f>HYPERLINK("http://snap.windin.com/ns/bulletin.php?id=1990294&amp;type=1", "慈星股份:首次公开发行股票并在创业板上市上市公告书")</f>
        <v>慈星股份:首次公开发行股票并在创业板上市上市公告书</v>
      </c>
    </row>
    <row r="752" spans="1:3" x14ac:dyDescent="0.15">
      <c r="A752" s="1">
        <v>40996</v>
      </c>
      <c r="B752" t="s">
        <v>164</v>
      </c>
      <c r="C752" s="2" t="str">
        <f>HYPERLINK("http://snap.windin.com/ns/bulletin.php?id=1964210&amp;type=1", "远方光电:首次公开发行股票并在创业板上市公告书")</f>
        <v>远方光电:首次公开发行股票并在创业板上市公告书</v>
      </c>
    </row>
    <row r="753" spans="1:3" x14ac:dyDescent="0.15">
      <c r="A753" s="1">
        <v>40996</v>
      </c>
      <c r="B753" t="s">
        <v>164</v>
      </c>
      <c r="C753" s="2" t="str">
        <f>HYPERLINK("http://snap.windin.com/ns/bulletin.php?id=1917782&amp;type=1", "远方光电:首次公开发行股票并在创业板上市公告书提示性公告")</f>
        <v>远方光电:首次公开发行股票并在创业板上市公告书提示性公告</v>
      </c>
    </row>
    <row r="754" spans="1:3" x14ac:dyDescent="0.15">
      <c r="A754" s="1">
        <v>40996</v>
      </c>
      <c r="B754" t="s">
        <v>165</v>
      </c>
      <c r="C754" s="2" t="str">
        <f>HYPERLINK("http://snap.windin.com/ns/bulletin.php?id=1530321&amp;type=1", "裕兴股份:首次公开发行股票并在创业板上市公告书提示性公告")</f>
        <v>裕兴股份:首次公开发行股票并在创业板上市公告书提示性公告</v>
      </c>
    </row>
    <row r="755" spans="1:3" x14ac:dyDescent="0.15">
      <c r="A755" s="1">
        <v>40996</v>
      </c>
      <c r="B755" t="s">
        <v>166</v>
      </c>
      <c r="C755" s="2" t="str">
        <f>HYPERLINK("http://snap.windin.com/ns/bulletin.php?id=874578&amp;type=1", "鞍重股份:首次公开发行股票上市公告书")</f>
        <v>鞍重股份:首次公开发行股票上市公告书</v>
      </c>
    </row>
    <row r="756" spans="1:3" x14ac:dyDescent="0.15">
      <c r="A756" s="1">
        <v>40996</v>
      </c>
      <c r="B756" t="s">
        <v>165</v>
      </c>
      <c r="C756" s="2" t="str">
        <f>HYPERLINK("http://snap.windin.com/ns/bulletin.php?id=681323&amp;type=1", "裕兴股份:首次公开发行股票并在创业板上市之上市公告书")</f>
        <v>裕兴股份:首次公开发行股票并在创业板上市之上市公告书</v>
      </c>
    </row>
    <row r="757" spans="1:3" x14ac:dyDescent="0.15">
      <c r="A757" s="1">
        <v>40995</v>
      </c>
      <c r="B757" t="s">
        <v>167</v>
      </c>
      <c r="C757" s="2" t="str">
        <f>HYPERLINK("http://snap.windin.com/ns/bulletin.php?id=2077331&amp;type=1", "N首航:关于《首次公开发行股票上市公告书》之更正公告")</f>
        <v>N首航:关于《首次公开发行股票上市公告书》之更正公告</v>
      </c>
    </row>
    <row r="758" spans="1:3" x14ac:dyDescent="0.15">
      <c r="A758" s="1">
        <v>40995</v>
      </c>
      <c r="B758" t="s">
        <v>159</v>
      </c>
      <c r="C758" s="2" t="str">
        <f>HYPERLINK("http://snap.windin.com/ns/bulletin.php?id=1889378&amp;type=1", "奥马电器:首次公开发行股票招股说明书摘要")</f>
        <v>奥马电器:首次公开发行股票招股说明书摘要</v>
      </c>
    </row>
    <row r="759" spans="1:3" x14ac:dyDescent="0.15">
      <c r="A759" s="1">
        <v>40995</v>
      </c>
      <c r="B759" t="s">
        <v>159</v>
      </c>
      <c r="C759" s="2" t="str">
        <f>HYPERLINK("http://snap.windin.com/ns/bulletin.php?id=1848191&amp;type=1", "奥马电器:首次公开发行股票招股说明书")</f>
        <v>奥马电器:首次公开发行股票招股说明书</v>
      </c>
    </row>
    <row r="760" spans="1:3" x14ac:dyDescent="0.15">
      <c r="A760" s="1">
        <v>40995</v>
      </c>
      <c r="B760" t="s">
        <v>160</v>
      </c>
      <c r="C760" s="2" t="str">
        <f>HYPERLINK("http://snap.windin.com/ns/bulletin.php?id=1843114&amp;type=1", "吉艾科技:首次公开发行股票并在创业板上市招股说明书（更新后）")</f>
        <v>吉艾科技:首次公开发行股票并在创业板上市招股说明书（更新后）</v>
      </c>
    </row>
    <row r="761" spans="1:3" x14ac:dyDescent="0.15">
      <c r="A761" s="1">
        <v>40995</v>
      </c>
      <c r="B761" t="s">
        <v>167</v>
      </c>
      <c r="C761" s="2" t="str">
        <f>HYPERLINK("http://snap.windin.com/ns/bulletin.php?id=801656&amp;type=1", "N首航:首次公开发行股票上市公告书（更新后）")</f>
        <v>N首航:首次公开发行股票上市公告书（更新后）</v>
      </c>
    </row>
    <row r="762" spans="1:3" x14ac:dyDescent="0.15">
      <c r="A762" s="1">
        <v>40995</v>
      </c>
      <c r="B762" t="s">
        <v>168</v>
      </c>
      <c r="C762" s="2" t="str">
        <f>HYPERLINK("http://snap.windin.com/ns/bulletin.php?id=706408&amp;type=1", "广汽集团:首次公开发行A股股票吸收合并广汽长丰汽车股份有限公司上市公告书")</f>
        <v>广汽集团:首次公开发行A股股票吸收合并广汽长丰汽车股份有限公司上市公告书</v>
      </c>
    </row>
    <row r="763" spans="1:3" x14ac:dyDescent="0.15">
      <c r="A763" s="1">
        <v>40995</v>
      </c>
      <c r="B763" t="s">
        <v>160</v>
      </c>
      <c r="C763" s="2" t="str">
        <f>HYPERLINK("http://snap.windin.com/ns/bulletin.php?id=587732&amp;type=1", "吉艾科技:关于《吉艾科技（北京）股份公司首次公开发行股票并在创业板上市招股说明书》的更正公告")</f>
        <v>吉艾科技:关于《吉艾科技（北京）股份公司首次公开发行股票并在创业板上市招股说明书》的更正公告</v>
      </c>
    </row>
    <row r="764" spans="1:3" x14ac:dyDescent="0.15">
      <c r="A764" s="1">
        <v>40994</v>
      </c>
      <c r="B764" t="s">
        <v>160</v>
      </c>
      <c r="C764" s="2" t="str">
        <f>HYPERLINK("http://snap.windin.com/ns/bulletin.php?id=1553528&amp;type=1", "吉艾科技:首次公开发行股票并在创业板上市招股说明书")</f>
        <v>吉艾科技:首次公开发行股票并在创业板上市招股说明书</v>
      </c>
    </row>
    <row r="765" spans="1:3" x14ac:dyDescent="0.15">
      <c r="A765" s="1">
        <v>40994</v>
      </c>
      <c r="B765" t="s">
        <v>167</v>
      </c>
      <c r="C765" s="2" t="str">
        <f>HYPERLINK("http://snap.windin.com/ns/bulletin.php?id=1427167&amp;type=1", "首航节能:首次公开发行股票上市公告书")</f>
        <v>首航节能:首次公开发行股票上市公告书</v>
      </c>
    </row>
    <row r="766" spans="1:3" x14ac:dyDescent="0.15">
      <c r="A766" s="1">
        <v>40994</v>
      </c>
      <c r="B766" t="s">
        <v>169</v>
      </c>
      <c r="C766" s="2" t="str">
        <f>HYPERLINK("http://snap.windin.com/ns/bulletin.php?id=797632&amp;type=1", "德联集团:首次公开发行股票上市公告书")</f>
        <v>德联集团:首次公开发行股票上市公告书</v>
      </c>
    </row>
    <row r="767" spans="1:3" x14ac:dyDescent="0.15">
      <c r="A767" s="1">
        <v>40991</v>
      </c>
      <c r="B767" t="s">
        <v>157</v>
      </c>
      <c r="C767" s="2" t="str">
        <f>HYPERLINK("http://snap.windin.com/ns/bulletin.php?id=2066791&amp;type=1", "华声股份:首次公开发行股票招股意向书（更新后）")</f>
        <v>华声股份:首次公开发行股票招股意向书（更新后）</v>
      </c>
    </row>
    <row r="768" spans="1:3" x14ac:dyDescent="0.15">
      <c r="A768" s="1">
        <v>40991</v>
      </c>
      <c r="B768" t="s">
        <v>162</v>
      </c>
      <c r="C768" s="2" t="str">
        <f>HYPERLINK("http://snap.windin.com/ns/bulletin.php?id=1568933&amp;type=1", "中际装备:首次公开发行股票并在创业板上市招股说明书")</f>
        <v>中际装备:首次公开发行股票并在创业板上市招股说明书</v>
      </c>
    </row>
    <row r="769" spans="1:3" x14ac:dyDescent="0.15">
      <c r="A769" s="1">
        <v>40991</v>
      </c>
      <c r="B769" t="s">
        <v>155</v>
      </c>
      <c r="C769" s="2" t="str">
        <f>HYPERLINK("http://snap.windin.com/ns/bulletin.php?id=1284411&amp;type=1", "怡球资源:首次公开发行股票招股意向书附录")</f>
        <v>怡球资源:首次公开发行股票招股意向书附录</v>
      </c>
    </row>
    <row r="770" spans="1:3" x14ac:dyDescent="0.15">
      <c r="A770" s="1">
        <v>40991</v>
      </c>
      <c r="B770" t="s">
        <v>157</v>
      </c>
      <c r="C770" s="2" t="str">
        <f>HYPERLINK("http://snap.windin.com/ns/bulletin.php?id=1078538&amp;type=1", "华声股份:首次公开发行股票招股意向书摘要（更新后）")</f>
        <v>华声股份:首次公开发行股票招股意向书摘要（更新后）</v>
      </c>
    </row>
    <row r="771" spans="1:3" x14ac:dyDescent="0.15">
      <c r="A771" s="1">
        <v>40991</v>
      </c>
      <c r="B771" t="s">
        <v>155</v>
      </c>
      <c r="C771" s="2" t="str">
        <f>HYPERLINK("http://snap.windin.com/ns/bulletin.php?id=1010185&amp;type=1", "怡球资源:首次公开发行股票招股意向书")</f>
        <v>怡球资源:首次公开发行股票招股意向书</v>
      </c>
    </row>
    <row r="772" spans="1:3" x14ac:dyDescent="0.15">
      <c r="A772" s="1">
        <v>40991</v>
      </c>
      <c r="B772" t="s">
        <v>157</v>
      </c>
      <c r="C772" s="2" t="str">
        <f>HYPERLINK("http://snap.windin.com/ns/bulletin.php?id=771743&amp;type=1", "华声股份:首次公开发行股票招股意向书摘要")</f>
        <v>华声股份:首次公开发行股票招股意向书摘要</v>
      </c>
    </row>
    <row r="773" spans="1:3" x14ac:dyDescent="0.15">
      <c r="A773" s="1">
        <v>40991</v>
      </c>
      <c r="B773" t="s">
        <v>155</v>
      </c>
      <c r="C773" s="2" t="str">
        <f>HYPERLINK("http://snap.windin.com/ns/bulletin.php?id=239871&amp;type=1", "怡球资源:首次公开发行股票招股意向书摘要")</f>
        <v>怡球资源:首次公开发行股票招股意向书摘要</v>
      </c>
    </row>
    <row r="774" spans="1:3" x14ac:dyDescent="0.15">
      <c r="A774" s="1">
        <v>40991</v>
      </c>
      <c r="B774" t="s">
        <v>157</v>
      </c>
      <c r="C774" s="2" t="str">
        <f>HYPERLINK("http://snap.windin.com/ns/bulletin.php?id=211329&amp;type=1", "华声股份:首次公开发行股票招股意向书")</f>
        <v>华声股份:首次公开发行股票招股意向书</v>
      </c>
    </row>
    <row r="775" spans="1:3" x14ac:dyDescent="0.15">
      <c r="A775" s="1">
        <v>40988</v>
      </c>
      <c r="B775" t="s">
        <v>158</v>
      </c>
      <c r="C775" s="2" t="str">
        <f>HYPERLINK("http://snap.windin.com/ns/bulletin.php?id=2112950&amp;type=1", "康达新材:首次公开发行股票招股意向书（更新后）")</f>
        <v>康达新材:首次公开发行股票招股意向书（更新后）</v>
      </c>
    </row>
    <row r="776" spans="1:3" x14ac:dyDescent="0.15">
      <c r="A776" s="1">
        <v>40988</v>
      </c>
      <c r="B776" t="s">
        <v>158</v>
      </c>
      <c r="C776" s="2" t="str">
        <f>HYPERLINK("http://snap.windin.com/ns/bulletin.php?id=1949764&amp;type=1", "康达新材:首次公开发行股票招股意向书摘要")</f>
        <v>康达新材:首次公开发行股票招股意向书摘要</v>
      </c>
    </row>
    <row r="777" spans="1:3" x14ac:dyDescent="0.15">
      <c r="A777" s="1">
        <v>40988</v>
      </c>
      <c r="B777" t="s">
        <v>170</v>
      </c>
      <c r="C777" s="2" t="str">
        <f>HYPERLINK("http://snap.windin.com/ns/bulletin.php?id=1910652&amp;type=1", "同有科技:首次公开发行股票并在创业板上市公告书提示性公告")</f>
        <v>同有科技:首次公开发行股票并在创业板上市公告书提示性公告</v>
      </c>
    </row>
    <row r="778" spans="1:3" x14ac:dyDescent="0.15">
      <c r="A778" s="1">
        <v>40988</v>
      </c>
      <c r="B778" t="s">
        <v>171</v>
      </c>
      <c r="C778" s="2" t="str">
        <f>HYPERLINK("http://snap.windin.com/ns/bulletin.php?id=1767873&amp;type=1", "长方照明:首次公开发行股票并在创业板上市上市公告书提示性公告")</f>
        <v>长方照明:首次公开发行股票并在创业板上市上市公告书提示性公告</v>
      </c>
    </row>
    <row r="779" spans="1:3" x14ac:dyDescent="0.15">
      <c r="A779" s="1">
        <v>40988</v>
      </c>
      <c r="B779" t="s">
        <v>172</v>
      </c>
      <c r="C779" s="2" t="str">
        <f>HYPERLINK("http://snap.windin.com/ns/bulletin.php?id=1758090&amp;type=1", "云意电气:首次公开发行股票并在创业板上市上市公告书提示公告")</f>
        <v>云意电气:首次公开发行股票并在创业板上市上市公告书提示公告</v>
      </c>
    </row>
    <row r="780" spans="1:3" x14ac:dyDescent="0.15">
      <c r="A780" s="1">
        <v>40988</v>
      </c>
      <c r="B780" t="s">
        <v>172</v>
      </c>
      <c r="C780" s="2" t="str">
        <f>HYPERLINK("http://snap.windin.com/ns/bulletin.php?id=1687107&amp;type=1", "云意电气:首次公开发行股票并在创业板上市公告书")</f>
        <v>云意电气:首次公开发行股票并在创业板上市公告书</v>
      </c>
    </row>
    <row r="781" spans="1:3" x14ac:dyDescent="0.15">
      <c r="A781" s="1">
        <v>40988</v>
      </c>
      <c r="B781" t="s">
        <v>171</v>
      </c>
      <c r="C781" s="2" t="str">
        <f>HYPERLINK("http://snap.windin.com/ns/bulletin.php?id=1333612&amp;type=1", "长方照明:首次公开发行股票并在创业板上市之上市公告书")</f>
        <v>长方照明:首次公开发行股票并在创业板上市之上市公告书</v>
      </c>
    </row>
    <row r="782" spans="1:3" x14ac:dyDescent="0.15">
      <c r="A782" s="1">
        <v>40988</v>
      </c>
      <c r="B782" t="s">
        <v>158</v>
      </c>
      <c r="C782" s="2" t="str">
        <f>HYPERLINK("http://snap.windin.com/ns/bulletin.php?id=1312354&amp;type=1", "康达新材:首次公开发行股票招股意向书")</f>
        <v>康达新材:首次公开发行股票招股意向书</v>
      </c>
    </row>
    <row r="783" spans="1:3" x14ac:dyDescent="0.15">
      <c r="A783" s="1">
        <v>40988</v>
      </c>
      <c r="B783" t="s">
        <v>166</v>
      </c>
      <c r="C783" s="2" t="str">
        <f>HYPERLINK("http://snap.windin.com/ns/bulletin.php?id=1137988&amp;type=1", "鞍重股份:首次公开发行股票招股说明书摘要")</f>
        <v>鞍重股份:首次公开发行股票招股说明书摘要</v>
      </c>
    </row>
    <row r="784" spans="1:3" x14ac:dyDescent="0.15">
      <c r="A784" s="1">
        <v>40988</v>
      </c>
      <c r="B784" t="s">
        <v>166</v>
      </c>
      <c r="C784" s="2" t="str">
        <f>HYPERLINK("http://snap.windin.com/ns/bulletin.php?id=798147&amp;type=1", "鞍重股份:首次公开发行股票招股说明书")</f>
        <v>鞍重股份:首次公开发行股票招股说明书</v>
      </c>
    </row>
    <row r="785" spans="1:3" x14ac:dyDescent="0.15">
      <c r="A785" s="1">
        <v>40988</v>
      </c>
      <c r="B785" t="s">
        <v>164</v>
      </c>
      <c r="C785" s="2" t="str">
        <f>HYPERLINK("http://snap.windin.com/ns/bulletin.php?id=517883&amp;type=1", "远方光电:首次公开发行股票并在创业板上市招股说明书")</f>
        <v>远方光电:首次公开发行股票并在创业板上市招股说明书</v>
      </c>
    </row>
    <row r="786" spans="1:3" x14ac:dyDescent="0.15">
      <c r="A786" s="1">
        <v>40988</v>
      </c>
      <c r="B786" t="s">
        <v>170</v>
      </c>
      <c r="C786" s="2" t="str">
        <f>HYPERLINK("http://snap.windin.com/ns/bulletin.php?id=418069&amp;type=1", "同有科技:首次公开发行股票并在创业板上市公告书")</f>
        <v>同有科技:首次公开发行股票并在创业板上市公告书</v>
      </c>
    </row>
    <row r="787" spans="1:3" x14ac:dyDescent="0.15">
      <c r="A787" s="1">
        <v>40987</v>
      </c>
      <c r="B787" t="s">
        <v>160</v>
      </c>
      <c r="C787" s="2" t="str">
        <f>HYPERLINK("http://snap.windin.com/ns/bulletin.php?id=943442&amp;type=1", "吉艾科技:首次公开发行股票并在创业板上市招股意向书")</f>
        <v>吉艾科技:首次公开发行股票并在创业板上市招股意向书</v>
      </c>
    </row>
    <row r="788" spans="1:3" x14ac:dyDescent="0.15">
      <c r="A788" s="1">
        <v>40987</v>
      </c>
      <c r="B788" t="s">
        <v>163</v>
      </c>
      <c r="C788" s="2" t="str">
        <f>HYPERLINK("http://snap.windin.com/ns/bulletin.php?id=95685&amp;type=1", "慈星股份:首次公开发行股票并在创业板上市招股说明书")</f>
        <v>慈星股份:首次公开发行股票并在创业板上市招股说明书</v>
      </c>
    </row>
    <row r="789" spans="1:3" x14ac:dyDescent="0.15">
      <c r="A789" s="1">
        <v>40986</v>
      </c>
      <c r="B789" t="s">
        <v>172</v>
      </c>
      <c r="C789" s="2" t="str">
        <f>HYPERLINK("http://snap.windin.com/ns/bulletin.php?id=1835225&amp;type=1", "云意电气:首次公开发行股票并在创业板上市招股说明书（更新后）")</f>
        <v>云意电气:首次公开发行股票并在创业板上市招股说明书（更新后）</v>
      </c>
    </row>
    <row r="790" spans="1:3" x14ac:dyDescent="0.15">
      <c r="A790" s="1">
        <v>40984</v>
      </c>
      <c r="B790" t="s">
        <v>173</v>
      </c>
      <c r="C790" s="2" t="str">
        <f>HYPERLINK("http://snap.windin.com/ns/bulletin.php?id=2050736&amp;type=1", "聚飞光电:首次公开发行股票并在创业板上市上市公告书提示性公告")</f>
        <v>聚飞光电:首次公开发行股票并在创业板上市上市公告书提示性公告</v>
      </c>
    </row>
    <row r="791" spans="1:3" x14ac:dyDescent="0.15">
      <c r="A791" s="1">
        <v>40984</v>
      </c>
      <c r="B791" t="s">
        <v>165</v>
      </c>
      <c r="C791" s="2" t="str">
        <f>HYPERLINK("http://snap.windin.com/ns/bulletin.php?id=2040084&amp;type=1", "裕兴股份:首次公开发行股票并在创业板上市招股说明书")</f>
        <v>裕兴股份:首次公开发行股票并在创业板上市招股说明书</v>
      </c>
    </row>
    <row r="792" spans="1:3" x14ac:dyDescent="0.15">
      <c r="A792" s="1">
        <v>40984</v>
      </c>
      <c r="B792" t="s">
        <v>174</v>
      </c>
      <c r="C792" s="2" t="str">
        <f>HYPERLINK("http://snap.windin.com/ns/bulletin.php?id=1993097&amp;type=1", "三诺生物:首次公开发行股票并在创业板上市上市公告书提示性公告")</f>
        <v>三诺生物:首次公开发行股票并在创业板上市上市公告书提示性公告</v>
      </c>
    </row>
    <row r="793" spans="1:3" x14ac:dyDescent="0.15">
      <c r="A793" s="1">
        <v>40984</v>
      </c>
      <c r="B793" t="s">
        <v>175</v>
      </c>
      <c r="C793" s="2" t="str">
        <f>HYPERLINK("http://snap.windin.com/ns/bulletin.php?id=1988196&amp;type=1", "汉鼎股份:首次公开发行股票并在创业板上市上市公告书")</f>
        <v>汉鼎股份:首次公开发行股票并在创业板上市上市公告书</v>
      </c>
    </row>
    <row r="794" spans="1:3" x14ac:dyDescent="0.15">
      <c r="A794" s="1">
        <v>40984</v>
      </c>
      <c r="B794" t="s">
        <v>161</v>
      </c>
      <c r="C794" s="2" t="str">
        <f>HYPERLINK("http://snap.windin.com/ns/bulletin.php?id=1877438&amp;type=1", "隆基股份:首次公开发行股票并上市招股意向书附录")</f>
        <v>隆基股份:首次公开发行股票并上市招股意向书附录</v>
      </c>
    </row>
    <row r="795" spans="1:3" x14ac:dyDescent="0.15">
      <c r="A795" s="1">
        <v>40984</v>
      </c>
      <c r="B795" t="s">
        <v>176</v>
      </c>
      <c r="C795" s="2" t="str">
        <f>HYPERLINK("http://snap.windin.com/ns/bulletin.php?id=1869459&amp;type=1", "富春通信:首次公开发行股票并在创业板上市之上市公告书")</f>
        <v>富春通信:首次公开发行股票并在创业板上市之上市公告书</v>
      </c>
    </row>
    <row r="796" spans="1:3" x14ac:dyDescent="0.15">
      <c r="A796" s="1">
        <v>40984</v>
      </c>
      <c r="B796" t="s">
        <v>176</v>
      </c>
      <c r="C796" s="2" t="str">
        <f>HYPERLINK("http://snap.windin.com/ns/bulletin.php?id=1773091&amp;type=1", "富春通信:首次公开发行股票并在创业板上市之上市公告书提示性公告")</f>
        <v>富春通信:首次公开发行股票并在创业板上市之上市公告书提示性公告</v>
      </c>
    </row>
    <row r="797" spans="1:3" x14ac:dyDescent="0.15">
      <c r="A797" s="1">
        <v>40984</v>
      </c>
      <c r="B797" t="s">
        <v>173</v>
      </c>
      <c r="C797" s="2" t="str">
        <f>HYPERLINK("http://snap.windin.com/ns/bulletin.php?id=1743000&amp;type=1", "聚飞光电:首次公开发行股票并在创业板上市之上市公告书")</f>
        <v>聚飞光电:首次公开发行股票并在创业板上市之上市公告书</v>
      </c>
    </row>
    <row r="798" spans="1:3" x14ac:dyDescent="0.15">
      <c r="A798" s="1">
        <v>40984</v>
      </c>
      <c r="B798" t="s">
        <v>159</v>
      </c>
      <c r="C798" s="2" t="str">
        <f>HYPERLINK("http://snap.windin.com/ns/bulletin.php?id=1498537&amp;type=1", "奥马电器:首次公开发行股票招股意向书")</f>
        <v>奥马电器:首次公开发行股票招股意向书</v>
      </c>
    </row>
    <row r="799" spans="1:3" x14ac:dyDescent="0.15">
      <c r="A799" s="1">
        <v>40984</v>
      </c>
      <c r="B799" t="s">
        <v>175</v>
      </c>
      <c r="C799" s="2" t="str">
        <f>HYPERLINK("http://snap.windin.com/ns/bulletin.php?id=1309508&amp;type=1", "汉鼎股份:首次公开发行股票并在创业板上市上市公告书提示性公告")</f>
        <v>汉鼎股份:首次公开发行股票并在创业板上市上市公告书提示性公告</v>
      </c>
    </row>
    <row r="800" spans="1:3" x14ac:dyDescent="0.15">
      <c r="A800" s="1">
        <v>40984</v>
      </c>
      <c r="B800" t="s">
        <v>159</v>
      </c>
      <c r="C800" s="2" t="str">
        <f>HYPERLINK("http://snap.windin.com/ns/bulletin.php?id=920613&amp;type=1", "奥马电器:首次公开发行股票招股意向书摘要")</f>
        <v>奥马电器:首次公开发行股票招股意向书摘要</v>
      </c>
    </row>
    <row r="801" spans="1:3" x14ac:dyDescent="0.15">
      <c r="A801" s="1">
        <v>40984</v>
      </c>
      <c r="B801" t="s">
        <v>161</v>
      </c>
      <c r="C801" s="2" t="str">
        <f>HYPERLINK("http://snap.windin.com/ns/bulletin.php?id=899324&amp;type=1", "隆基股份:首次公开发行股票招股意向书摘要")</f>
        <v>隆基股份:首次公开发行股票招股意向书摘要</v>
      </c>
    </row>
    <row r="802" spans="1:3" x14ac:dyDescent="0.15">
      <c r="A802" s="1">
        <v>40984</v>
      </c>
      <c r="B802" t="s">
        <v>161</v>
      </c>
      <c r="C802" s="2" t="str">
        <f>HYPERLINK("http://snap.windin.com/ns/bulletin.php?id=795832&amp;type=1", "隆基股份:首次公开发行股票招股意向书")</f>
        <v>隆基股份:首次公开发行股票招股意向书</v>
      </c>
    </row>
    <row r="803" spans="1:3" x14ac:dyDescent="0.15">
      <c r="A803" s="1">
        <v>40984</v>
      </c>
      <c r="B803" t="s">
        <v>162</v>
      </c>
      <c r="C803" s="2" t="str">
        <f>HYPERLINK("http://snap.windin.com/ns/bulletin.php?id=438790&amp;type=1", "中际装备:首次公开发行股票并在创业板上市招股意向书")</f>
        <v>中际装备:首次公开发行股票并在创业板上市招股意向书</v>
      </c>
    </row>
    <row r="804" spans="1:3" x14ac:dyDescent="0.15">
      <c r="A804" s="1">
        <v>40984</v>
      </c>
      <c r="B804" t="s">
        <v>174</v>
      </c>
      <c r="C804" s="2" t="str">
        <f>HYPERLINK("http://snap.windin.com/ns/bulletin.php?id=200130&amp;type=1", "三诺生物:首次公开发行股票并在创业板上市公告书")</f>
        <v>三诺生物:首次公开发行股票并在创业板上市公告书</v>
      </c>
    </row>
    <row r="805" spans="1:3" x14ac:dyDescent="0.15">
      <c r="A805" s="1">
        <v>40983</v>
      </c>
      <c r="B805" t="s">
        <v>177</v>
      </c>
      <c r="C805" s="2" t="str">
        <f>HYPERLINK("http://snap.windin.com/ns/bulletin.php?id=1508349&amp;type=1", "茂硕电源:首次公开发行股票上市公告书")</f>
        <v>茂硕电源:首次公开发行股票上市公告书</v>
      </c>
    </row>
    <row r="806" spans="1:3" x14ac:dyDescent="0.15">
      <c r="A806" s="1">
        <v>40983</v>
      </c>
      <c r="B806" t="s">
        <v>178</v>
      </c>
      <c r="C806" s="2" t="str">
        <f>HYPERLINK("http://snap.windin.com/ns/bulletin.php?id=645778&amp;type=1", "普邦园林:首次公开发行股票上市公告书")</f>
        <v>普邦园林:首次公开发行股票上市公告书</v>
      </c>
    </row>
    <row r="807" spans="1:3" x14ac:dyDescent="0.15">
      <c r="A807" s="1">
        <v>40983</v>
      </c>
      <c r="B807" t="s">
        <v>179</v>
      </c>
      <c r="C807" s="2" t="str">
        <f>HYPERLINK("http://snap.windin.com/ns/bulletin.php?id=577567&amp;type=1", "信质电机:首次公开发行股票上市公告书")</f>
        <v>信质电机:首次公开发行股票上市公告书</v>
      </c>
    </row>
    <row r="808" spans="1:3" x14ac:dyDescent="0.15">
      <c r="A808" s="1">
        <v>40983</v>
      </c>
      <c r="B808" t="s">
        <v>180</v>
      </c>
      <c r="C808" s="2" t="str">
        <f>HYPERLINK("http://snap.windin.com/ns/bulletin.php?id=566447&amp;type=1", "克明面业:首次公开发行股票上市公告书")</f>
        <v>克明面业:首次公开发行股票上市公告书</v>
      </c>
    </row>
    <row r="809" spans="1:3" x14ac:dyDescent="0.15">
      <c r="A809" s="1">
        <v>40982</v>
      </c>
      <c r="B809" t="s">
        <v>167</v>
      </c>
      <c r="C809" s="2" t="str">
        <f>HYPERLINK("http://snap.windin.com/ns/bulletin.php?id=1971984&amp;type=1", "首航节能:首次公开发行股票招股说明书摘要")</f>
        <v>首航节能:首次公开发行股票招股说明书摘要</v>
      </c>
    </row>
    <row r="810" spans="1:3" x14ac:dyDescent="0.15">
      <c r="A810" s="1">
        <v>40982</v>
      </c>
      <c r="B810" t="s">
        <v>181</v>
      </c>
      <c r="C810" s="2" t="str">
        <f>HYPERLINK("http://snap.windin.com/ns/bulletin.php?id=1853386&amp;type=1", "三六五网:首次公开发行股票并在创业板上市上市公告书提示性公告")</f>
        <v>三六五网:首次公开发行股票并在创业板上市上市公告书提示性公告</v>
      </c>
    </row>
    <row r="811" spans="1:3" x14ac:dyDescent="0.15">
      <c r="A811" s="1">
        <v>40982</v>
      </c>
      <c r="B811" t="s">
        <v>167</v>
      </c>
      <c r="C811" s="2" t="str">
        <f>HYPERLINK("http://snap.windin.com/ns/bulletin.php?id=1249606&amp;type=1", "首航节能:首次公开发行股票招股说明书")</f>
        <v>首航节能:首次公开发行股票招股说明书</v>
      </c>
    </row>
    <row r="812" spans="1:3" x14ac:dyDescent="0.15">
      <c r="A812" s="1">
        <v>40982</v>
      </c>
      <c r="B812" t="s">
        <v>182</v>
      </c>
      <c r="C812" s="2" t="str">
        <f>HYPERLINK("http://snap.windin.com/ns/bulletin.php?id=966529&amp;type=1", "利亚德:首次公开发行股票并在创业板上市上市公告书提示性公告")</f>
        <v>利亚德:首次公开发行股票并在创业板上市上市公告书提示性公告</v>
      </c>
    </row>
    <row r="813" spans="1:3" x14ac:dyDescent="0.15">
      <c r="A813" s="1">
        <v>40982</v>
      </c>
      <c r="B813" t="s">
        <v>183</v>
      </c>
      <c r="C813" s="2" t="str">
        <f>HYPERLINK("http://snap.windin.com/ns/bulletin.php?id=905550&amp;type=1", "N蓝盾:关于《蓝盾信息安全技术股份有限公司首次公开发行股票并在创业板上市公告书》更正公告")</f>
        <v>N蓝盾:关于《蓝盾信息安全技术股份有限公司首次公开发行股票并在创业板上市公告书》更正公告</v>
      </c>
    </row>
    <row r="814" spans="1:3" x14ac:dyDescent="0.15">
      <c r="A814" s="1">
        <v>40982</v>
      </c>
      <c r="B814" t="s">
        <v>182</v>
      </c>
      <c r="C814" s="2" t="str">
        <f>HYPERLINK("http://snap.windin.com/ns/bulletin.php?id=901768&amp;type=1", "利亚德:首次公开发行股票并在创业板上市上市公告书")</f>
        <v>利亚德:首次公开发行股票并在创业板上市上市公告书</v>
      </c>
    </row>
    <row r="815" spans="1:3" x14ac:dyDescent="0.15">
      <c r="A815" s="1">
        <v>40982</v>
      </c>
      <c r="B815" t="s">
        <v>181</v>
      </c>
      <c r="C815" s="2" t="str">
        <f>HYPERLINK("http://snap.windin.com/ns/bulletin.php?id=813325&amp;type=1", "三六五网:首次公开发行股票并在创业板上市上市公告书")</f>
        <v>三六五网:首次公开发行股票并在创业板上市上市公告书</v>
      </c>
    </row>
    <row r="816" spans="1:3" x14ac:dyDescent="0.15">
      <c r="A816" s="1">
        <v>40982</v>
      </c>
      <c r="B816" t="s">
        <v>183</v>
      </c>
      <c r="C816" s="2" t="str">
        <f>HYPERLINK("http://snap.windin.com/ns/bulletin.php?id=710181&amp;type=1", "N蓝盾:首次公开发行股票并在创业板上市公告书（更新后）")</f>
        <v>N蓝盾:首次公开发行股票并在创业板上市公告书（更新后）</v>
      </c>
    </row>
    <row r="817" spans="1:3" x14ac:dyDescent="0.15">
      <c r="A817" s="1">
        <v>40982</v>
      </c>
      <c r="B817" t="s">
        <v>183</v>
      </c>
      <c r="C817" s="2" t="str">
        <f>HYPERLINK("http://snap.windin.com/ns/bulletin.php?id=198758&amp;type=1", "蓝盾股份:首次公开发行股票并在创业板上市公告书")</f>
        <v>蓝盾股份:首次公开发行股票并在创业板上市公告书</v>
      </c>
    </row>
    <row r="818" spans="1:3" x14ac:dyDescent="0.15">
      <c r="A818" s="1">
        <v>40982</v>
      </c>
      <c r="B818" t="s">
        <v>183</v>
      </c>
      <c r="C818" s="2" t="str">
        <f>HYPERLINK("http://snap.windin.com/ns/bulletin.php?id=131753&amp;type=1", "蓝盾股份:首次公开发行股票并在创业板上市之上市公告书提示性公告")</f>
        <v>蓝盾股份:首次公开发行股票并在创业板上市之上市公告书提示性公告</v>
      </c>
    </row>
    <row r="819" spans="1:3" x14ac:dyDescent="0.15">
      <c r="A819" s="1">
        <v>40981</v>
      </c>
      <c r="B819" t="s">
        <v>166</v>
      </c>
      <c r="C819" s="2" t="str">
        <f>HYPERLINK("http://snap.windin.com/ns/bulletin.php?id=1964750&amp;type=1", "鞍重股份:首次公开发行股票招股意向书摘要")</f>
        <v>鞍重股份:首次公开发行股票招股意向书摘要</v>
      </c>
    </row>
    <row r="820" spans="1:3" x14ac:dyDescent="0.15">
      <c r="A820" s="1">
        <v>40981</v>
      </c>
      <c r="B820" t="s">
        <v>169</v>
      </c>
      <c r="C820" s="2" t="str">
        <f>HYPERLINK("http://snap.windin.com/ns/bulletin.php?id=1197774&amp;type=1", "德联集团:首次公开发行股票招股说明书摘要")</f>
        <v>德联集团:首次公开发行股票招股说明书摘要</v>
      </c>
    </row>
    <row r="821" spans="1:3" x14ac:dyDescent="0.15">
      <c r="A821" s="1">
        <v>40981</v>
      </c>
      <c r="B821" t="s">
        <v>169</v>
      </c>
      <c r="C821" s="2" t="str">
        <f>HYPERLINK("http://snap.windin.com/ns/bulletin.php?id=1047204&amp;type=1", "德联集团:首次公开发行股票招股说明书")</f>
        <v>德联集团:首次公开发行股票招股说明书</v>
      </c>
    </row>
    <row r="822" spans="1:3" x14ac:dyDescent="0.15">
      <c r="A822" s="1">
        <v>40981</v>
      </c>
      <c r="B822" t="s">
        <v>166</v>
      </c>
      <c r="C822" s="2" t="str">
        <f>HYPERLINK("http://snap.windin.com/ns/bulletin.php?id=222040&amp;type=1", "鞍重股份:首次公开发行股票招股意向书")</f>
        <v>鞍重股份:首次公开发行股票招股意向书</v>
      </c>
    </row>
    <row r="823" spans="1:3" x14ac:dyDescent="0.15">
      <c r="A823" s="1">
        <v>40980</v>
      </c>
      <c r="B823" t="s">
        <v>164</v>
      </c>
      <c r="C823" s="2" t="str">
        <f>HYPERLINK("http://snap.windin.com/ns/bulletin.php?id=2067749&amp;type=1", "远方光电:首次公开发行股票并在创业板上市招股意向书")</f>
        <v>远方光电:首次公开发行股票并在创业板上市招股意向书</v>
      </c>
    </row>
    <row r="824" spans="1:3" x14ac:dyDescent="0.15">
      <c r="A824" s="1">
        <v>40980</v>
      </c>
      <c r="B824" t="s">
        <v>172</v>
      </c>
      <c r="C824" s="2" t="str">
        <f>HYPERLINK("http://snap.windin.com/ns/bulletin.php?id=1690613&amp;type=1", "云意电气:首次公开发行股票并在创业板上市招股说明书")</f>
        <v>云意电气:首次公开发行股票并在创业板上市招股说明书</v>
      </c>
    </row>
    <row r="825" spans="1:3" x14ac:dyDescent="0.15">
      <c r="A825" s="1">
        <v>40980</v>
      </c>
      <c r="B825" t="s">
        <v>170</v>
      </c>
      <c r="C825" s="2" t="str">
        <f>HYPERLINK("http://snap.windin.com/ns/bulletin.php?id=1595228&amp;type=1", "同有科技:首次公开发行股票并在创业板上市招股说明书")</f>
        <v>同有科技:首次公开发行股票并在创业板上市招股说明书</v>
      </c>
    </row>
    <row r="826" spans="1:3" x14ac:dyDescent="0.15">
      <c r="A826" s="1">
        <v>40980</v>
      </c>
      <c r="B826" t="s">
        <v>163</v>
      </c>
      <c r="C826" s="2" t="str">
        <f>HYPERLINK("http://snap.windin.com/ns/bulletin.php?id=522579&amp;type=1", "慈星股份:首次公开发行股票并在创业板上市招股意向书")</f>
        <v>慈星股份:首次公开发行股票并在创业板上市招股意向书</v>
      </c>
    </row>
    <row r="827" spans="1:3" x14ac:dyDescent="0.15">
      <c r="A827" s="1">
        <v>40977</v>
      </c>
      <c r="B827" t="s">
        <v>171</v>
      </c>
      <c r="C827" s="2" t="str">
        <f>HYPERLINK("http://snap.windin.com/ns/bulletin.php?id=1693066&amp;type=1", "长方照明:首次公开发行股票并在创业板上市招股说明书")</f>
        <v>长方照明:首次公开发行股票并在创业板上市招股说明书</v>
      </c>
    </row>
    <row r="828" spans="1:3" x14ac:dyDescent="0.15">
      <c r="A828" s="1">
        <v>40977</v>
      </c>
      <c r="B828" t="s">
        <v>165</v>
      </c>
      <c r="C828" s="2" t="str">
        <f>HYPERLINK("http://snap.windin.com/ns/bulletin.php?id=124037&amp;type=1", "裕兴股份:首次公开发行股票并在创业板上市招股意向书")</f>
        <v>裕兴股份:首次公开发行股票并在创业板上市招股意向书</v>
      </c>
    </row>
    <row r="829" spans="1:3" x14ac:dyDescent="0.15">
      <c r="A829" s="1">
        <v>40976</v>
      </c>
      <c r="B829" t="s">
        <v>184</v>
      </c>
      <c r="C829" s="2" t="str">
        <f>HYPERLINK("http://snap.windin.com/ns/bulletin.php?id=1660314&amp;type=1", "京威股份:首次公开发行股票上市公告书")</f>
        <v>京威股份:首次公开发行股票上市公告书</v>
      </c>
    </row>
    <row r="830" spans="1:3" x14ac:dyDescent="0.15">
      <c r="A830" s="1">
        <v>40976</v>
      </c>
      <c r="B830" t="s">
        <v>185</v>
      </c>
      <c r="C830" s="2" t="str">
        <f>HYPERLINK("http://snap.windin.com/ns/bulletin.php?id=1591260&amp;type=1", "中国交建:首次公开发行A股股票上市公告书")</f>
        <v>中国交建:首次公开发行A股股票上市公告书</v>
      </c>
    </row>
    <row r="831" spans="1:3" x14ac:dyDescent="0.15">
      <c r="A831" s="1">
        <v>40976</v>
      </c>
      <c r="B831" t="s">
        <v>173</v>
      </c>
      <c r="C831" s="2" t="str">
        <f>HYPERLINK("http://snap.windin.com/ns/bulletin.php?id=1587453&amp;type=1", "聚飞光电:首次公开发行股票并在创业板上市招股说明书")</f>
        <v>聚飞光电:首次公开发行股票并在创业板上市招股说明书</v>
      </c>
    </row>
    <row r="832" spans="1:3" x14ac:dyDescent="0.15">
      <c r="A832" s="1">
        <v>40976</v>
      </c>
      <c r="B832" t="s">
        <v>186</v>
      </c>
      <c r="C832" s="2" t="str">
        <f>HYPERLINK("http://snap.windin.com/ns/bulletin.php?id=701334&amp;type=1", "雪迪龙:首次公开发行股票上市公告书")</f>
        <v>雪迪龙:首次公开发行股票上市公告书</v>
      </c>
    </row>
    <row r="833" spans="1:3" x14ac:dyDescent="0.15">
      <c r="A833" s="1">
        <v>40976</v>
      </c>
      <c r="B833" t="s">
        <v>185</v>
      </c>
      <c r="C833" s="2" t="str">
        <f>HYPERLINK("http://snap.windin.com/ns/bulletin.php?id=140589&amp;type=1", "中国交建:首次公开发行A股股票招股说明书")</f>
        <v>中国交建:首次公开发行A股股票招股说明书</v>
      </c>
    </row>
    <row r="834" spans="1:3" x14ac:dyDescent="0.15">
      <c r="A834" s="1">
        <v>40976</v>
      </c>
      <c r="B834" t="s">
        <v>187</v>
      </c>
      <c r="C834" s="2" t="str">
        <f>HYPERLINK("http://snap.windin.com/ns/bulletin.php?id=107815&amp;type=1", "中泰桥梁:首次公开发行股票上市公告书")</f>
        <v>中泰桥梁:首次公开发行股票上市公告书</v>
      </c>
    </row>
    <row r="835" spans="1:3" x14ac:dyDescent="0.15">
      <c r="A835" s="1">
        <v>40975</v>
      </c>
      <c r="B835" t="s">
        <v>188</v>
      </c>
      <c r="C835" s="2" t="str">
        <f>HYPERLINK("http://snap.windin.com/ns/bulletin.php?id=2116234&amp;type=1", "蓝英装备:首次公开发行股票并在创业板上市公告书提示性公告")</f>
        <v>蓝英装备:首次公开发行股票并在创业板上市公告书提示性公告</v>
      </c>
    </row>
    <row r="836" spans="1:3" x14ac:dyDescent="0.15">
      <c r="A836" s="1">
        <v>40975</v>
      </c>
      <c r="B836" t="s">
        <v>167</v>
      </c>
      <c r="C836" s="2" t="str">
        <f>HYPERLINK("http://snap.windin.com/ns/bulletin.php?id=2069131&amp;type=1", "首航节能:首次公开发行股票招股意向书摘要")</f>
        <v>首航节能:首次公开发行股票招股意向书摘要</v>
      </c>
    </row>
    <row r="837" spans="1:3" x14ac:dyDescent="0.15">
      <c r="A837" s="1">
        <v>40975</v>
      </c>
      <c r="B837" t="s">
        <v>176</v>
      </c>
      <c r="C837" s="2" t="str">
        <f>HYPERLINK("http://snap.windin.com/ns/bulletin.php?id=1927910&amp;type=1", "富春通信:首次公开发行股票并在创业板上市招股说明书")</f>
        <v>富春通信:首次公开发行股票并在创业板上市招股说明书</v>
      </c>
    </row>
    <row r="838" spans="1:3" x14ac:dyDescent="0.15">
      <c r="A838" s="1">
        <v>40975</v>
      </c>
      <c r="B838" t="s">
        <v>167</v>
      </c>
      <c r="C838" s="2" t="str">
        <f>HYPERLINK("http://snap.windin.com/ns/bulletin.php?id=1808594&amp;type=1", "首航节能:首次公开发行股票招股意向书")</f>
        <v>首航节能:首次公开发行股票招股意向书</v>
      </c>
    </row>
    <row r="839" spans="1:3" x14ac:dyDescent="0.15">
      <c r="A839" s="1">
        <v>40975</v>
      </c>
      <c r="B839" t="s">
        <v>189</v>
      </c>
      <c r="C839" s="2" t="str">
        <f>HYPERLINK("http://snap.windin.com/ns/bulletin.php?id=1735832&amp;type=1", "博雅生物:首次公开发行股票并在创业板上市上市公告书")</f>
        <v>博雅生物:首次公开发行股票并在创业板上市上市公告书</v>
      </c>
    </row>
    <row r="840" spans="1:3" x14ac:dyDescent="0.15">
      <c r="A840" s="1">
        <v>40975</v>
      </c>
      <c r="B840" t="s">
        <v>188</v>
      </c>
      <c r="C840" s="2" t="str">
        <f>HYPERLINK("http://snap.windin.com/ns/bulletin.php?id=1599269&amp;type=1", "蓝英装备:首次公开发行股票并在创业板上市之上市公告书")</f>
        <v>蓝英装备:首次公开发行股票并在创业板上市之上市公告书</v>
      </c>
    </row>
    <row r="841" spans="1:3" x14ac:dyDescent="0.15">
      <c r="A841" s="1">
        <v>40975</v>
      </c>
      <c r="B841" t="s">
        <v>189</v>
      </c>
      <c r="C841" s="2" t="str">
        <f>HYPERLINK("http://snap.windin.com/ns/bulletin.php?id=1195872&amp;type=1", "博雅生物:首次公开发行股票并在创业板上市公告书提示性公告")</f>
        <v>博雅生物:首次公开发行股票并在创业板上市公告书提示性公告</v>
      </c>
    </row>
    <row r="842" spans="1:3" x14ac:dyDescent="0.15">
      <c r="A842" s="1">
        <v>40974</v>
      </c>
      <c r="B842" t="s">
        <v>175</v>
      </c>
      <c r="C842" s="2" t="str">
        <f>HYPERLINK("http://snap.windin.com/ns/bulletin.php?id=1722103&amp;type=1", "汉鼎股份:首次公开发行股票并在创业板上市招股说明书")</f>
        <v>汉鼎股份:首次公开发行股票并在创业板上市招股说明书</v>
      </c>
    </row>
    <row r="843" spans="1:3" x14ac:dyDescent="0.15">
      <c r="A843" s="1">
        <v>40974</v>
      </c>
      <c r="B843" t="s">
        <v>169</v>
      </c>
      <c r="C843" s="2" t="str">
        <f>HYPERLINK("http://snap.windin.com/ns/bulletin.php?id=1626463&amp;type=1", "德联集团:首次公开发行股票招股意向书")</f>
        <v>德联集团:首次公开发行股票招股意向书</v>
      </c>
    </row>
    <row r="844" spans="1:3" x14ac:dyDescent="0.15">
      <c r="A844" s="1">
        <v>40974</v>
      </c>
      <c r="B844" t="s">
        <v>169</v>
      </c>
      <c r="C844" s="2" t="str">
        <f>HYPERLINK("http://snap.windin.com/ns/bulletin.php?id=1571369&amp;type=1", "德联集团:首次公开发行股票招股意向书摘要")</f>
        <v>德联集团:首次公开发行股票招股意向书摘要</v>
      </c>
    </row>
    <row r="845" spans="1:3" x14ac:dyDescent="0.15">
      <c r="A845" s="1">
        <v>40974</v>
      </c>
      <c r="B845" t="s">
        <v>177</v>
      </c>
      <c r="C845" s="2" t="str">
        <f>HYPERLINK("http://snap.windin.com/ns/bulletin.php?id=959182&amp;type=1", "茂硕电源:首次公开发行股票招股说明书")</f>
        <v>茂硕电源:首次公开发行股票招股说明书</v>
      </c>
    </row>
    <row r="846" spans="1:3" x14ac:dyDescent="0.15">
      <c r="A846" s="1">
        <v>40974</v>
      </c>
      <c r="B846" t="s">
        <v>177</v>
      </c>
      <c r="C846" s="2" t="str">
        <f>HYPERLINK("http://snap.windin.com/ns/bulletin.php?id=125948&amp;type=1", "茂硕电源:首次公开发行股票招股说明书摘要")</f>
        <v>茂硕电源:首次公开发行股票招股说明书摘要</v>
      </c>
    </row>
    <row r="847" spans="1:3" x14ac:dyDescent="0.15">
      <c r="A847" s="1">
        <v>40973</v>
      </c>
      <c r="B847" t="s">
        <v>174</v>
      </c>
      <c r="C847" s="2" t="str">
        <f>HYPERLINK("http://snap.windin.com/ns/bulletin.php?id=955409&amp;type=1", "三诺生物:首次公开发行股票并在创业板上市招股说明书")</f>
        <v>三诺生物:首次公开发行股票并在创业板上市招股说明书</v>
      </c>
    </row>
    <row r="848" spans="1:3" x14ac:dyDescent="0.15">
      <c r="A848" s="1">
        <v>40973</v>
      </c>
      <c r="B848" t="s">
        <v>178</v>
      </c>
      <c r="C848" s="2" t="str">
        <f>HYPERLINK("http://snap.windin.com/ns/bulletin.php?id=626317&amp;type=1", "普邦园林:首次公开发行股票招股说明书摘要")</f>
        <v>普邦园林:首次公开发行股票招股说明书摘要</v>
      </c>
    </row>
    <row r="849" spans="1:3" x14ac:dyDescent="0.15">
      <c r="A849" s="1">
        <v>40973</v>
      </c>
      <c r="B849" t="s">
        <v>178</v>
      </c>
      <c r="C849" s="2" t="str">
        <f>HYPERLINK("http://snap.windin.com/ns/bulletin.php?id=587522&amp;type=1", "普邦园林:首次公开发行股票招股说明书")</f>
        <v>普邦园林:首次公开发行股票招股说明书</v>
      </c>
    </row>
    <row r="850" spans="1:3" x14ac:dyDescent="0.15">
      <c r="A850" s="1">
        <v>40970</v>
      </c>
      <c r="B850" t="s">
        <v>172</v>
      </c>
      <c r="C850" s="2" t="str">
        <f>HYPERLINK("http://snap.windin.com/ns/bulletin.php?id=2005801&amp;type=1", "云意电气:首次公开发行股票并在创业板上市招股意向书")</f>
        <v>云意电气:首次公开发行股票并在创业板上市招股意向书</v>
      </c>
    </row>
    <row r="851" spans="1:3" x14ac:dyDescent="0.15">
      <c r="A851" s="1">
        <v>40970</v>
      </c>
      <c r="B851" t="s">
        <v>180</v>
      </c>
      <c r="C851" s="2" t="str">
        <f>HYPERLINK("http://snap.windin.com/ns/bulletin.php?id=1761238&amp;type=1", "克明面业:首次公开发行股票招股说明书摘要")</f>
        <v>克明面业:首次公开发行股票招股说明书摘要</v>
      </c>
    </row>
    <row r="852" spans="1:3" x14ac:dyDescent="0.15">
      <c r="A852" s="1">
        <v>40970</v>
      </c>
      <c r="B852" t="s">
        <v>179</v>
      </c>
      <c r="C852" s="2" t="str">
        <f>HYPERLINK("http://snap.windin.com/ns/bulletin.php?id=1735237&amp;type=1", "信质电机:首次公开发行股票招股说明书摘要")</f>
        <v>信质电机:首次公开发行股票招股说明书摘要</v>
      </c>
    </row>
    <row r="853" spans="1:3" x14ac:dyDescent="0.15">
      <c r="A853" s="1">
        <v>40970</v>
      </c>
      <c r="B853" t="s">
        <v>182</v>
      </c>
      <c r="C853" s="2" t="str">
        <f>HYPERLINK("http://snap.windin.com/ns/bulletin.php?id=1619315&amp;type=1", "利亚德:首次公开发行股票并在创业板上市招股说明书")</f>
        <v>利亚德:首次公开发行股票并在创业板上市招股说明书</v>
      </c>
    </row>
    <row r="854" spans="1:3" x14ac:dyDescent="0.15">
      <c r="A854" s="1">
        <v>40970</v>
      </c>
      <c r="B854" t="s">
        <v>179</v>
      </c>
      <c r="C854" s="2" t="str">
        <f>HYPERLINK("http://snap.windin.com/ns/bulletin.php?id=1426424&amp;type=1", "信质电机:首次公开发行股票招股说明书")</f>
        <v>信质电机:首次公开发行股票招股说明书</v>
      </c>
    </row>
    <row r="855" spans="1:3" x14ac:dyDescent="0.15">
      <c r="A855" s="1">
        <v>40970</v>
      </c>
      <c r="B855" t="s">
        <v>180</v>
      </c>
      <c r="C855" s="2" t="str">
        <f>HYPERLINK("http://snap.windin.com/ns/bulletin.php?id=1426090&amp;type=1", "克明面业:首次公开发行股票招股说明书")</f>
        <v>克明面业:首次公开发行股票招股说明书</v>
      </c>
    </row>
    <row r="856" spans="1:3" x14ac:dyDescent="0.15">
      <c r="A856" s="1">
        <v>40970</v>
      </c>
      <c r="B856" t="s">
        <v>183</v>
      </c>
      <c r="C856" s="2" t="str">
        <f>HYPERLINK("http://snap.windin.com/ns/bulletin.php?id=1315789&amp;type=1", "蓝盾股份:首次公开发行股票并在创业板上市招股说明书")</f>
        <v>蓝盾股份:首次公开发行股票并在创业板上市招股说明书</v>
      </c>
    </row>
    <row r="857" spans="1:3" x14ac:dyDescent="0.15">
      <c r="A857" s="1">
        <v>40970</v>
      </c>
      <c r="B857" t="s">
        <v>170</v>
      </c>
      <c r="C857" s="2" t="str">
        <f>HYPERLINK("http://snap.windin.com/ns/bulletin.php?id=212225&amp;type=1", "同有科技:首次公开发行股票在创业板上市招股意向书")</f>
        <v>同有科技:首次公开发行股票在创业板上市招股意向书</v>
      </c>
    </row>
    <row r="858" spans="1:3" x14ac:dyDescent="0.15">
      <c r="A858" s="1">
        <v>40969</v>
      </c>
      <c r="B858" t="s">
        <v>187</v>
      </c>
      <c r="C858" s="2" t="str">
        <f>HYPERLINK("http://snap.windin.com/ns/bulletin.php?id=1668245&amp;type=1", "中泰桥梁:首次公开发行股票招股说明书摘要")</f>
        <v>中泰桥梁:首次公开发行股票招股说明书摘要</v>
      </c>
    </row>
    <row r="859" spans="1:3" x14ac:dyDescent="0.15">
      <c r="A859" s="1">
        <v>40969</v>
      </c>
      <c r="B859" t="s">
        <v>187</v>
      </c>
      <c r="C859" s="2" t="str">
        <f>HYPERLINK("http://snap.windin.com/ns/bulletin.php?id=410016&amp;type=1", "中泰桥梁:首次公开发行股票招股说明书")</f>
        <v>中泰桥梁:首次公开发行股票招股说明书</v>
      </c>
    </row>
    <row r="860" spans="1:3" x14ac:dyDescent="0.15">
      <c r="A860" s="1">
        <v>40968</v>
      </c>
      <c r="B860" t="s">
        <v>181</v>
      </c>
      <c r="C860" s="2" t="str">
        <f>HYPERLINK("http://snap.windin.com/ns/bulletin.php?id=1986848&amp;type=1", "三六五网:首次公开发行股票并在创业板上市招股说明书")</f>
        <v>三六五网:首次公开发行股票并在创业板上市招股说明书</v>
      </c>
    </row>
    <row r="861" spans="1:3" x14ac:dyDescent="0.15">
      <c r="A861" s="1">
        <v>40968</v>
      </c>
      <c r="B861" t="s">
        <v>176</v>
      </c>
      <c r="C861" s="2" t="str">
        <f>HYPERLINK("http://snap.windin.com/ns/bulletin.php?id=1947992&amp;type=1", "富春通信:首次公开发行股票并在创业板上市招股意向书")</f>
        <v>富春通信:首次公开发行股票并在创业板上市招股意向书</v>
      </c>
    </row>
    <row r="862" spans="1:3" x14ac:dyDescent="0.15">
      <c r="A862" s="1">
        <v>40968</v>
      </c>
      <c r="B862" t="s">
        <v>173</v>
      </c>
      <c r="C862" s="2" t="str">
        <f>HYPERLINK("http://snap.windin.com/ns/bulletin.php?id=632522&amp;type=1", "聚飞光电:首次公开发行股票并在创业板上市招股意向书")</f>
        <v>聚飞光电:首次公开发行股票并在创业板上市招股意向书</v>
      </c>
    </row>
    <row r="863" spans="1:3" x14ac:dyDescent="0.15">
      <c r="A863" s="1">
        <v>40967</v>
      </c>
      <c r="B863" t="s">
        <v>186</v>
      </c>
      <c r="C863" s="2" t="str">
        <f>HYPERLINK("http://snap.windin.com/ns/bulletin.php?id=1919638&amp;type=1", "雪迪龙:首次公开发行股票招股说明书摘要")</f>
        <v>雪迪龙:首次公开发行股票招股说明书摘要</v>
      </c>
    </row>
    <row r="864" spans="1:3" x14ac:dyDescent="0.15">
      <c r="A864" s="1">
        <v>40967</v>
      </c>
      <c r="B864" t="s">
        <v>184</v>
      </c>
      <c r="C864" s="2" t="str">
        <f>HYPERLINK("http://snap.windin.com/ns/bulletin.php?id=1868865&amp;type=1", "京威股份:首次公开发行股票招股说明书")</f>
        <v>京威股份:首次公开发行股票招股说明书</v>
      </c>
    </row>
    <row r="865" spans="1:3" x14ac:dyDescent="0.15">
      <c r="A865" s="1">
        <v>40967</v>
      </c>
      <c r="B865" t="s">
        <v>175</v>
      </c>
      <c r="C865" s="2" t="str">
        <f>HYPERLINK("http://snap.windin.com/ns/bulletin.php?id=1794178&amp;type=1", "汉鼎股份:首次公开发行股票并在创业板上市招股意向书")</f>
        <v>汉鼎股份:首次公开发行股票并在创业板上市招股意向书</v>
      </c>
    </row>
    <row r="866" spans="1:3" x14ac:dyDescent="0.15">
      <c r="A866" s="1">
        <v>40967</v>
      </c>
      <c r="B866" t="s">
        <v>184</v>
      </c>
      <c r="C866" s="2" t="str">
        <f>HYPERLINK("http://snap.windin.com/ns/bulletin.php?id=1505115&amp;type=1", "京威股份:首次公开发行股票招股说明书摘要")</f>
        <v>京威股份:首次公开发行股票招股说明书摘要</v>
      </c>
    </row>
    <row r="867" spans="1:3" x14ac:dyDescent="0.15">
      <c r="A867" s="1">
        <v>40967</v>
      </c>
      <c r="B867" t="s">
        <v>171</v>
      </c>
      <c r="C867" s="2" t="str">
        <f>HYPERLINK("http://snap.windin.com/ns/bulletin.php?id=1312048&amp;type=1", "长方照明:首次公开发行股票并在创业板上市招股意向书")</f>
        <v>长方照明:首次公开发行股票并在创业板上市招股意向书</v>
      </c>
    </row>
    <row r="868" spans="1:3" x14ac:dyDescent="0.15">
      <c r="A868" s="1">
        <v>40967</v>
      </c>
      <c r="B868" t="s">
        <v>190</v>
      </c>
      <c r="C868" s="2" t="str">
        <f>HYPERLINK("http://snap.windin.com/ns/bulletin.php?id=1106102&amp;type=1", "吴通通讯:首次公开发行股票并在创业板上市之上市公告书提示性公告")</f>
        <v>吴通通讯:首次公开发行股票并在创业板上市之上市公告书提示性公告</v>
      </c>
    </row>
    <row r="869" spans="1:3" x14ac:dyDescent="0.15">
      <c r="A869" s="1">
        <v>40967</v>
      </c>
      <c r="B869" t="s">
        <v>190</v>
      </c>
      <c r="C869" s="2" t="str">
        <f>HYPERLINK("http://snap.windin.com/ns/bulletin.php?id=955278&amp;type=1", "吴通通讯:首次公开发行股票并在创业板上市公告书")</f>
        <v>吴通通讯:首次公开发行股票并在创业板上市公告书</v>
      </c>
    </row>
    <row r="870" spans="1:3" x14ac:dyDescent="0.15">
      <c r="A870" s="1">
        <v>40967</v>
      </c>
      <c r="B870" t="s">
        <v>189</v>
      </c>
      <c r="C870" s="2" t="str">
        <f>HYPERLINK("http://snap.windin.com/ns/bulletin.php?id=415575&amp;type=1", "博雅生物:首次公开发行股票并在创业板上市招股说明书")</f>
        <v>博雅生物:首次公开发行股票并在创业板上市招股说明书</v>
      </c>
    </row>
    <row r="871" spans="1:3" x14ac:dyDescent="0.15">
      <c r="A871" s="1">
        <v>40967</v>
      </c>
      <c r="B871" t="s">
        <v>186</v>
      </c>
      <c r="C871" s="2" t="str">
        <f>HYPERLINK("http://snap.windin.com/ns/bulletin.php?id=96466&amp;type=1", "雪迪龙:首次公开发行股票招股说明书")</f>
        <v>雪迪龙:首次公开发行股票招股说明书</v>
      </c>
    </row>
    <row r="872" spans="1:3" x14ac:dyDescent="0.15">
      <c r="A872" s="1">
        <v>40966</v>
      </c>
      <c r="B872" t="s">
        <v>188</v>
      </c>
      <c r="C872" s="2" t="str">
        <f>HYPERLINK("http://snap.windin.com/ns/bulletin.php?id=2080367&amp;type=1", "蓝英装备:首次公开发行股票并在创业板上市招股说明书")</f>
        <v>蓝英装备:首次公开发行股票并在创业板上市招股说明书</v>
      </c>
    </row>
    <row r="873" spans="1:3" x14ac:dyDescent="0.15">
      <c r="A873" s="1">
        <v>40966</v>
      </c>
      <c r="B873" t="s">
        <v>191</v>
      </c>
      <c r="C873" s="2" t="str">
        <f>HYPERLINK("http://snap.windin.com/ns/bulletin.php?id=1952470&amp;type=1", "中科金财:首次公开发行股票上市公告书")</f>
        <v>中科金财:首次公开发行股票上市公告书</v>
      </c>
    </row>
    <row r="874" spans="1:3" x14ac:dyDescent="0.15">
      <c r="A874" s="1">
        <v>40966</v>
      </c>
      <c r="B874" t="s">
        <v>192</v>
      </c>
      <c r="C874" s="2" t="str">
        <f>HYPERLINK("http://snap.windin.com/ns/bulletin.php?id=1616942&amp;type=1", "卡奴迪路:首次公开发行股票上市公告书")</f>
        <v>卡奴迪路:首次公开发行股票上市公告书</v>
      </c>
    </row>
    <row r="875" spans="1:3" x14ac:dyDescent="0.15">
      <c r="A875" s="1">
        <v>40966</v>
      </c>
      <c r="B875" t="s">
        <v>177</v>
      </c>
      <c r="C875" s="2" t="str">
        <f>HYPERLINK("http://snap.windin.com/ns/bulletin.php?id=1410079&amp;type=1", "茂硕电源:首次公开发行股票招股意向书摘要")</f>
        <v>茂硕电源:首次公开发行股票招股意向书摘要</v>
      </c>
    </row>
    <row r="876" spans="1:3" x14ac:dyDescent="0.15">
      <c r="A876" s="1">
        <v>40966</v>
      </c>
      <c r="B876" t="s">
        <v>177</v>
      </c>
      <c r="C876" s="2" t="str">
        <f>HYPERLINK("http://snap.windin.com/ns/bulletin.php?id=185052&amp;type=1", "茂硕电源:首次公开发行股票招股意向书")</f>
        <v>茂硕电源:首次公开发行股票招股意向书</v>
      </c>
    </row>
    <row r="877" spans="1:3" x14ac:dyDescent="0.15">
      <c r="A877" s="1">
        <v>40963</v>
      </c>
      <c r="B877" t="s">
        <v>178</v>
      </c>
      <c r="C877" s="2" t="str">
        <f>HYPERLINK("http://snap.windin.com/ns/bulletin.php?id=2036918&amp;type=1", "普邦园林:首次公开发行股票招股意向书")</f>
        <v>普邦园林:首次公开发行股票招股意向书</v>
      </c>
    </row>
    <row r="878" spans="1:3" x14ac:dyDescent="0.15">
      <c r="A878" s="1">
        <v>40963</v>
      </c>
      <c r="B878" t="s">
        <v>179</v>
      </c>
      <c r="C878" s="2" t="str">
        <f>HYPERLINK("http://snap.windin.com/ns/bulletin.php?id=984053&amp;type=1", "信质电机:首次公开发行股票招股意向书摘要")</f>
        <v>信质电机:首次公开发行股票招股意向书摘要</v>
      </c>
    </row>
    <row r="879" spans="1:3" x14ac:dyDescent="0.15">
      <c r="A879" s="1">
        <v>40963</v>
      </c>
      <c r="B879" t="s">
        <v>174</v>
      </c>
      <c r="C879" s="2" t="str">
        <f>HYPERLINK("http://snap.windin.com/ns/bulletin.php?id=758834&amp;type=1", "三诺生物:首次公开发行股票并在创业板上市招股意向书")</f>
        <v>三诺生物:首次公开发行股票并在创业板上市招股意向书</v>
      </c>
    </row>
    <row r="880" spans="1:3" x14ac:dyDescent="0.15">
      <c r="A880" s="1">
        <v>40963</v>
      </c>
      <c r="B880" t="s">
        <v>178</v>
      </c>
      <c r="C880" s="2" t="str">
        <f>HYPERLINK("http://snap.windin.com/ns/bulletin.php?id=588532&amp;type=1", "普邦园林:首次公开发行股票招股意向书摘要")</f>
        <v>普邦园林:首次公开发行股票招股意向书摘要</v>
      </c>
    </row>
    <row r="881" spans="1:3" x14ac:dyDescent="0.15">
      <c r="A881" s="1">
        <v>40963</v>
      </c>
      <c r="B881" t="s">
        <v>179</v>
      </c>
      <c r="C881" s="2" t="str">
        <f>HYPERLINK("http://snap.windin.com/ns/bulletin.php?id=463850&amp;type=1", "信质电机:首次公开发行股票招股意向书")</f>
        <v>信质电机:首次公开发行股票招股意向书</v>
      </c>
    </row>
    <row r="882" spans="1:3" x14ac:dyDescent="0.15">
      <c r="A882" s="1">
        <v>40962</v>
      </c>
      <c r="B882" t="s">
        <v>180</v>
      </c>
      <c r="C882" s="2" t="str">
        <f>HYPERLINK("http://snap.windin.com/ns/bulletin.php?id=2103150&amp;type=1", "克明面业:首次公开发行股票招股意向书摘要")</f>
        <v>克明面业:首次公开发行股票招股意向书摘要</v>
      </c>
    </row>
    <row r="883" spans="1:3" x14ac:dyDescent="0.15">
      <c r="A883" s="1">
        <v>40962</v>
      </c>
      <c r="B883" t="s">
        <v>180</v>
      </c>
      <c r="C883" s="2" t="str">
        <f>HYPERLINK("http://snap.windin.com/ns/bulletin.php?id=1733963&amp;type=1", "克明面业:首次公开发行股票招股意向书")</f>
        <v>克明面业:首次公开发行股票招股意向书</v>
      </c>
    </row>
    <row r="884" spans="1:3" x14ac:dyDescent="0.15">
      <c r="A884" s="1">
        <v>40962</v>
      </c>
      <c r="B884" t="s">
        <v>183</v>
      </c>
      <c r="C884" s="2" t="str">
        <f>HYPERLINK("http://snap.windin.com/ns/bulletin.php?id=1707287&amp;type=1", "蓝盾股份:首次公开发行股票并在创业板上市招股意向书")</f>
        <v>蓝盾股份:首次公开发行股票并在创业板上市招股意向书</v>
      </c>
    </row>
    <row r="885" spans="1:3" x14ac:dyDescent="0.15">
      <c r="A885" s="1">
        <v>40961</v>
      </c>
      <c r="B885" t="s">
        <v>181</v>
      </c>
      <c r="C885" s="2" t="str">
        <f>HYPERLINK("http://snap.windin.com/ns/bulletin.php?id=1720764&amp;type=1", "三六五网:首次公开发行股票并在创业板上市招股意向书")</f>
        <v>三六五网:首次公开发行股票并在创业板上市招股意向书</v>
      </c>
    </row>
    <row r="886" spans="1:3" x14ac:dyDescent="0.15">
      <c r="A886" s="1">
        <v>40961</v>
      </c>
      <c r="B886" t="s">
        <v>193</v>
      </c>
      <c r="C886" s="2" t="str">
        <f>HYPERLINK("http://snap.windin.com/ns/bulletin.php?id=1589909&amp;type=1", "吉视传媒:首次公开发行股票（A股）上市公告书")</f>
        <v>吉视传媒:首次公开发行股票（A股）上市公告书</v>
      </c>
    </row>
    <row r="887" spans="1:3" x14ac:dyDescent="0.15">
      <c r="A887" s="1">
        <v>40961</v>
      </c>
      <c r="B887" t="s">
        <v>182</v>
      </c>
      <c r="C887" s="2" t="str">
        <f>HYPERLINK("http://snap.windin.com/ns/bulletin.php?id=1170456&amp;type=1", "利亚德:首次公开发行股票并在创业板上市招股意向书")</f>
        <v>利亚德:首次公开发行股票并在创业板上市招股意向书</v>
      </c>
    </row>
    <row r="888" spans="1:3" x14ac:dyDescent="0.15">
      <c r="A888" s="1">
        <v>40961</v>
      </c>
      <c r="B888" t="s">
        <v>193</v>
      </c>
      <c r="C888" s="2" t="str">
        <f>HYPERLINK("http://snap.windin.com/ns/bulletin.php?id=1104507&amp;type=1", "吉视传媒:首次公开发行股票（A股）招股说明书")</f>
        <v>吉视传媒:首次公开发行股票（A股）招股说明书</v>
      </c>
    </row>
    <row r="889" spans="1:3" x14ac:dyDescent="0.15">
      <c r="A889" s="1">
        <v>40959</v>
      </c>
      <c r="B889" t="s">
        <v>184</v>
      </c>
      <c r="C889" s="2" t="str">
        <f>HYPERLINK("http://snap.windin.com/ns/bulletin.php?id=1758192&amp;type=1", "京威股份:首次公开发行股票招股意向书")</f>
        <v>京威股份:首次公开发行股票招股意向书</v>
      </c>
    </row>
    <row r="890" spans="1:3" x14ac:dyDescent="0.15">
      <c r="A890" s="1">
        <v>40959</v>
      </c>
      <c r="B890" t="s">
        <v>187</v>
      </c>
      <c r="C890" s="2" t="str">
        <f>HYPERLINK("http://snap.windin.com/ns/bulletin.php?id=1685491&amp;type=1", "中泰桥梁:首次公开发行股票招股意向书摘要")</f>
        <v>中泰桥梁:首次公开发行股票招股意向书摘要</v>
      </c>
    </row>
    <row r="891" spans="1:3" x14ac:dyDescent="0.15">
      <c r="A891" s="1">
        <v>40959</v>
      </c>
      <c r="B891" t="s">
        <v>186</v>
      </c>
      <c r="C891" s="2" t="str">
        <f>HYPERLINK("http://snap.windin.com/ns/bulletin.php?id=1545031&amp;type=1", "雪迪龙:首次公开发行股票招股意向书摘要")</f>
        <v>雪迪龙:首次公开发行股票招股意向书摘要</v>
      </c>
    </row>
    <row r="892" spans="1:3" x14ac:dyDescent="0.15">
      <c r="A892" s="1">
        <v>40959</v>
      </c>
      <c r="B892" t="s">
        <v>186</v>
      </c>
      <c r="C892" s="2" t="str">
        <f>HYPERLINK("http://snap.windin.com/ns/bulletin.php?id=1452264&amp;type=1", "雪迪龙:首次公开发行股票招股意向书")</f>
        <v>雪迪龙:首次公开发行股票招股意向书</v>
      </c>
    </row>
    <row r="893" spans="1:3" x14ac:dyDescent="0.15">
      <c r="A893" s="1">
        <v>40959</v>
      </c>
      <c r="B893" t="s">
        <v>187</v>
      </c>
      <c r="C893" s="2" t="str">
        <f>HYPERLINK("http://snap.windin.com/ns/bulletin.php?id=1210478&amp;type=1", "中泰桥梁:首次公开发行股票招股意向书")</f>
        <v>中泰桥梁:首次公开发行股票招股意向书</v>
      </c>
    </row>
    <row r="894" spans="1:3" x14ac:dyDescent="0.15">
      <c r="A894" s="1">
        <v>40959</v>
      </c>
      <c r="B894" t="s">
        <v>190</v>
      </c>
      <c r="C894" s="2" t="str">
        <f>HYPERLINK("http://snap.windin.com/ns/bulletin.php?id=961376&amp;type=1", "吴通通讯:首次公开发行股票并在创业板上市招股说明书")</f>
        <v>吴通通讯:首次公开发行股票并在创业板上市招股说明书</v>
      </c>
    </row>
    <row r="895" spans="1:3" x14ac:dyDescent="0.15">
      <c r="A895" s="1">
        <v>40959</v>
      </c>
      <c r="B895" t="s">
        <v>184</v>
      </c>
      <c r="C895" s="2" t="str">
        <f>HYPERLINK("http://snap.windin.com/ns/bulletin.php?id=456555&amp;type=1", "京威股份:首次公开发行股票招股意向书摘要")</f>
        <v>京威股份:首次公开发行股票招股意向书摘要</v>
      </c>
    </row>
    <row r="896" spans="1:3" x14ac:dyDescent="0.15">
      <c r="A896" s="1">
        <v>40956</v>
      </c>
      <c r="B896" t="s">
        <v>194</v>
      </c>
      <c r="C896" s="2" t="str">
        <f>HYPERLINK("http://snap.windin.com/ns/bulletin.php?id=1901813&amp;type=1", "环旭电子:首次公开发行A股股票上市公告书")</f>
        <v>环旭电子:首次公开发行A股股票上市公告书</v>
      </c>
    </row>
    <row r="897" spans="1:3" x14ac:dyDescent="0.15">
      <c r="A897" s="1">
        <v>40956</v>
      </c>
      <c r="B897" t="s">
        <v>191</v>
      </c>
      <c r="C897" s="2" t="str">
        <f>HYPERLINK("http://snap.windin.com/ns/bulletin.php?id=1660331&amp;type=1", "中科金财:首次公开发行股票招股说明书")</f>
        <v>中科金财:首次公开发行股票招股说明书</v>
      </c>
    </row>
    <row r="898" spans="1:3" x14ac:dyDescent="0.15">
      <c r="A898" s="1">
        <v>40956</v>
      </c>
      <c r="B898" t="s">
        <v>191</v>
      </c>
      <c r="C898" s="2" t="str">
        <f>HYPERLINK("http://snap.windin.com/ns/bulletin.php?id=1580343&amp;type=1", "中科金财:首次公开发行股票招股说明书摘要")</f>
        <v>中科金财:首次公开发行股票招股说明书摘要</v>
      </c>
    </row>
    <row r="899" spans="1:3" x14ac:dyDescent="0.15">
      <c r="A899" s="1">
        <v>40956</v>
      </c>
      <c r="B899" t="s">
        <v>194</v>
      </c>
      <c r="C899" s="2" t="str">
        <f>HYPERLINK("http://snap.windin.com/ns/bulletin.php?id=782973&amp;type=1", "环旭电子:首次公开发行股票招股说明书")</f>
        <v>环旭电子:首次公开发行股票招股说明书</v>
      </c>
    </row>
    <row r="900" spans="1:3" x14ac:dyDescent="0.15">
      <c r="A900" s="1">
        <v>40956</v>
      </c>
      <c r="B900" t="s">
        <v>189</v>
      </c>
      <c r="C900" s="2" t="str">
        <f>HYPERLINK("http://snap.windin.com/ns/bulletin.php?id=766025&amp;type=1", "博雅生物:首次公开发行股票并在创业板上市招股意向书")</f>
        <v>博雅生物:首次公开发行股票并在创业板上市招股意向书</v>
      </c>
    </row>
    <row r="901" spans="1:3" x14ac:dyDescent="0.15">
      <c r="A901" s="1">
        <v>40955</v>
      </c>
      <c r="B901" t="s">
        <v>192</v>
      </c>
      <c r="C901" s="2" t="str">
        <f>HYPERLINK("http://snap.windin.com/ns/bulletin.php?id=2071928&amp;type=1", "卡奴迪路:首次公开发行股票招股说明书")</f>
        <v>卡奴迪路:首次公开发行股票招股说明书</v>
      </c>
    </row>
    <row r="902" spans="1:3" x14ac:dyDescent="0.15">
      <c r="A902" s="1">
        <v>40955</v>
      </c>
      <c r="B902" t="s">
        <v>192</v>
      </c>
      <c r="C902" s="2" t="str">
        <f>HYPERLINK("http://snap.windin.com/ns/bulletin.php?id=1910377&amp;type=1", "卡奴迪路:首次公开发行股票招股说明书摘要")</f>
        <v>卡奴迪路:首次公开发行股票招股说明书摘要</v>
      </c>
    </row>
    <row r="903" spans="1:3" x14ac:dyDescent="0.15">
      <c r="A903" s="1">
        <v>40955</v>
      </c>
      <c r="B903" t="s">
        <v>195</v>
      </c>
      <c r="C903" s="2" t="str">
        <f>HYPERLINK("http://snap.windin.com/ns/bulletin.php?id=1162823&amp;type=1", "共达电声:首次公开发行股票上市公告书")</f>
        <v>共达电声:首次公开发行股票上市公告书</v>
      </c>
    </row>
    <row r="904" spans="1:3" x14ac:dyDescent="0.15">
      <c r="A904" s="1">
        <v>40955</v>
      </c>
      <c r="B904" t="s">
        <v>196</v>
      </c>
      <c r="C904" s="2" t="str">
        <f>HYPERLINK("http://snap.windin.com/ns/bulletin.php?id=1058858&amp;type=1", "万润科技:首次公开发行股票上市公告书")</f>
        <v>万润科技:首次公开发行股票上市公告书</v>
      </c>
    </row>
    <row r="905" spans="1:3" x14ac:dyDescent="0.15">
      <c r="A905" s="1">
        <v>40955</v>
      </c>
      <c r="B905" t="s">
        <v>188</v>
      </c>
      <c r="C905" s="2" t="str">
        <f>HYPERLINK("http://snap.windin.com/ns/bulletin.php?id=993513&amp;type=1", "蓝英装备:首次公开发行股票并在创业板上市招股意向书")</f>
        <v>蓝英装备:首次公开发行股票并在创业板上市招股意向书</v>
      </c>
    </row>
    <row r="906" spans="1:3" x14ac:dyDescent="0.15">
      <c r="A906" s="1">
        <v>40954</v>
      </c>
      <c r="B906" t="s">
        <v>197</v>
      </c>
      <c r="C906" s="2" t="str">
        <f>HYPERLINK("http://snap.windin.com/ns/bulletin.php?id=1764024&amp;type=1", "荣科科技:首次公开发行股票并在创业板上市公告书提示性公告")</f>
        <v>荣科科技:首次公开发行股票并在创业板上市公告书提示性公告</v>
      </c>
    </row>
    <row r="907" spans="1:3" x14ac:dyDescent="0.15">
      <c r="A907" s="1">
        <v>40954</v>
      </c>
      <c r="B907" t="s">
        <v>198</v>
      </c>
      <c r="C907" s="2" t="str">
        <f>HYPERLINK("http://snap.windin.com/ns/bulletin.php?id=1259369&amp;type=1", "东风股份:首次公开发行A股股票上市公告书")</f>
        <v>东风股份:首次公开发行A股股票上市公告书</v>
      </c>
    </row>
    <row r="908" spans="1:3" x14ac:dyDescent="0.15">
      <c r="A908" s="1">
        <v>40954</v>
      </c>
      <c r="B908" t="s">
        <v>199</v>
      </c>
      <c r="C908" s="2" t="str">
        <f>HYPERLINK("http://snap.windin.com/ns/bulletin.php?id=959114&amp;type=1", "朗玛信息:首次公开发行股票并在创业板上市公告书提示性公告")</f>
        <v>朗玛信息:首次公开发行股票并在创业板上市公告书提示性公告</v>
      </c>
    </row>
    <row r="909" spans="1:3" x14ac:dyDescent="0.15">
      <c r="A909" s="1">
        <v>40954</v>
      </c>
      <c r="B909" t="s">
        <v>197</v>
      </c>
      <c r="C909" s="2" t="str">
        <f>HYPERLINK("http://snap.windin.com/ns/bulletin.php?id=941104&amp;type=1", "荣科科技:首次公开发行股票并在创业板上市公告书")</f>
        <v>荣科科技:首次公开发行股票并在创业板上市公告书</v>
      </c>
    </row>
    <row r="910" spans="1:3" x14ac:dyDescent="0.15">
      <c r="A910" s="1">
        <v>40954</v>
      </c>
      <c r="B910" t="s">
        <v>200</v>
      </c>
      <c r="C910" s="2" t="str">
        <f>HYPERLINK("http://snap.windin.com/ns/bulletin.php?id=774634&amp;type=1", "利德曼:首次公开发行股票并在创业板上市之上市公告书")</f>
        <v>利德曼:首次公开发行股票并在创业板上市之上市公告书</v>
      </c>
    </row>
    <row r="911" spans="1:3" x14ac:dyDescent="0.15">
      <c r="A911" s="1">
        <v>40954</v>
      </c>
      <c r="B911" t="s">
        <v>198</v>
      </c>
      <c r="C911" s="2" t="str">
        <f>HYPERLINK("http://snap.windin.com/ns/bulletin.php?id=594797&amp;type=1", "东风股份:首次公开发行股票招股说明书")</f>
        <v>东风股份:首次公开发行股票招股说明书</v>
      </c>
    </row>
    <row r="912" spans="1:3" x14ac:dyDescent="0.15">
      <c r="A912" s="1">
        <v>40954</v>
      </c>
      <c r="B912" t="s">
        <v>199</v>
      </c>
      <c r="C912" s="2" t="str">
        <f>HYPERLINK("http://snap.windin.com/ns/bulletin.php?id=408058&amp;type=1", "朗玛信息:首次公开发行股票上市公告书")</f>
        <v>朗玛信息:首次公开发行股票上市公告书</v>
      </c>
    </row>
    <row r="913" spans="1:3" x14ac:dyDescent="0.15">
      <c r="A913" s="1">
        <v>40949</v>
      </c>
      <c r="B913" t="s">
        <v>190</v>
      </c>
      <c r="C913" s="2" t="str">
        <f>HYPERLINK("http://snap.windin.com/ns/bulletin.php?id=1246470&amp;type=1", "吴通通讯:首次公开发行股票并在创业板上市招股意向书")</f>
        <v>吴通通讯:首次公开发行股票并在创业板上市招股意向书</v>
      </c>
    </row>
    <row r="914" spans="1:3" x14ac:dyDescent="0.15">
      <c r="A914" s="1">
        <v>40947</v>
      </c>
      <c r="B914" t="s">
        <v>191</v>
      </c>
      <c r="C914" s="2" t="str">
        <f>HYPERLINK("http://snap.windin.com/ns/bulletin.php?id=2108015&amp;type=1", "中科金财:首次公开发行股票招股意向书摘要")</f>
        <v>中科金财:首次公开发行股票招股意向书摘要</v>
      </c>
    </row>
    <row r="915" spans="1:3" x14ac:dyDescent="0.15">
      <c r="A915" s="1">
        <v>40947</v>
      </c>
      <c r="B915" t="s">
        <v>201</v>
      </c>
      <c r="C915" s="2" t="str">
        <f>HYPERLINK("http://snap.windin.com/ns/bulletin.php?id=2091862&amp;type=1", "华录百纳:首次公开发行股票并在创业板上市之上市公告书")</f>
        <v>华录百纳:首次公开发行股票并在创业板上市之上市公告书</v>
      </c>
    </row>
    <row r="916" spans="1:3" x14ac:dyDescent="0.15">
      <c r="A916" s="1">
        <v>40947</v>
      </c>
      <c r="B916" t="s">
        <v>191</v>
      </c>
      <c r="C916" s="2" t="str">
        <f>HYPERLINK("http://snap.windin.com/ns/bulletin.php?id=1609938&amp;type=1", "中科金财:首次公开发行股票招股意向书")</f>
        <v>中科金财:首次公开发行股票招股意向书</v>
      </c>
    </row>
    <row r="917" spans="1:3" x14ac:dyDescent="0.15">
      <c r="A917" s="1">
        <v>40947</v>
      </c>
      <c r="B917" t="s">
        <v>201</v>
      </c>
      <c r="C917" s="2" t="str">
        <f>HYPERLINK("http://snap.windin.com/ns/bulletin.php?id=1538077&amp;type=1", "华录百纳:首次公开发行股票并在创业板上市之上市公告书提示性公告")</f>
        <v>华录百纳:首次公开发行股票并在创业板上市之上市公告书提示性公告</v>
      </c>
    </row>
    <row r="918" spans="1:3" x14ac:dyDescent="0.15">
      <c r="A918" s="1">
        <v>40947</v>
      </c>
      <c r="B918" t="s">
        <v>195</v>
      </c>
      <c r="C918" s="2" t="str">
        <f>HYPERLINK("http://snap.windin.com/ns/bulletin.php?id=1350277&amp;type=1", "共达电声:首次公开发行股票招股说明书摘要")</f>
        <v>共达电声:首次公开发行股票招股说明书摘要</v>
      </c>
    </row>
    <row r="919" spans="1:3" x14ac:dyDescent="0.15">
      <c r="A919" s="1">
        <v>40947</v>
      </c>
      <c r="B919" t="s">
        <v>195</v>
      </c>
      <c r="C919" s="2" t="str">
        <f>HYPERLINK("http://snap.windin.com/ns/bulletin.php?id=1258801&amp;type=1", "共达电声:首次公开发行股票招股说明书摘要（更新后）")</f>
        <v>共达电声:首次公开发行股票招股说明书摘要（更新后）</v>
      </c>
    </row>
    <row r="920" spans="1:3" x14ac:dyDescent="0.15">
      <c r="A920" s="1">
        <v>40947</v>
      </c>
      <c r="B920" t="s">
        <v>195</v>
      </c>
      <c r="C920" s="2" t="str">
        <f>HYPERLINK("http://snap.windin.com/ns/bulletin.php?id=720646&amp;type=1", "共达电声:首次公开发行股票招股说明书（更新后）")</f>
        <v>共达电声:首次公开发行股票招股说明书（更新后）</v>
      </c>
    </row>
    <row r="921" spans="1:3" x14ac:dyDescent="0.15">
      <c r="A921" s="1">
        <v>40947</v>
      </c>
      <c r="B921" t="s">
        <v>195</v>
      </c>
      <c r="C921" s="2" t="str">
        <f>HYPERLINK("http://snap.windin.com/ns/bulletin.php?id=219030&amp;type=1", "共达电声:首次公开发行股票招股说明书")</f>
        <v>共达电声:首次公开发行股票招股说明书</v>
      </c>
    </row>
    <row r="922" spans="1:3" x14ac:dyDescent="0.15">
      <c r="A922" s="1">
        <v>40946</v>
      </c>
      <c r="B922" t="s">
        <v>199</v>
      </c>
      <c r="C922" s="2" t="str">
        <f>HYPERLINK("http://snap.windin.com/ns/bulletin.php?id=2002321&amp;type=1", "朗玛信息:首次公开发行股票并在创业板上市招股说明书")</f>
        <v>朗玛信息:首次公开发行股票并在创业板上市招股说明书</v>
      </c>
    </row>
    <row r="923" spans="1:3" x14ac:dyDescent="0.15">
      <c r="A923" s="1">
        <v>40946</v>
      </c>
      <c r="B923" t="s">
        <v>200</v>
      </c>
      <c r="C923" s="2" t="str">
        <f>HYPERLINK("http://snap.windin.com/ns/bulletin.php?id=1031907&amp;type=1", "利德曼:首次公开发行股票并在创业板上市招股说明书")</f>
        <v>利德曼:首次公开发行股票并在创业板上市招股说明书</v>
      </c>
    </row>
    <row r="924" spans="1:3" x14ac:dyDescent="0.15">
      <c r="A924" s="1">
        <v>40946</v>
      </c>
      <c r="B924" t="s">
        <v>197</v>
      </c>
      <c r="C924" s="2" t="str">
        <f>HYPERLINK("http://snap.windin.com/ns/bulletin.php?id=743175&amp;type=1", "荣科科技:首次公开发行股票并在创业板上市招股说明书")</f>
        <v>荣科科技:首次公开发行股票并在创业板上市招股说明书</v>
      </c>
    </row>
    <row r="925" spans="1:3" x14ac:dyDescent="0.15">
      <c r="A925" s="1">
        <v>40945</v>
      </c>
      <c r="B925" t="s">
        <v>192</v>
      </c>
      <c r="C925" s="2" t="str">
        <f>HYPERLINK("http://snap.windin.com/ns/bulletin.php?id=1400084&amp;type=1", "卡奴迪路:首次公开发行股票招股意向书")</f>
        <v>卡奴迪路:首次公开发行股票招股意向书</v>
      </c>
    </row>
    <row r="926" spans="1:3" x14ac:dyDescent="0.15">
      <c r="A926" s="1">
        <v>40945</v>
      </c>
      <c r="B926" t="s">
        <v>192</v>
      </c>
      <c r="C926" s="2" t="str">
        <f>HYPERLINK("http://snap.windin.com/ns/bulletin.php?id=579985&amp;type=1", "卡奴迪路:首次公开发行股票招股意向书摘要")</f>
        <v>卡奴迪路:首次公开发行股票招股意向书摘要</v>
      </c>
    </row>
    <row r="927" spans="1:3" x14ac:dyDescent="0.15">
      <c r="A927" s="1">
        <v>40942</v>
      </c>
      <c r="B927" t="s">
        <v>196</v>
      </c>
      <c r="C927" s="2" t="str">
        <f>HYPERLINK("http://snap.windin.com/ns/bulletin.php?id=2126116&amp;type=1", "万润科技:首次公开发行股票招股说明书")</f>
        <v>万润科技:首次公开发行股票招股说明书</v>
      </c>
    </row>
    <row r="928" spans="1:3" x14ac:dyDescent="0.15">
      <c r="A928" s="1">
        <v>40942</v>
      </c>
      <c r="B928" t="s">
        <v>196</v>
      </c>
      <c r="C928" s="2" t="str">
        <f>HYPERLINK("http://snap.windin.com/ns/bulletin.php?id=2114514&amp;type=1", "万润科技:首次公开发行股票招股说明书（更新后）")</f>
        <v>万润科技:首次公开发行股票招股说明书（更新后）</v>
      </c>
    </row>
    <row r="929" spans="1:3" x14ac:dyDescent="0.15">
      <c r="A929" s="1">
        <v>40942</v>
      </c>
      <c r="B929" t="s">
        <v>196</v>
      </c>
      <c r="C929" s="2" t="str">
        <f>HYPERLINK("http://snap.windin.com/ns/bulletin.php?id=865947&amp;type=1", "万润科技:首次公开发行股票招股说明书摘要")</f>
        <v>万润科技:首次公开发行股票招股说明书摘要</v>
      </c>
    </row>
    <row r="930" spans="1:3" x14ac:dyDescent="0.15">
      <c r="A930" s="1">
        <v>40942</v>
      </c>
      <c r="B930" t="s">
        <v>196</v>
      </c>
      <c r="C930" s="2" t="str">
        <f>HYPERLINK("http://snap.windin.com/ns/bulletin.php?id=446282&amp;type=1", "万润科技:首次公开发行股票招股说明书摘要（更新后）")</f>
        <v>万润科技:首次公开发行股票招股说明书摘要（更新后）</v>
      </c>
    </row>
    <row r="931" spans="1:3" x14ac:dyDescent="0.15">
      <c r="A931" s="1">
        <v>40939</v>
      </c>
      <c r="B931" t="s">
        <v>185</v>
      </c>
      <c r="C931" s="2" t="str">
        <f>HYPERLINK("http://snap.windin.com/ns/bulletin.php?id=1638064&amp;type=1", "中国交建:首次公开发行A股股票招股意向书附录一")</f>
        <v>中国交建:首次公开发行A股股票招股意向书附录一</v>
      </c>
    </row>
    <row r="932" spans="1:3" x14ac:dyDescent="0.15">
      <c r="A932" s="1">
        <v>40939</v>
      </c>
      <c r="B932" t="s">
        <v>202</v>
      </c>
      <c r="C932" s="2" t="str">
        <f>HYPERLINK("http://snap.windin.com/ns/bulletin.php?id=1629707&amp;type=1", "飞利信:首次公开发行股票并在创业板上市之上市公告书")</f>
        <v>飞利信:首次公开发行股票并在创业板上市之上市公告书</v>
      </c>
    </row>
    <row r="933" spans="1:3" x14ac:dyDescent="0.15">
      <c r="A933" s="1">
        <v>40939</v>
      </c>
      <c r="B933" t="s">
        <v>185</v>
      </c>
      <c r="C933" s="2" t="str">
        <f>HYPERLINK("http://snap.windin.com/ns/bulletin.php?id=1200694&amp;type=1", "中国交建:首次公开发行A股股票招股意向书附录二")</f>
        <v>中国交建:首次公开发行A股股票招股意向书附录二</v>
      </c>
    </row>
    <row r="934" spans="1:3" x14ac:dyDescent="0.15">
      <c r="A934" s="1">
        <v>40939</v>
      </c>
      <c r="B934" t="s">
        <v>185</v>
      </c>
      <c r="C934" s="2" t="str">
        <f>HYPERLINK("http://snap.windin.com/ns/bulletin.php?id=908298&amp;type=1", "中国交建:首次公开发行A股股票招股意向书")</f>
        <v>中国交建:首次公开发行A股股票招股意向书</v>
      </c>
    </row>
    <row r="935" spans="1:3" x14ac:dyDescent="0.15">
      <c r="A935" s="1">
        <v>40939</v>
      </c>
      <c r="B935" t="s">
        <v>185</v>
      </c>
      <c r="C935" s="2" t="str">
        <f>HYPERLINK("http://snap.windin.com/ns/bulletin.php?id=796506&amp;type=1", "中国交建:首次公开发行A股股票招股意向书摘要")</f>
        <v>中国交建:首次公开发行A股股票招股意向书摘要</v>
      </c>
    </row>
    <row r="936" spans="1:3" x14ac:dyDescent="0.15">
      <c r="A936" s="1">
        <v>40939</v>
      </c>
      <c r="B936" t="s">
        <v>195</v>
      </c>
      <c r="C936" s="2" t="str">
        <f>HYPERLINK("http://snap.windin.com/ns/bulletin.php?id=578672&amp;type=1", "共达电声:首次公开发行股票招股意向书摘要")</f>
        <v>共达电声:首次公开发行股票招股意向书摘要</v>
      </c>
    </row>
    <row r="937" spans="1:3" x14ac:dyDescent="0.15">
      <c r="A937" s="1">
        <v>40939</v>
      </c>
      <c r="B937" t="s">
        <v>202</v>
      </c>
      <c r="C937" s="2" t="str">
        <f>HYPERLINK("http://snap.windin.com/ns/bulletin.php?id=556073&amp;type=1", "飞利信:首次公开发行股票并在创业板上市上市公告书提示性公告")</f>
        <v>飞利信:首次公开发行股票并在创业板上市上市公告书提示性公告</v>
      </c>
    </row>
    <row r="938" spans="1:3" x14ac:dyDescent="0.15">
      <c r="A938" s="1">
        <v>40939</v>
      </c>
      <c r="B938" t="s">
        <v>185</v>
      </c>
      <c r="C938" s="2" t="str">
        <f>HYPERLINK("http://snap.windin.com/ns/bulletin.php?id=416852&amp;type=1", "中国交建:中国交建首次公开发行A股股票招股意向书附录三")</f>
        <v>中国交建:中国交建首次公开发行A股股票招股意向书附录三</v>
      </c>
    </row>
    <row r="939" spans="1:3" x14ac:dyDescent="0.15">
      <c r="A939" s="1">
        <v>40939</v>
      </c>
      <c r="B939" t="s">
        <v>201</v>
      </c>
      <c r="C939" s="2" t="str">
        <f>HYPERLINK("http://snap.windin.com/ns/bulletin.php?id=405030&amp;type=1", "华录百纳:首次公开发行股票并在创业板上市招股说明书")</f>
        <v>华录百纳:首次公开发行股票并在创业板上市招股说明书</v>
      </c>
    </row>
    <row r="940" spans="1:3" x14ac:dyDescent="0.15">
      <c r="A940" s="1">
        <v>40939</v>
      </c>
      <c r="B940" t="s">
        <v>195</v>
      </c>
      <c r="C940" s="2" t="str">
        <f>HYPERLINK("http://snap.windin.com/ns/bulletin.php?id=183871&amp;type=1", "共达电声:首次公开发行股票招股意向书")</f>
        <v>共达电声:首次公开发行股票招股意向书</v>
      </c>
    </row>
    <row r="941" spans="1:3" x14ac:dyDescent="0.15">
      <c r="A941" s="1">
        <v>40938</v>
      </c>
      <c r="B941" t="s">
        <v>193</v>
      </c>
      <c r="C941" s="2" t="str">
        <f>HYPERLINK("http://snap.windin.com/ns/bulletin.php?id=1895490&amp;type=1", "吉视传媒:首次公开发行股票（A股）招股意向书摘要")</f>
        <v>吉视传媒:首次公开发行股票（A股）招股意向书摘要</v>
      </c>
    </row>
    <row r="942" spans="1:3" x14ac:dyDescent="0.15">
      <c r="A942" s="1">
        <v>40938</v>
      </c>
      <c r="B942" t="s">
        <v>197</v>
      </c>
      <c r="C942" s="2" t="str">
        <f>HYPERLINK("http://snap.windin.com/ns/bulletin.php?id=1771087&amp;type=1", "荣科科技:首次公开发行股票并在创业板上市招股意向书")</f>
        <v>荣科科技:首次公开发行股票并在创业板上市招股意向书</v>
      </c>
    </row>
    <row r="943" spans="1:3" x14ac:dyDescent="0.15">
      <c r="A943" s="1">
        <v>40938</v>
      </c>
      <c r="B943" t="s">
        <v>200</v>
      </c>
      <c r="C943" s="2" t="str">
        <f>HYPERLINK("http://snap.windin.com/ns/bulletin.php?id=1637477&amp;type=1", "利德曼:首次公开发行股票并在创业板上市招股意向书")</f>
        <v>利德曼:首次公开发行股票并在创业板上市招股意向书</v>
      </c>
    </row>
    <row r="944" spans="1:3" x14ac:dyDescent="0.15">
      <c r="A944" s="1">
        <v>40938</v>
      </c>
      <c r="B944" t="s">
        <v>193</v>
      </c>
      <c r="C944" s="2" t="str">
        <f>HYPERLINK("http://snap.windin.com/ns/bulletin.php?id=1523870&amp;type=1", "吉视传媒:首次公开发行股票（A股）招股意向书")</f>
        <v>吉视传媒:首次公开发行股票（A股）招股意向书</v>
      </c>
    </row>
    <row r="945" spans="1:3" x14ac:dyDescent="0.15">
      <c r="A945" s="1">
        <v>40938</v>
      </c>
      <c r="B945" t="s">
        <v>193</v>
      </c>
      <c r="C945" s="2" t="str">
        <f>HYPERLINK("http://snap.windin.com/ns/bulletin.php?id=805072&amp;type=1", "吉视传媒:首次公开发行股票（A股）招股意向书附录")</f>
        <v>吉视传媒:首次公开发行股票（A股）招股意向书附录</v>
      </c>
    </row>
    <row r="946" spans="1:3" x14ac:dyDescent="0.15">
      <c r="A946" s="1">
        <v>40928</v>
      </c>
      <c r="B946" t="s">
        <v>198</v>
      </c>
      <c r="C946" s="2" t="str">
        <f>HYPERLINK("http://snap.windin.com/ns/bulletin.php?id=1842539&amp;type=1", "东风股份:首次公开发行股票招股意向书摘要")</f>
        <v>东风股份:首次公开发行股票招股意向书摘要</v>
      </c>
    </row>
    <row r="947" spans="1:3" x14ac:dyDescent="0.15">
      <c r="A947" s="1">
        <v>40928</v>
      </c>
      <c r="B947" t="s">
        <v>198</v>
      </c>
      <c r="C947" s="2" t="str">
        <f>HYPERLINK("http://snap.windin.com/ns/bulletin.php?id=1831128&amp;type=1", "东风股份:首次公开发行股票招股意向书")</f>
        <v>东风股份:首次公开发行股票招股意向书</v>
      </c>
    </row>
    <row r="948" spans="1:3" x14ac:dyDescent="0.15">
      <c r="A948" s="1">
        <v>40928</v>
      </c>
      <c r="B948" t="s">
        <v>198</v>
      </c>
      <c r="C948" s="2" t="str">
        <f>HYPERLINK("http://snap.windin.com/ns/bulletin.php?id=1726917&amp;type=1", "东风股份:首次公开发行股票招股意向书附录一")</f>
        <v>东风股份:首次公开发行股票招股意向书附录一</v>
      </c>
    </row>
    <row r="949" spans="1:3" x14ac:dyDescent="0.15">
      <c r="A949" s="1">
        <v>40928</v>
      </c>
      <c r="B949" t="s">
        <v>198</v>
      </c>
      <c r="C949" s="2" t="str">
        <f>HYPERLINK("http://snap.windin.com/ns/bulletin.php?id=1584686&amp;type=1", "东风股份:首次公开发行股票招股意向书附录三")</f>
        <v>东风股份:首次公开发行股票招股意向书附录三</v>
      </c>
    </row>
    <row r="950" spans="1:3" x14ac:dyDescent="0.15">
      <c r="A950" s="1">
        <v>40928</v>
      </c>
      <c r="B950" t="s">
        <v>198</v>
      </c>
      <c r="C950" s="2" t="str">
        <f>HYPERLINK("http://snap.windin.com/ns/bulletin.php?id=1485622&amp;type=1", "东风股份:首次公开发行股票招股意向书附录四")</f>
        <v>东风股份:首次公开发行股票招股意向书附录四</v>
      </c>
    </row>
    <row r="951" spans="1:3" x14ac:dyDescent="0.15">
      <c r="A951" s="1">
        <v>40928</v>
      </c>
      <c r="B951" t="s">
        <v>198</v>
      </c>
      <c r="C951" s="2" t="str">
        <f>HYPERLINK("http://snap.windin.com/ns/bulletin.php?id=949278&amp;type=1", "东风股份:首次公开发行股票招股意向书附录二")</f>
        <v>东风股份:首次公开发行股票招股意向书附录二</v>
      </c>
    </row>
    <row r="952" spans="1:3" x14ac:dyDescent="0.15">
      <c r="A952" s="1">
        <v>40927</v>
      </c>
      <c r="B952" t="s">
        <v>194</v>
      </c>
      <c r="C952" s="2" t="str">
        <f>HYPERLINK("http://snap.windin.com/ns/bulletin.php?id=1529043&amp;type=1", "环旭电子:首次公开发行股票招股意向书")</f>
        <v>环旭电子:首次公开发行股票招股意向书</v>
      </c>
    </row>
    <row r="953" spans="1:3" x14ac:dyDescent="0.15">
      <c r="A953" s="1">
        <v>40927</v>
      </c>
      <c r="B953" t="s">
        <v>194</v>
      </c>
      <c r="C953" s="2" t="str">
        <f>HYPERLINK("http://snap.windin.com/ns/bulletin.php?id=1448773&amp;type=1", "环旭电子:首次公开发行股票招股意向书附录二")</f>
        <v>环旭电子:首次公开发行股票招股意向书附录二</v>
      </c>
    </row>
    <row r="954" spans="1:3" x14ac:dyDescent="0.15">
      <c r="A954" s="1">
        <v>40927</v>
      </c>
      <c r="B954" t="s">
        <v>194</v>
      </c>
      <c r="C954" s="2" t="str">
        <f>HYPERLINK("http://snap.windin.com/ns/bulletin.php?id=1270038&amp;type=1", "环旭电子:首次公开发行股票招股意向书附录一")</f>
        <v>环旭电子:首次公开发行股票招股意向书附录一</v>
      </c>
    </row>
    <row r="955" spans="1:3" x14ac:dyDescent="0.15">
      <c r="A955" s="1">
        <v>40927</v>
      </c>
      <c r="B955" t="s">
        <v>194</v>
      </c>
      <c r="C955" s="2" t="str">
        <f>HYPERLINK("http://snap.windin.com/ns/bulletin.php?id=1152585&amp;type=1", "环旭电子:首次公开发行股票招股意向书附录三")</f>
        <v>环旭电子:首次公开发行股票招股意向书附录三</v>
      </c>
    </row>
    <row r="956" spans="1:3" x14ac:dyDescent="0.15">
      <c r="A956" s="1">
        <v>40927</v>
      </c>
      <c r="B956" t="s">
        <v>194</v>
      </c>
      <c r="C956" s="2" t="str">
        <f>HYPERLINK("http://snap.windin.com/ns/bulletin.php?id=444129&amp;type=1", "环旭电子:首次公开发行股票招股意向书摘要")</f>
        <v>环旭电子:首次公开发行股票招股意向书摘要</v>
      </c>
    </row>
    <row r="957" spans="1:3" x14ac:dyDescent="0.15">
      <c r="A957" s="1">
        <v>40927</v>
      </c>
      <c r="B957" t="s">
        <v>194</v>
      </c>
      <c r="C957" s="2" t="str">
        <f>HYPERLINK("http://snap.windin.com/ns/bulletin.php?id=227437&amp;type=1", "环旭电子:首次公开发行股票招股意向书附录四")</f>
        <v>环旭电子:首次公开发行股票招股意向书附录四</v>
      </c>
    </row>
    <row r="958" spans="1:3" x14ac:dyDescent="0.15">
      <c r="A958" s="1">
        <v>40926</v>
      </c>
      <c r="B958" t="s">
        <v>196</v>
      </c>
      <c r="C958" s="2" t="str">
        <f>HYPERLINK("http://snap.windin.com/ns/bulletin.php?id=1980393&amp;type=1", "万润科技:首次公开发行股票招股意向书摘要")</f>
        <v>万润科技:首次公开发行股票招股意向书摘要</v>
      </c>
    </row>
    <row r="959" spans="1:3" x14ac:dyDescent="0.15">
      <c r="A959" s="1">
        <v>40926</v>
      </c>
      <c r="B959" t="s">
        <v>196</v>
      </c>
      <c r="C959" s="2" t="str">
        <f>HYPERLINK("http://snap.windin.com/ns/bulletin.php?id=1808953&amp;type=1", "万润科技:首次公开发行股票招股意向书")</f>
        <v>万润科技:首次公开发行股票招股意向书</v>
      </c>
    </row>
    <row r="960" spans="1:3" x14ac:dyDescent="0.15">
      <c r="A960" s="1">
        <v>40926</v>
      </c>
      <c r="B960" t="s">
        <v>196</v>
      </c>
      <c r="C960" s="2" t="str">
        <f>HYPERLINK("http://snap.windin.com/ns/bulletin.php?id=1222231&amp;type=1", "万润科技:首次公开发行股票招股意向书（更新后）")</f>
        <v>万润科技:首次公开发行股票招股意向书（更新后）</v>
      </c>
    </row>
    <row r="961" spans="1:3" x14ac:dyDescent="0.15">
      <c r="A961" s="1">
        <v>40926</v>
      </c>
      <c r="B961" t="s">
        <v>203</v>
      </c>
      <c r="C961" s="2" t="str">
        <f>HYPERLINK("http://snap.windin.com/ns/bulletin.php?id=199449&amp;type=1", "扬子新材:首次公开发行股票上市公告书")</f>
        <v>扬子新材:首次公开发行股票上市公告书</v>
      </c>
    </row>
    <row r="962" spans="1:3" x14ac:dyDescent="0.15">
      <c r="A962" s="1">
        <v>40924</v>
      </c>
      <c r="B962" t="s">
        <v>204</v>
      </c>
      <c r="C962" s="2" t="str">
        <f>HYPERLINK("http://snap.windin.com/ns/bulletin.php?id=1408253&amp;type=1", "海思科:首次公开发行股票上市公告书")</f>
        <v>海思科:首次公开发行股票上市公告书</v>
      </c>
    </row>
    <row r="963" spans="1:3" x14ac:dyDescent="0.15">
      <c r="A963" s="1">
        <v>40921</v>
      </c>
      <c r="B963" t="s">
        <v>205</v>
      </c>
      <c r="C963" s="2" t="str">
        <f>HYPERLINK("http://snap.windin.com/ns/bulletin.php?id=2075674&amp;type=1", "江南嘉捷:首次公开发行股票招股说明书")</f>
        <v>江南嘉捷:首次公开发行股票招股说明书</v>
      </c>
    </row>
    <row r="964" spans="1:3" x14ac:dyDescent="0.15">
      <c r="A964" s="1">
        <v>40921</v>
      </c>
      <c r="B964" t="s">
        <v>205</v>
      </c>
      <c r="C964" s="2" t="str">
        <f>HYPERLINK("http://snap.windin.com/ns/bulletin.php?id=418193&amp;type=1", "江南嘉捷:首次公开发行A股股票上市公告书")</f>
        <v>江南嘉捷:首次公开发行A股股票上市公告书</v>
      </c>
    </row>
    <row r="965" spans="1:3" x14ac:dyDescent="0.15">
      <c r="A965" s="1">
        <v>40921</v>
      </c>
      <c r="B965" t="s">
        <v>202</v>
      </c>
      <c r="C965" s="2" t="str">
        <f>HYPERLINK("http://snap.windin.com/ns/bulletin.php?id=221766&amp;type=1", "飞利信:首次公开发行股票并在创业板上市招股说明书")</f>
        <v>飞利信:首次公开发行股票并在创业板上市招股说明书</v>
      </c>
    </row>
    <row r="966" spans="1:3" x14ac:dyDescent="0.15">
      <c r="A966" s="1">
        <v>40920</v>
      </c>
      <c r="B966" t="s">
        <v>206</v>
      </c>
      <c r="C966" s="2" t="str">
        <f>HYPERLINK("http://snap.windin.com/ns/bulletin.php?id=2012696&amp;type=1", "安科瑞:首次公开发行股票并在创业板上市之上市公告书")</f>
        <v>安科瑞:首次公开发行股票并在创业板上市之上市公告书</v>
      </c>
    </row>
    <row r="967" spans="1:3" x14ac:dyDescent="0.15">
      <c r="A967" s="1">
        <v>40920</v>
      </c>
      <c r="B967" t="s">
        <v>207</v>
      </c>
      <c r="C967" s="2" t="str">
        <f>HYPERLINK("http://snap.windin.com/ns/bulletin.php?id=1099662&amp;type=1", "国瓷材料:首次公开发行股票并在创业板上市公告书提示性公告")</f>
        <v>国瓷材料:首次公开发行股票并在创业板上市公告书提示性公告</v>
      </c>
    </row>
    <row r="968" spans="1:3" x14ac:dyDescent="0.15">
      <c r="A968" s="1">
        <v>40920</v>
      </c>
      <c r="B968" t="s">
        <v>206</v>
      </c>
      <c r="C968" s="2" t="str">
        <f>HYPERLINK("http://snap.windin.com/ns/bulletin.php?id=1018461&amp;type=1", "安科瑞:首次公开发行股票并在创业板上市上市公告书提示性公告")</f>
        <v>安科瑞:首次公开发行股票并在创业板上市上市公告书提示性公告</v>
      </c>
    </row>
    <row r="969" spans="1:3" x14ac:dyDescent="0.15">
      <c r="A969" s="1">
        <v>40920</v>
      </c>
      <c r="B969" t="s">
        <v>207</v>
      </c>
      <c r="C969" s="2" t="str">
        <f>HYPERLINK("http://snap.windin.com/ns/bulletin.php?id=483077&amp;type=1", "国瓷材料:首次公开发行股票并在创业板上市之上市公告书")</f>
        <v>国瓷材料:首次公开发行股票并在创业板上市之上市公告书</v>
      </c>
    </row>
    <row r="970" spans="1:3" x14ac:dyDescent="0.15">
      <c r="A970" s="1">
        <v>40919</v>
      </c>
      <c r="B970" t="s">
        <v>201</v>
      </c>
      <c r="C970" s="2" t="str">
        <f>HYPERLINK("http://snap.windin.com/ns/bulletin.php?id=142223&amp;type=1", "华录百纳:首次公开发行股票并在创业板上市招股意向书")</f>
        <v>华录百纳:首次公开发行股票并在创业板上市招股意向书</v>
      </c>
    </row>
    <row r="971" spans="1:3" x14ac:dyDescent="0.15">
      <c r="A971" s="1">
        <v>40918</v>
      </c>
      <c r="B971" t="s">
        <v>203</v>
      </c>
      <c r="C971" s="2" t="str">
        <f>HYPERLINK("http://snap.windin.com/ns/bulletin.php?id=1902215&amp;type=1", "扬子新材:首次公开发行股票招股说明书")</f>
        <v>扬子新材:首次公开发行股票招股说明书</v>
      </c>
    </row>
    <row r="972" spans="1:3" x14ac:dyDescent="0.15">
      <c r="A972" s="1">
        <v>40918</v>
      </c>
      <c r="B972" t="s">
        <v>203</v>
      </c>
      <c r="C972" s="2" t="str">
        <f>HYPERLINK("http://snap.windin.com/ns/bulletin.php?id=1689605&amp;type=1", "扬子新材:首次公开发行股票招股说明书摘要")</f>
        <v>扬子新材:首次公开发行股票招股说明书摘要</v>
      </c>
    </row>
    <row r="973" spans="1:3" x14ac:dyDescent="0.15">
      <c r="A973" s="1">
        <v>40917</v>
      </c>
      <c r="B973" t="s">
        <v>208</v>
      </c>
      <c r="C973" s="2" t="str">
        <f>HYPERLINK("http://snap.windin.com/ns/bulletin.php?id=1609215&amp;type=1", "温州宏丰:首次公开发行股票并在创业板上市上市公告书提示性公告")</f>
        <v>温州宏丰:首次公开发行股票并在创业板上市上市公告书提示性公告</v>
      </c>
    </row>
    <row r="974" spans="1:3" x14ac:dyDescent="0.15">
      <c r="A974" s="1">
        <v>40917</v>
      </c>
      <c r="B974" t="s">
        <v>209</v>
      </c>
      <c r="C974" s="2" t="str">
        <f>HYPERLINK("http://snap.windin.com/ns/bulletin.php?id=1206626&amp;type=1", "苏交科:首次公开发行股票并在创业板上市上市公告书提示公告")</f>
        <v>苏交科:首次公开发行股票并在创业板上市上市公告书提示公告</v>
      </c>
    </row>
    <row r="975" spans="1:3" x14ac:dyDescent="0.15">
      <c r="A975" s="1">
        <v>40917</v>
      </c>
      <c r="B975" t="s">
        <v>208</v>
      </c>
      <c r="C975" s="2" t="str">
        <f>HYPERLINK("http://snap.windin.com/ns/bulletin.php?id=685324&amp;type=1", "温州宏丰:首次公开发行股票并在创业板上市之上市公告书")</f>
        <v>温州宏丰:首次公开发行股票并在创业板上市之上市公告书</v>
      </c>
    </row>
    <row r="976" spans="1:3" x14ac:dyDescent="0.15">
      <c r="A976" s="1">
        <v>40917</v>
      </c>
      <c r="B976" t="s">
        <v>209</v>
      </c>
      <c r="C976" s="2" t="str">
        <f>HYPERLINK("http://snap.windin.com/ns/bulletin.php?id=625393&amp;type=1", "苏交科:首次公开发行股票并在创业板上市公告书")</f>
        <v>苏交科:首次公开发行股票并在创业板上市公告书</v>
      </c>
    </row>
    <row r="977" spans="1:3" x14ac:dyDescent="0.15">
      <c r="A977" s="1">
        <v>40914</v>
      </c>
      <c r="B977" t="s">
        <v>199</v>
      </c>
      <c r="C977" s="2" t="str">
        <f>HYPERLINK("http://snap.windin.com/ns/bulletin.php?id=1557502&amp;type=1", "朗玛信息:首次公开发行股票并在创业板上市招股意向书")</f>
        <v>朗玛信息:首次公开发行股票并在创业板上市招股意向书</v>
      </c>
    </row>
    <row r="978" spans="1:3" x14ac:dyDescent="0.15">
      <c r="A978" s="1">
        <v>40914</v>
      </c>
      <c r="B978" t="s">
        <v>204</v>
      </c>
      <c r="C978" s="2" t="str">
        <f>HYPERLINK("http://snap.windin.com/ns/bulletin.php?id=1177237&amp;type=1", "海思科:首次公开发行股票招股说明书")</f>
        <v>海思科:首次公开发行股票招股说明书</v>
      </c>
    </row>
    <row r="979" spans="1:3" x14ac:dyDescent="0.15">
      <c r="A979" s="1">
        <v>40914</v>
      </c>
      <c r="B979" t="s">
        <v>204</v>
      </c>
      <c r="C979" s="2" t="str">
        <f>HYPERLINK("http://snap.windin.com/ns/bulletin.php?id=731558&amp;type=1", "海思科:首次公开发行股票招股说明书摘要")</f>
        <v>海思科:首次公开发行股票招股说明书摘要</v>
      </c>
    </row>
    <row r="980" spans="1:3" x14ac:dyDescent="0.15">
      <c r="A980" s="1">
        <v>40914</v>
      </c>
      <c r="B980" t="s">
        <v>202</v>
      </c>
      <c r="C980" s="2" t="str">
        <f>HYPERLINK("http://snap.windin.com/ns/bulletin.php?id=594027&amp;type=1", "飞利信:首次公开发行股票并在创业板上市招股意向书")</f>
        <v>飞利信:首次公开发行股票并在创业板上市招股意向书</v>
      </c>
    </row>
    <row r="981" spans="1:3" x14ac:dyDescent="0.15">
      <c r="A981" s="1">
        <v>40913</v>
      </c>
      <c r="B981" t="s">
        <v>210</v>
      </c>
      <c r="C981" s="2" t="str">
        <f>HYPERLINK("http://snap.windin.com/ns/bulletin.php?id=1695182&amp;type=1", "利君股份:首次公开发行股票上市公告书")</f>
        <v>利君股份:首次公开发行股票上市公告书</v>
      </c>
    </row>
    <row r="982" spans="1:3" x14ac:dyDescent="0.15">
      <c r="A982" s="1">
        <v>40913</v>
      </c>
      <c r="B982" t="s">
        <v>211</v>
      </c>
      <c r="C982" s="2" t="str">
        <f>HYPERLINK("http://snap.windin.com/ns/bulletin.php?id=1527100&amp;type=1", "加加食品:首次公开发行股票上市公告书")</f>
        <v>加加食品:首次公开发行股票上市公告书</v>
      </c>
    </row>
    <row r="983" spans="1:3" x14ac:dyDescent="0.15">
      <c r="A983" s="1">
        <v>40913</v>
      </c>
      <c r="B983" t="s">
        <v>212</v>
      </c>
      <c r="C983" s="2" t="str">
        <f>HYPERLINK("http://snap.windin.com/ns/bulletin.php?id=1423370&amp;type=1", "博彦科技:首次公开发行股票上市公告书")</f>
        <v>博彦科技:首次公开发行股票上市公告书</v>
      </c>
    </row>
    <row r="984" spans="1:3" x14ac:dyDescent="0.15">
      <c r="A984" s="1">
        <v>40907</v>
      </c>
      <c r="B984" t="s">
        <v>203</v>
      </c>
      <c r="C984" s="2" t="str">
        <f>HYPERLINK("http://snap.windin.com/ns/bulletin.php?id=2024476&amp;type=1", "扬子新材:首次公开发行股票招股意向书")</f>
        <v>扬子新材:首次公开发行股票招股意向书</v>
      </c>
    </row>
    <row r="985" spans="1:3" x14ac:dyDescent="0.15">
      <c r="A985" s="1">
        <v>40907</v>
      </c>
      <c r="B985" t="s">
        <v>207</v>
      </c>
      <c r="C985" s="2" t="str">
        <f>HYPERLINK("http://snap.windin.com/ns/bulletin.php?id=1891649&amp;type=1", "国瓷材料:首次公开发行股票并在创业板上市招股说明书")</f>
        <v>国瓷材料:首次公开发行股票并在创业板上市招股说明书</v>
      </c>
    </row>
    <row r="986" spans="1:3" x14ac:dyDescent="0.15">
      <c r="A986" s="1">
        <v>40907</v>
      </c>
      <c r="B986" t="s">
        <v>206</v>
      </c>
      <c r="C986" s="2" t="str">
        <f>HYPERLINK("http://snap.windin.com/ns/bulletin.php?id=1557274&amp;type=1", "安科瑞:首次公开发行股票并在创业板上市招股说明书")</f>
        <v>安科瑞:首次公开发行股票并在创业板上市招股说明书</v>
      </c>
    </row>
    <row r="987" spans="1:3" x14ac:dyDescent="0.15">
      <c r="A987" s="1">
        <v>40907</v>
      </c>
      <c r="B987" t="s">
        <v>203</v>
      </c>
      <c r="C987" s="2" t="str">
        <f>HYPERLINK("http://snap.windin.com/ns/bulletin.php?id=987445&amp;type=1", "扬子新材:首次公开发行股票招股意向书摘要")</f>
        <v>扬子新材:首次公开发行股票招股意向书摘要</v>
      </c>
    </row>
    <row r="988" spans="1:3" x14ac:dyDescent="0.15">
      <c r="A988" s="1">
        <v>40905</v>
      </c>
      <c r="B988" t="s">
        <v>213</v>
      </c>
      <c r="C988" s="2" t="str">
        <f>HYPERLINK("http://snap.windin.com/ns/bulletin.php?id=1755755&amp;type=1", "金明精机:首次公开发行股票并在创业板上市公告书")</f>
        <v>金明精机:首次公开发行股票并在创业板上市公告书</v>
      </c>
    </row>
    <row r="989" spans="1:3" x14ac:dyDescent="0.15">
      <c r="A989" s="1">
        <v>40905</v>
      </c>
      <c r="B989" t="s">
        <v>214</v>
      </c>
      <c r="C989" s="2" t="str">
        <f>HYPERLINK("http://snap.windin.com/ns/bulletin.php?id=1553936&amp;type=1", "汇冠股份:首次公开发行股票并在创业板上市上市公告书")</f>
        <v>汇冠股份:首次公开发行股票并在创业板上市上市公告书</v>
      </c>
    </row>
    <row r="990" spans="1:3" x14ac:dyDescent="0.15">
      <c r="A990" s="1">
        <v>40905</v>
      </c>
      <c r="B990" t="s">
        <v>215</v>
      </c>
      <c r="C990" s="2" t="str">
        <f>HYPERLINK("http://snap.windin.com/ns/bulletin.php?id=1506378&amp;type=1", "南通锻压:首次公开发行股票并在创业板上市之上市公告书")</f>
        <v>南通锻压:首次公开发行股票并在创业板上市之上市公告书</v>
      </c>
    </row>
    <row r="991" spans="1:3" x14ac:dyDescent="0.15">
      <c r="A991" s="1">
        <v>40905</v>
      </c>
      <c r="B991" t="s">
        <v>216</v>
      </c>
      <c r="C991" s="2" t="str">
        <f>HYPERLINK("http://snap.windin.com/ns/bulletin.php?id=1418989&amp;type=1", "和晶科技:首次公开发行股票并在创业板上市上市公告书")</f>
        <v>和晶科技:首次公开发行股票并在创业板上市上市公告书</v>
      </c>
    </row>
    <row r="992" spans="1:3" x14ac:dyDescent="0.15">
      <c r="A992" s="1">
        <v>40905</v>
      </c>
      <c r="B992" t="s">
        <v>213</v>
      </c>
      <c r="C992" s="2" t="str">
        <f>HYPERLINK("http://snap.windin.com/ns/bulletin.php?id=545053&amp;type=1", "金明精机:首次公开发行股票并在创业板上市上市公告书提示公告")</f>
        <v>金明精机:首次公开发行股票并在创业板上市上市公告书提示公告</v>
      </c>
    </row>
    <row r="993" spans="1:3" x14ac:dyDescent="0.15">
      <c r="A993" s="1">
        <v>40905</v>
      </c>
      <c r="B993" t="s">
        <v>216</v>
      </c>
      <c r="C993" s="2" t="str">
        <f>HYPERLINK("http://snap.windin.com/ns/bulletin.php?id=454129&amp;type=1", "和晶科技:首次公开发行股票并在创业板上市上市公告书提示性公告")</f>
        <v>和晶科技:首次公开发行股票并在创业板上市上市公告书提示性公告</v>
      </c>
    </row>
    <row r="994" spans="1:3" x14ac:dyDescent="0.15">
      <c r="A994" s="1">
        <v>40905</v>
      </c>
      <c r="B994" t="s">
        <v>214</v>
      </c>
      <c r="C994" s="2" t="str">
        <f>HYPERLINK("http://snap.windin.com/ns/bulletin.php?id=172158&amp;type=1", "汇冠股份:首次公开发行股票并在创业板上市上市公告书提示性公告")</f>
        <v>汇冠股份:首次公开发行股票并在创业板上市上市公告书提示性公告</v>
      </c>
    </row>
    <row r="995" spans="1:3" x14ac:dyDescent="0.15">
      <c r="A995" s="1">
        <v>40904</v>
      </c>
      <c r="B995" t="s">
        <v>205</v>
      </c>
      <c r="C995" s="2" t="str">
        <f>HYPERLINK("http://snap.windin.com/ns/bulletin.php?id=1949128&amp;type=1", "江南嘉捷:首次公开发行A股股票招股意向书附录一")</f>
        <v>江南嘉捷:首次公开发行A股股票招股意向书附录一</v>
      </c>
    </row>
    <row r="996" spans="1:3" x14ac:dyDescent="0.15">
      <c r="A996" s="1">
        <v>40904</v>
      </c>
      <c r="B996" t="s">
        <v>205</v>
      </c>
      <c r="C996" s="2" t="str">
        <f>HYPERLINK("http://snap.windin.com/ns/bulletin.php?id=1905355&amp;type=1", "江南嘉捷:首次公开发行A股股票招股意向书附录三")</f>
        <v>江南嘉捷:首次公开发行A股股票招股意向书附录三</v>
      </c>
    </row>
    <row r="997" spans="1:3" x14ac:dyDescent="0.15">
      <c r="A997" s="1">
        <v>40904</v>
      </c>
      <c r="B997" t="s">
        <v>205</v>
      </c>
      <c r="C997" s="2" t="str">
        <f>HYPERLINK("http://snap.windin.com/ns/bulletin.php?id=1791051&amp;type=1", "江南嘉捷:首次公开发行A股股票招股意向书附录四")</f>
        <v>江南嘉捷:首次公开发行A股股票招股意向书附录四</v>
      </c>
    </row>
    <row r="998" spans="1:3" x14ac:dyDescent="0.15">
      <c r="A998" s="1">
        <v>40904</v>
      </c>
      <c r="B998" t="s">
        <v>205</v>
      </c>
      <c r="C998" s="2" t="str">
        <f>HYPERLINK("http://snap.windin.com/ns/bulletin.php?id=1719107&amp;type=1", "江南嘉捷:首次公开发行A股股票招股意向书附录二")</f>
        <v>江南嘉捷:首次公开发行A股股票招股意向书附录二</v>
      </c>
    </row>
    <row r="999" spans="1:3" x14ac:dyDescent="0.15">
      <c r="A999" s="1">
        <v>40904</v>
      </c>
      <c r="B999" t="s">
        <v>205</v>
      </c>
      <c r="C999" s="2" t="str">
        <f>HYPERLINK("http://snap.windin.com/ns/bulletin.php?id=1580860&amp;type=1", "江南嘉捷:首次公开发行股票招股意向书")</f>
        <v>江南嘉捷:首次公开发行股票招股意向书</v>
      </c>
    </row>
    <row r="1000" spans="1:3" x14ac:dyDescent="0.15">
      <c r="A1000" s="1">
        <v>40904</v>
      </c>
      <c r="B1000" t="s">
        <v>204</v>
      </c>
      <c r="C1000" s="2" t="str">
        <f>HYPERLINK("http://snap.windin.com/ns/bulletin.php?id=1579620&amp;type=1", "海思科:首次公开发行股票招股意向书")</f>
        <v>海思科:首次公开发行股票招股意向书</v>
      </c>
    </row>
    <row r="1001" spans="1:3" x14ac:dyDescent="0.15">
      <c r="A1001" s="1">
        <v>40904</v>
      </c>
      <c r="B1001" t="s">
        <v>217</v>
      </c>
      <c r="C1001" s="2" t="str">
        <f>HYPERLINK("http://snap.windin.com/ns/bulletin.php?id=1332226&amp;type=1", "卫星石化:首次公开发行股票上市公告书")</f>
        <v>卫星石化:首次公开发行股票上市公告书</v>
      </c>
    </row>
    <row r="1002" spans="1:3" x14ac:dyDescent="0.15">
      <c r="A1002" s="1">
        <v>40904</v>
      </c>
      <c r="B1002" t="s">
        <v>205</v>
      </c>
      <c r="C1002" s="2" t="str">
        <f>HYPERLINK("http://snap.windin.com/ns/bulletin.php?id=1022479&amp;type=1", "江南嘉捷:首次公开发行股票招股意向书摘要")</f>
        <v>江南嘉捷:首次公开发行股票招股意向书摘要</v>
      </c>
    </row>
    <row r="1003" spans="1:3" x14ac:dyDescent="0.15">
      <c r="A1003" s="1">
        <v>40904</v>
      </c>
      <c r="B1003" t="s">
        <v>218</v>
      </c>
      <c r="C1003" s="2" t="str">
        <f>HYPERLINK("http://snap.windin.com/ns/bulletin.php?id=966585&amp;type=1", "宏磊股份:首次公开发行股票并在中小板上市上市公告书")</f>
        <v>宏磊股份:首次公开发行股票并在中小板上市上市公告书</v>
      </c>
    </row>
    <row r="1004" spans="1:3" x14ac:dyDescent="0.15">
      <c r="A1004" s="1">
        <v>40904</v>
      </c>
      <c r="B1004" t="s">
        <v>204</v>
      </c>
      <c r="C1004" s="2" t="str">
        <f>HYPERLINK("http://snap.windin.com/ns/bulletin.php?id=905620&amp;type=1", "海思科:首次公开发行股票招股意向书摘要")</f>
        <v>海思科:首次公开发行股票招股意向书摘要</v>
      </c>
    </row>
    <row r="1005" spans="1:3" x14ac:dyDescent="0.15">
      <c r="A1005" s="1">
        <v>40904</v>
      </c>
      <c r="B1005" t="s">
        <v>208</v>
      </c>
      <c r="C1005" s="2" t="str">
        <f>HYPERLINK("http://snap.windin.com/ns/bulletin.php?id=110807&amp;type=1", "温州宏丰:首次公开发行股票并在创业板上市招股说明书")</f>
        <v>温州宏丰:首次公开发行股票并在创业板上市招股说明书</v>
      </c>
    </row>
    <row r="1006" spans="1:3" x14ac:dyDescent="0.15">
      <c r="A1006" s="1">
        <v>40903</v>
      </c>
      <c r="B1006" t="s">
        <v>209</v>
      </c>
      <c r="C1006" s="2" t="str">
        <f>HYPERLINK("http://snap.windin.com/ns/bulletin.php?id=204280&amp;type=1", "苏交科:首次公开发行股票并在创业板上市招股说明书")</f>
        <v>苏交科:首次公开发行股票并在创业板上市招股说明书</v>
      </c>
    </row>
    <row r="1007" spans="1:3" x14ac:dyDescent="0.15">
      <c r="A1007" s="1">
        <v>40900</v>
      </c>
      <c r="B1007" t="s">
        <v>206</v>
      </c>
      <c r="C1007" s="2" t="str">
        <f>HYPERLINK("http://snap.windin.com/ns/bulletin.php?id=2018764&amp;type=1", "安科瑞:首次公开发行股票并在创业板上市招股意向书")</f>
        <v>安科瑞:首次公开发行股票并在创业板上市招股意向书</v>
      </c>
    </row>
    <row r="1008" spans="1:3" x14ac:dyDescent="0.15">
      <c r="A1008" s="1">
        <v>40900</v>
      </c>
      <c r="B1008" t="s">
        <v>210</v>
      </c>
      <c r="C1008" s="2" t="str">
        <f>HYPERLINK("http://snap.windin.com/ns/bulletin.php?id=1716166&amp;type=1", "利君股份:首次公开发行股票招股说明书")</f>
        <v>利君股份:首次公开发行股票招股说明书</v>
      </c>
    </row>
    <row r="1009" spans="1:3" x14ac:dyDescent="0.15">
      <c r="A1009" s="1">
        <v>40900</v>
      </c>
      <c r="B1009" t="s">
        <v>212</v>
      </c>
      <c r="C1009" s="2" t="str">
        <f>HYPERLINK("http://snap.windin.com/ns/bulletin.php?id=1446704&amp;type=1", "博彦科技:首次公开发行股票招股说明书摘要")</f>
        <v>博彦科技:首次公开发行股票招股说明书摘要</v>
      </c>
    </row>
    <row r="1010" spans="1:3" x14ac:dyDescent="0.15">
      <c r="A1010" s="1">
        <v>40900</v>
      </c>
      <c r="B1010" t="s">
        <v>211</v>
      </c>
      <c r="C1010" s="2" t="str">
        <f>HYPERLINK("http://snap.windin.com/ns/bulletin.php?id=1387274&amp;type=1", "加加食品:首次公开发行股票招股说明书")</f>
        <v>加加食品:首次公开发行股票招股说明书</v>
      </c>
    </row>
    <row r="1011" spans="1:3" x14ac:dyDescent="0.15">
      <c r="A1011" s="1">
        <v>40900</v>
      </c>
      <c r="B1011" t="s">
        <v>211</v>
      </c>
      <c r="C1011" s="2" t="str">
        <f>HYPERLINK("http://snap.windin.com/ns/bulletin.php?id=1264431&amp;type=1", "加加食品:首次公开发行股票招股说明书摘要")</f>
        <v>加加食品:首次公开发行股票招股说明书摘要</v>
      </c>
    </row>
    <row r="1012" spans="1:3" x14ac:dyDescent="0.15">
      <c r="A1012" s="1">
        <v>40900</v>
      </c>
      <c r="B1012" t="s">
        <v>212</v>
      </c>
      <c r="C1012" s="2" t="str">
        <f>HYPERLINK("http://snap.windin.com/ns/bulletin.php?id=1131998&amp;type=1", "博彦科技:首次公开发行股票招股说明书")</f>
        <v>博彦科技:首次公开发行股票招股说明书</v>
      </c>
    </row>
    <row r="1013" spans="1:3" x14ac:dyDescent="0.15">
      <c r="A1013" s="1">
        <v>40900</v>
      </c>
      <c r="B1013" t="s">
        <v>210</v>
      </c>
      <c r="C1013" s="2" t="str">
        <f>HYPERLINK("http://snap.windin.com/ns/bulletin.php?id=480332&amp;type=1", "利君股份:首次公开发行股票招股说明书摘要")</f>
        <v>利君股份:首次公开发行股票招股说明书摘要</v>
      </c>
    </row>
    <row r="1014" spans="1:3" x14ac:dyDescent="0.15">
      <c r="A1014" s="1">
        <v>40900</v>
      </c>
      <c r="B1014" t="s">
        <v>207</v>
      </c>
      <c r="C1014" s="2" t="str">
        <f>HYPERLINK("http://snap.windin.com/ns/bulletin.php?id=83991&amp;type=1", "国瓷材料:首次公开发行股票并在创业板上市招股意向书")</f>
        <v>国瓷材料:首次公开发行股票并在创业板上市招股意向书</v>
      </c>
    </row>
    <row r="1015" spans="1:3" x14ac:dyDescent="0.15">
      <c r="A1015" s="1">
        <v>40898</v>
      </c>
      <c r="B1015" t="s">
        <v>219</v>
      </c>
      <c r="C1015" s="2" t="str">
        <f>HYPERLINK("http://snap.windin.com/ns/bulletin.php?id=1942780&amp;type=1", "青青稞酒:首次公开发行股票上市公告书")</f>
        <v>青青稞酒:首次公开发行股票上市公告书</v>
      </c>
    </row>
    <row r="1016" spans="1:3" x14ac:dyDescent="0.15">
      <c r="A1016" s="1">
        <v>40898</v>
      </c>
      <c r="B1016" t="s">
        <v>220</v>
      </c>
      <c r="C1016" s="2" t="str">
        <f>HYPERLINK("http://snap.windin.com/ns/bulletin.php?id=1474369&amp;type=1", "佛慈制药:首次公开发行股票上市公告书")</f>
        <v>佛慈制药:首次公开发行股票上市公告书</v>
      </c>
    </row>
    <row r="1017" spans="1:3" x14ac:dyDescent="0.15">
      <c r="A1017" s="1">
        <v>40897</v>
      </c>
      <c r="B1017" t="s">
        <v>208</v>
      </c>
      <c r="C1017" s="2" t="str">
        <f>HYPERLINK("http://snap.windin.com/ns/bulletin.php?id=765580&amp;type=1", "温州宏丰:首次公开发行股票并在创业板上市招股意向书")</f>
        <v>温州宏丰:首次公开发行股票并在创业板上市招股意向书</v>
      </c>
    </row>
    <row r="1018" spans="1:3" x14ac:dyDescent="0.15">
      <c r="A1018" s="1">
        <v>40897</v>
      </c>
      <c r="B1018" t="s">
        <v>208</v>
      </c>
      <c r="C1018" s="2" t="str">
        <f>HYPERLINK("http://snap.windin.com/ns/bulletin.php?id=601650&amp;type=1", "温州宏丰:首次公开发行股票并在创业板上市招股意向书（更新后）")</f>
        <v>温州宏丰:首次公开发行股票并在创业板上市招股意向书（更新后）</v>
      </c>
    </row>
    <row r="1019" spans="1:3" x14ac:dyDescent="0.15">
      <c r="A1019" s="1">
        <v>40897</v>
      </c>
      <c r="B1019" t="s">
        <v>209</v>
      </c>
      <c r="C1019" s="2" t="str">
        <f>HYPERLINK("http://snap.windin.com/ns/bulletin.php?id=93554&amp;type=1", "苏交科:首次公开发行股票并在创业板上市招股意向书")</f>
        <v>苏交科:首次公开发行股票并在创业板上市招股意向书</v>
      </c>
    </row>
    <row r="1020" spans="1:3" x14ac:dyDescent="0.15">
      <c r="A1020" s="1">
        <v>40896</v>
      </c>
      <c r="B1020" t="s">
        <v>221</v>
      </c>
      <c r="C1020" s="2" t="str">
        <f>HYPERLINK("http://snap.windin.com/ns/bulletin.php?id=1369920&amp;type=1", "荣之联:首次公开发行股票上市公告书")</f>
        <v>荣之联:首次公开发行股票上市公告书</v>
      </c>
    </row>
    <row r="1021" spans="1:3" x14ac:dyDescent="0.15">
      <c r="A1021" s="1">
        <v>40896</v>
      </c>
      <c r="B1021" t="s">
        <v>222</v>
      </c>
      <c r="C1021" s="2" t="str">
        <f>HYPERLINK("http://snap.windin.com/ns/bulletin.php?id=1119169&amp;type=1", "华宏科技:首次公开发行股票上市公告书")</f>
        <v>华宏科技:首次公开发行股票上市公告书</v>
      </c>
    </row>
    <row r="1022" spans="1:3" x14ac:dyDescent="0.15">
      <c r="A1022" s="1">
        <v>40896</v>
      </c>
      <c r="B1022" t="s">
        <v>223</v>
      </c>
      <c r="C1022" s="2" t="str">
        <f>HYPERLINK("http://snap.windin.com/ns/bulletin.php?id=836847&amp;type=1", "烟台万润:首次公开发行股票上市公告书")</f>
        <v>烟台万润:首次公开发行股票上市公告书</v>
      </c>
    </row>
    <row r="1023" spans="1:3" x14ac:dyDescent="0.15">
      <c r="A1023" s="1">
        <v>40896</v>
      </c>
      <c r="B1023" t="s">
        <v>216</v>
      </c>
      <c r="C1023" s="2" t="str">
        <f>HYPERLINK("http://snap.windin.com/ns/bulletin.php?id=486658&amp;type=1", "和晶科技:首次公开发行股票并在创业板上市招股说明书")</f>
        <v>和晶科技:首次公开发行股票并在创业板上市招股说明书</v>
      </c>
    </row>
    <row r="1024" spans="1:3" x14ac:dyDescent="0.15">
      <c r="A1024" s="1">
        <v>40893</v>
      </c>
      <c r="B1024" t="s">
        <v>210</v>
      </c>
      <c r="C1024" s="2" t="str">
        <f>HYPERLINK("http://snap.windin.com/ns/bulletin.php?id=18458320&amp;type=1", "利君股份:首次公开发行股票招股意向书")</f>
        <v>利君股份:首次公开发行股票招股意向书</v>
      </c>
    </row>
    <row r="1025" spans="1:3" x14ac:dyDescent="0.15">
      <c r="A1025" s="1">
        <v>40893</v>
      </c>
      <c r="B1025" t="s">
        <v>214</v>
      </c>
      <c r="C1025" s="2" t="str">
        <f>HYPERLINK("http://snap.windin.com/ns/bulletin.php?id=1987326&amp;type=1", "汇冠股份:首次公开发行股票并在创业板上市招股说明书")</f>
        <v>汇冠股份:首次公开发行股票并在创业板上市招股说明书</v>
      </c>
    </row>
    <row r="1026" spans="1:3" x14ac:dyDescent="0.15">
      <c r="A1026" s="1">
        <v>40893</v>
      </c>
      <c r="B1026" t="s">
        <v>210</v>
      </c>
      <c r="C1026" s="2" t="str">
        <f>HYPERLINK("http://snap.windin.com/ns/bulletin.php?id=1587575&amp;type=1", "利君股份:首次公开发行股票招股意向书")</f>
        <v>利君股份:首次公开发行股票招股意向书</v>
      </c>
    </row>
    <row r="1027" spans="1:3" x14ac:dyDescent="0.15">
      <c r="A1027" s="1">
        <v>40893</v>
      </c>
      <c r="B1027" t="s">
        <v>218</v>
      </c>
      <c r="C1027" s="2" t="str">
        <f>HYPERLINK("http://snap.windin.com/ns/bulletin.php?id=1235639&amp;type=1", "宏磊股份:首次公开发行股票招股说明书")</f>
        <v>宏磊股份:首次公开发行股票招股说明书</v>
      </c>
    </row>
    <row r="1028" spans="1:3" x14ac:dyDescent="0.15">
      <c r="A1028" s="1">
        <v>40893</v>
      </c>
      <c r="B1028" t="s">
        <v>213</v>
      </c>
      <c r="C1028" s="2" t="str">
        <f>HYPERLINK("http://snap.windin.com/ns/bulletin.php?id=1113195&amp;type=1", "金明精机:首次公开发行股票并在创业板上市招股说明书")</f>
        <v>金明精机:首次公开发行股票并在创业板上市招股说明书</v>
      </c>
    </row>
    <row r="1029" spans="1:3" x14ac:dyDescent="0.15">
      <c r="A1029" s="1">
        <v>40893</v>
      </c>
      <c r="B1029" t="s">
        <v>215</v>
      </c>
      <c r="C1029" s="2" t="str">
        <f>HYPERLINK("http://snap.windin.com/ns/bulletin.php?id=466962&amp;type=1", "南通锻压:首次公开发行股票并在创业板上市招股说明书")</f>
        <v>南通锻压:首次公开发行股票并在创业板上市招股说明书</v>
      </c>
    </row>
    <row r="1030" spans="1:3" x14ac:dyDescent="0.15">
      <c r="A1030" s="1">
        <v>40893</v>
      </c>
      <c r="B1030" t="s">
        <v>218</v>
      </c>
      <c r="C1030" s="2" t="str">
        <f>HYPERLINK("http://snap.windin.com/ns/bulletin.php?id=172334&amp;type=1", "宏磊股份:首次公开发行股票招股说明书摘要")</f>
        <v>宏磊股份:首次公开发行股票招股说明书摘要</v>
      </c>
    </row>
    <row r="1031" spans="1:3" x14ac:dyDescent="0.15">
      <c r="A1031" s="1">
        <v>40893</v>
      </c>
      <c r="B1031" t="s">
        <v>210</v>
      </c>
      <c r="C1031" s="2" t="str">
        <f>HYPERLINK("http://snap.windin.com/ns/bulletin.php?id=97786&amp;type=1", "利君股份:首次公开发行股票招股意向书摘要")</f>
        <v>利君股份:首次公开发行股票招股意向书摘要</v>
      </c>
    </row>
    <row r="1032" spans="1:3" x14ac:dyDescent="0.15">
      <c r="A1032" s="1">
        <v>40892</v>
      </c>
      <c r="B1032" t="s">
        <v>224</v>
      </c>
      <c r="C1032" s="2" t="str">
        <f>HYPERLINK("http://snap.windin.com/ns/bulletin.php?id=1907360&amp;type=1", "新华保险:首次公开发行A股股票上市公告书")</f>
        <v>新华保险:首次公开发行A股股票上市公告书</v>
      </c>
    </row>
    <row r="1033" spans="1:3" x14ac:dyDescent="0.15">
      <c r="A1033" s="1">
        <v>40892</v>
      </c>
      <c r="B1033" t="s">
        <v>212</v>
      </c>
      <c r="C1033" s="2" t="str">
        <f>HYPERLINK("http://snap.windin.com/ns/bulletin.php?id=1753132&amp;type=1", "博彦科技:首次公开发行股票招股意向书摘要")</f>
        <v>博彦科技:首次公开发行股票招股意向书摘要</v>
      </c>
    </row>
    <row r="1034" spans="1:3" x14ac:dyDescent="0.15">
      <c r="A1034" s="1">
        <v>40892</v>
      </c>
      <c r="B1034" t="s">
        <v>211</v>
      </c>
      <c r="C1034" s="2" t="str">
        <f>HYPERLINK("http://snap.windin.com/ns/bulletin.php?id=1121298&amp;type=1", "加加食品:首次公开发行股票招股意向书摘要")</f>
        <v>加加食品:首次公开发行股票招股意向书摘要</v>
      </c>
    </row>
    <row r="1035" spans="1:3" x14ac:dyDescent="0.15">
      <c r="A1035" s="1">
        <v>40892</v>
      </c>
      <c r="B1035" t="s">
        <v>225</v>
      </c>
      <c r="C1035" s="2" t="str">
        <f>HYPERLINK("http://snap.windin.com/ns/bulletin.php?id=785586&amp;type=1", "华昌达:首次公开发行股票并在创业板上市之上市公告书")</f>
        <v>华昌达:首次公开发行股票并在创业板上市之上市公告书</v>
      </c>
    </row>
    <row r="1036" spans="1:3" x14ac:dyDescent="0.15">
      <c r="A1036" s="1">
        <v>40892</v>
      </c>
      <c r="B1036" t="s">
        <v>225</v>
      </c>
      <c r="C1036" s="2" t="str">
        <f>HYPERLINK("http://snap.windin.com/ns/bulletin.php?id=716758&amp;type=1", "华昌达:首次公开发行股票并在创业板上市公告书提示性公告")</f>
        <v>华昌达:首次公开发行股票并在创业板上市公告书提示性公告</v>
      </c>
    </row>
    <row r="1037" spans="1:3" x14ac:dyDescent="0.15">
      <c r="A1037" s="1">
        <v>40892</v>
      </c>
      <c r="B1037" t="s">
        <v>212</v>
      </c>
      <c r="C1037" s="2" t="str">
        <f>HYPERLINK("http://snap.windin.com/ns/bulletin.php?id=649198&amp;type=1", "博彦科技:首次公开发行股票招股意向书")</f>
        <v>博彦科技:首次公开发行股票招股意向书</v>
      </c>
    </row>
    <row r="1038" spans="1:3" x14ac:dyDescent="0.15">
      <c r="A1038" s="1">
        <v>40892</v>
      </c>
      <c r="B1038" t="s">
        <v>211</v>
      </c>
      <c r="C1038" s="2" t="str">
        <f>HYPERLINK("http://snap.windin.com/ns/bulletin.php?id=467037&amp;type=1", "加加食品:首次公开发行股票招股意向书")</f>
        <v>加加食品:首次公开发行股票招股意向书</v>
      </c>
    </row>
    <row r="1039" spans="1:3" x14ac:dyDescent="0.15">
      <c r="A1039" s="1">
        <v>40892</v>
      </c>
      <c r="B1039" t="s">
        <v>224</v>
      </c>
      <c r="C1039" s="2" t="str">
        <f>HYPERLINK("http://snap.windin.com/ns/bulletin.php?id=439662&amp;type=1", "新华保险:首次公开发行A股股票招股说明书")</f>
        <v>新华保险:首次公开发行A股股票招股说明书</v>
      </c>
    </row>
    <row r="1040" spans="1:3" x14ac:dyDescent="0.15">
      <c r="A1040" s="1">
        <v>40892</v>
      </c>
      <c r="B1040" t="s">
        <v>217</v>
      </c>
      <c r="C1040" s="2" t="str">
        <f>HYPERLINK("http://snap.windin.com/ns/bulletin.php?id=404886&amp;type=1", "卫星石化:首次公开发行股票招股说明书摘要")</f>
        <v>卫星石化:首次公开发行股票招股说明书摘要</v>
      </c>
    </row>
    <row r="1041" spans="1:3" x14ac:dyDescent="0.15">
      <c r="A1041" s="1">
        <v>40892</v>
      </c>
      <c r="B1041" t="s">
        <v>217</v>
      </c>
      <c r="C1041" s="2" t="str">
        <f>HYPERLINK("http://snap.windin.com/ns/bulletin.php?id=210321&amp;type=1", "卫星石化:首次公开发行股票招股说明书")</f>
        <v>卫星石化:首次公开发行股票招股说明书</v>
      </c>
    </row>
    <row r="1042" spans="1:3" x14ac:dyDescent="0.15">
      <c r="A1042" s="1">
        <v>40889</v>
      </c>
      <c r="B1042" t="s">
        <v>220</v>
      </c>
      <c r="C1042" s="2" t="str">
        <f>HYPERLINK("http://snap.windin.com/ns/bulletin.php?id=1919133&amp;type=1", "佛慈制药:首次公开发行股票招股说明书")</f>
        <v>佛慈制药:首次公开发行股票招股说明书</v>
      </c>
    </row>
    <row r="1043" spans="1:3" x14ac:dyDescent="0.15">
      <c r="A1043" s="1">
        <v>40889</v>
      </c>
      <c r="B1043" t="s">
        <v>220</v>
      </c>
      <c r="C1043" s="2" t="str">
        <f>HYPERLINK("http://snap.windin.com/ns/bulletin.php?id=1871172&amp;type=1", "佛慈制药:首次公开发行股票招股说明书摘要")</f>
        <v>佛慈制药:首次公开发行股票招股说明书摘要</v>
      </c>
    </row>
    <row r="1044" spans="1:3" x14ac:dyDescent="0.15">
      <c r="A1044" s="1">
        <v>40889</v>
      </c>
      <c r="B1044" t="s">
        <v>219</v>
      </c>
      <c r="C1044" s="2" t="str">
        <f>HYPERLINK("http://snap.windin.com/ns/bulletin.php?id=571469&amp;type=1", "青青稞酒:首次公开发行股票招股说明书")</f>
        <v>青青稞酒:首次公开发行股票招股说明书</v>
      </c>
    </row>
    <row r="1045" spans="1:3" x14ac:dyDescent="0.15">
      <c r="A1045" s="1">
        <v>40889</v>
      </c>
      <c r="B1045" t="s">
        <v>219</v>
      </c>
      <c r="C1045" s="2" t="str">
        <f>HYPERLINK("http://snap.windin.com/ns/bulletin.php?id=490100&amp;type=1", "青青稞酒:首次公开发行股票招股说明书摘要")</f>
        <v>青青稞酒:首次公开发行股票招股说明书摘要</v>
      </c>
    </row>
    <row r="1046" spans="1:3" x14ac:dyDescent="0.15">
      <c r="A1046" s="1">
        <v>40886</v>
      </c>
      <c r="B1046" t="s">
        <v>216</v>
      </c>
      <c r="C1046" s="2" t="str">
        <f>HYPERLINK("http://snap.windin.com/ns/bulletin.php?id=18494364&amp;type=1", "和晶科技:首次公开发行股票并在创业板上市招股意向书")</f>
        <v>和晶科技:首次公开发行股票并在创业板上市招股意向书</v>
      </c>
    </row>
    <row r="1047" spans="1:3" x14ac:dyDescent="0.15">
      <c r="A1047" s="1">
        <v>40886</v>
      </c>
      <c r="B1047" t="s">
        <v>216</v>
      </c>
      <c r="C1047" s="2" t="str">
        <f>HYPERLINK("http://snap.windin.com/ns/bulletin.php?id=1651636&amp;type=1", "和晶科技:首次公开发行股票并在创业板上市招股意向书")</f>
        <v>和晶科技:首次公开发行股票并在创业板上市招股意向书</v>
      </c>
    </row>
    <row r="1048" spans="1:3" x14ac:dyDescent="0.15">
      <c r="A1048" s="1">
        <v>40886</v>
      </c>
      <c r="B1048" t="s">
        <v>215</v>
      </c>
      <c r="C1048" s="2" t="str">
        <f>HYPERLINK("http://snap.windin.com/ns/bulletin.php?id=1139954&amp;type=1", "南通锻压:首次公开发行股票并在创业板上市招股意向书")</f>
        <v>南通锻压:首次公开发行股票并在创业板上市招股意向书</v>
      </c>
    </row>
    <row r="1049" spans="1:3" x14ac:dyDescent="0.15">
      <c r="A1049" s="1">
        <v>40886</v>
      </c>
      <c r="B1049" t="s">
        <v>222</v>
      </c>
      <c r="C1049" s="2" t="str">
        <f>HYPERLINK("http://snap.windin.com/ns/bulletin.php?id=1058020&amp;type=1", "华宏科技:首次公开发行股票招股说明书摘要")</f>
        <v>华宏科技:首次公开发行股票招股说明书摘要</v>
      </c>
    </row>
    <row r="1050" spans="1:3" x14ac:dyDescent="0.15">
      <c r="A1050" s="1">
        <v>40886</v>
      </c>
      <c r="B1050" t="s">
        <v>223</v>
      </c>
      <c r="C1050" s="2" t="str">
        <f>HYPERLINK("http://snap.windin.com/ns/bulletin.php?id=862184&amp;type=1", "烟台万润:首次公开发行股票招股说明书摘要")</f>
        <v>烟台万润:首次公开发行股票招股说明书摘要</v>
      </c>
    </row>
    <row r="1051" spans="1:3" x14ac:dyDescent="0.15">
      <c r="A1051" s="1">
        <v>40886</v>
      </c>
      <c r="B1051" t="s">
        <v>214</v>
      </c>
      <c r="C1051" s="2" t="str">
        <f>HYPERLINK("http://snap.windin.com/ns/bulletin.php?id=759004&amp;type=1", "汇冠股份:首次公开发行股票并在创业板上市招股意向书")</f>
        <v>汇冠股份:首次公开发行股票并在创业板上市招股意向书</v>
      </c>
    </row>
    <row r="1052" spans="1:3" x14ac:dyDescent="0.15">
      <c r="A1052" s="1">
        <v>40886</v>
      </c>
      <c r="B1052" t="s">
        <v>213</v>
      </c>
      <c r="C1052" s="2" t="str">
        <f>HYPERLINK("http://snap.windin.com/ns/bulletin.php?id=228690&amp;type=1", "金明精机:首次公开发行股票并在创业板上市招股意向书")</f>
        <v>金明精机:首次公开发行股票并在创业板上市招股意向书</v>
      </c>
    </row>
    <row r="1053" spans="1:3" x14ac:dyDescent="0.15">
      <c r="A1053" s="1">
        <v>40886</v>
      </c>
      <c r="B1053" t="s">
        <v>222</v>
      </c>
      <c r="C1053" s="2" t="str">
        <f>HYPERLINK("http://snap.windin.com/ns/bulletin.php?id=152786&amp;type=1", "华宏科技:首次公开发行股票招股说明书")</f>
        <v>华宏科技:首次公开发行股票招股说明书</v>
      </c>
    </row>
    <row r="1054" spans="1:3" x14ac:dyDescent="0.15">
      <c r="A1054" s="1">
        <v>40886</v>
      </c>
      <c r="B1054" t="s">
        <v>223</v>
      </c>
      <c r="C1054" s="2" t="str">
        <f>HYPERLINK("http://snap.windin.com/ns/bulletin.php?id=150973&amp;type=1", "烟台万润:首次公开发行股票招股说明书")</f>
        <v>烟台万润:首次公开发行股票招股说明书</v>
      </c>
    </row>
    <row r="1055" spans="1:3" x14ac:dyDescent="0.15">
      <c r="A1055" s="1">
        <v>40886</v>
      </c>
      <c r="B1055" t="s">
        <v>226</v>
      </c>
      <c r="C1055" s="2" t="str">
        <f>HYPERLINK("http://snap.windin.com/ns/bulletin.php?id=130554&amp;type=1", "东吴证券:首次公开发行A股股票招股说明书")</f>
        <v>东吴证券:首次公开发行A股股票招股说明书</v>
      </c>
    </row>
    <row r="1056" spans="1:3" x14ac:dyDescent="0.15">
      <c r="A1056" s="1">
        <v>40886</v>
      </c>
      <c r="B1056" t="s">
        <v>226</v>
      </c>
      <c r="C1056" s="2" t="str">
        <f>HYPERLINK("http://snap.windin.com/ns/bulletin.php?id=76296&amp;type=1", "东吴证券:首次公开发行A股股票上市公告书")</f>
        <v>东吴证券:首次公开发行A股股票上市公告书</v>
      </c>
    </row>
    <row r="1057" spans="1:3" x14ac:dyDescent="0.15">
      <c r="A1057" s="1">
        <v>40885</v>
      </c>
      <c r="B1057" t="s">
        <v>218</v>
      </c>
      <c r="C1057" s="2" t="str">
        <f>HYPERLINK("http://snap.windin.com/ns/bulletin.php?id=1963799&amp;type=1", "宏磊股份:首次公开发行股票招股意向书摘要")</f>
        <v>宏磊股份:首次公开发行股票招股意向书摘要</v>
      </c>
    </row>
    <row r="1058" spans="1:3" x14ac:dyDescent="0.15">
      <c r="A1058" s="1">
        <v>40885</v>
      </c>
      <c r="B1058" t="s">
        <v>217</v>
      </c>
      <c r="C1058" s="2" t="str">
        <f>HYPERLINK("http://snap.windin.com/ns/bulletin.php?id=1909989&amp;type=1", "卫星石化:首次公开发行股票招股意向书（更新后）")</f>
        <v>卫星石化:首次公开发行股票招股意向书（更新后）</v>
      </c>
    </row>
    <row r="1059" spans="1:3" x14ac:dyDescent="0.15">
      <c r="A1059" s="1">
        <v>40885</v>
      </c>
      <c r="B1059" t="s">
        <v>217</v>
      </c>
      <c r="C1059" s="2" t="str">
        <f>HYPERLINK("http://snap.windin.com/ns/bulletin.php?id=1904214&amp;type=1", "卫星石化:首次公开发行股票招股意向书")</f>
        <v>卫星石化:首次公开发行股票招股意向书</v>
      </c>
    </row>
    <row r="1060" spans="1:3" x14ac:dyDescent="0.15">
      <c r="A1060" s="1">
        <v>40885</v>
      </c>
      <c r="B1060" t="s">
        <v>217</v>
      </c>
      <c r="C1060" s="2" t="str">
        <f>HYPERLINK("http://snap.windin.com/ns/bulletin.php?id=1685005&amp;type=1", "卫星石化:首次公开发行股票招股意向书摘要")</f>
        <v>卫星石化:首次公开发行股票招股意向书摘要</v>
      </c>
    </row>
    <row r="1061" spans="1:3" x14ac:dyDescent="0.15">
      <c r="A1061" s="1">
        <v>40885</v>
      </c>
      <c r="B1061" t="s">
        <v>218</v>
      </c>
      <c r="C1061" s="2" t="str">
        <f>HYPERLINK("http://snap.windin.com/ns/bulletin.php?id=639486&amp;type=1", "宏磊股份:首次公开发行股票招股意向书")</f>
        <v>宏磊股份:首次公开发行股票招股意向书</v>
      </c>
    </row>
    <row r="1062" spans="1:3" x14ac:dyDescent="0.15">
      <c r="A1062" s="1">
        <v>40884</v>
      </c>
      <c r="B1062" t="s">
        <v>227</v>
      </c>
      <c r="C1062" s="2" t="str">
        <f>HYPERLINK("http://snap.windin.com/ns/bulletin.php?id=1820492&amp;type=1", "永高股份:首次公开发行股票上市公告书")</f>
        <v>永高股份:首次公开发行股票上市公告书</v>
      </c>
    </row>
    <row r="1063" spans="1:3" x14ac:dyDescent="0.15">
      <c r="A1063" s="1">
        <v>40884</v>
      </c>
      <c r="B1063" t="s">
        <v>221</v>
      </c>
      <c r="C1063" s="2" t="str">
        <f>HYPERLINK("http://snap.windin.com/ns/bulletin.php?id=1743625&amp;type=1", "荣之联:首次公开发行股票招股说明书摘要")</f>
        <v>荣之联:首次公开发行股票招股说明书摘要</v>
      </c>
    </row>
    <row r="1064" spans="1:3" x14ac:dyDescent="0.15">
      <c r="A1064" s="1">
        <v>40884</v>
      </c>
      <c r="B1064" t="s">
        <v>228</v>
      </c>
      <c r="C1064" s="2" t="str">
        <f>HYPERLINK("http://snap.windin.com/ns/bulletin.php?id=1423273&amp;type=1", "百圆裤业:首次公开发行股票上市公告书")</f>
        <v>百圆裤业:首次公开发行股票上市公告书</v>
      </c>
    </row>
    <row r="1065" spans="1:3" x14ac:dyDescent="0.15">
      <c r="A1065" s="1">
        <v>40884</v>
      </c>
      <c r="B1065" t="s">
        <v>221</v>
      </c>
      <c r="C1065" s="2" t="str">
        <f>HYPERLINK("http://snap.windin.com/ns/bulletin.php?id=1094065&amp;type=1", "荣之联:首次公开发行股票招股说明书")</f>
        <v>荣之联:首次公开发行股票招股说明书</v>
      </c>
    </row>
    <row r="1066" spans="1:3" x14ac:dyDescent="0.15">
      <c r="A1066" s="1">
        <v>40883</v>
      </c>
      <c r="B1066" t="s">
        <v>225</v>
      </c>
      <c r="C1066" s="2" t="str">
        <f>HYPERLINK("http://snap.windin.com/ns/bulletin.php?id=2026587&amp;type=1", "华昌达:首次公开发行股票并在创业板上市招股说明书")</f>
        <v>华昌达:首次公开发行股票并在创业板上市招股说明书</v>
      </c>
    </row>
    <row r="1067" spans="1:3" x14ac:dyDescent="0.15">
      <c r="A1067" s="1">
        <v>40883</v>
      </c>
      <c r="B1067" t="s">
        <v>156</v>
      </c>
      <c r="C1067" s="2" t="str">
        <f>HYPERLINK("http://snap.windin.com/ns/bulletin.php?id=1769069&amp;type=1", "海通证券:H股招股说明书（英文）")</f>
        <v>海通证券:H股招股说明书（英文）</v>
      </c>
    </row>
    <row r="1068" spans="1:3" x14ac:dyDescent="0.15">
      <c r="A1068" s="1">
        <v>40883</v>
      </c>
      <c r="B1068" t="s">
        <v>156</v>
      </c>
      <c r="C1068" s="2" t="str">
        <f>HYPERLINK("http://snap.windin.com/ns/bulletin.php?id=1160528&amp;type=1", "海通证券:H股招股说明书（中文）")</f>
        <v>海通证券:H股招股说明书（中文）</v>
      </c>
    </row>
    <row r="1069" spans="1:3" x14ac:dyDescent="0.15">
      <c r="A1069" s="1">
        <v>40882</v>
      </c>
      <c r="B1069" t="s">
        <v>220</v>
      </c>
      <c r="C1069" s="2" t="str">
        <f>HYPERLINK("http://snap.windin.com/ns/bulletin.php?id=1538305&amp;type=1", "佛慈制药:首次公开发行股票招股意向书")</f>
        <v>佛慈制药:首次公开发行股票招股意向书</v>
      </c>
    </row>
    <row r="1070" spans="1:3" x14ac:dyDescent="0.15">
      <c r="A1070" s="1">
        <v>40882</v>
      </c>
      <c r="B1070" t="s">
        <v>220</v>
      </c>
      <c r="C1070" s="2" t="str">
        <f>HYPERLINK("http://snap.windin.com/ns/bulletin.php?id=1186395&amp;type=1", "佛慈制药:首次公开发行股票并上市招股意向书摘要")</f>
        <v>佛慈制药:首次公开发行股票并上市招股意向书摘要</v>
      </c>
    </row>
    <row r="1071" spans="1:3" x14ac:dyDescent="0.15">
      <c r="A1071" s="1">
        <v>40879</v>
      </c>
      <c r="B1071" t="s">
        <v>219</v>
      </c>
      <c r="C1071" s="2" t="str">
        <f>HYPERLINK("http://snap.windin.com/ns/bulletin.php?id=1796955&amp;type=1", "互助青稞:首次公开发行股票招股意向书摘要")</f>
        <v>互助青稞:首次公开发行股票招股意向书摘要</v>
      </c>
    </row>
    <row r="1072" spans="1:3" x14ac:dyDescent="0.15">
      <c r="A1072" s="1">
        <v>40879</v>
      </c>
      <c r="B1072" t="s">
        <v>229</v>
      </c>
      <c r="C1072" s="2" t="str">
        <f>HYPERLINK("http://snap.windin.com/ns/bulletin.php?id=1761299&amp;type=1", "棒杰股份:首次公开发行股票上市公告书")</f>
        <v>棒杰股份:首次公开发行股票上市公告书</v>
      </c>
    </row>
    <row r="1073" spans="1:3" x14ac:dyDescent="0.15">
      <c r="A1073" s="1">
        <v>40879</v>
      </c>
      <c r="B1073" t="s">
        <v>222</v>
      </c>
      <c r="C1073" s="2" t="str">
        <f>HYPERLINK("http://snap.windin.com/ns/bulletin.php?id=1364721&amp;type=1", "华宏科技:首次公开发行股票招股意向书摘要")</f>
        <v>华宏科技:首次公开发行股票招股意向书摘要</v>
      </c>
    </row>
    <row r="1074" spans="1:3" x14ac:dyDescent="0.15">
      <c r="A1074" s="1">
        <v>40879</v>
      </c>
      <c r="B1074" t="s">
        <v>219</v>
      </c>
      <c r="C1074" s="2" t="str">
        <f>HYPERLINK("http://snap.windin.com/ns/bulletin.php?id=1043351&amp;type=1", "互助青稞:首次公开发行股票招股意向书")</f>
        <v>互助青稞:首次公开发行股票招股意向书</v>
      </c>
    </row>
    <row r="1075" spans="1:3" x14ac:dyDescent="0.15">
      <c r="A1075" s="1">
        <v>40879</v>
      </c>
      <c r="B1075" t="s">
        <v>222</v>
      </c>
      <c r="C1075" s="2" t="str">
        <f>HYPERLINK("http://snap.windin.com/ns/bulletin.php?id=978478&amp;type=1", "华宏科技:首次公开发行股票招股意向书")</f>
        <v>华宏科技:首次公开发行股票招股意向书</v>
      </c>
    </row>
    <row r="1076" spans="1:3" x14ac:dyDescent="0.15">
      <c r="A1076" s="1">
        <v>40879</v>
      </c>
      <c r="B1076" t="s">
        <v>230</v>
      </c>
      <c r="C1076" s="2" t="str">
        <f>HYPERLINK("http://snap.windin.com/ns/bulletin.php?id=775844&amp;type=1", "雪人股份:首次公开发行股票之上市公告书")</f>
        <v>雪人股份:首次公开发行股票之上市公告书</v>
      </c>
    </row>
    <row r="1077" spans="1:3" x14ac:dyDescent="0.15">
      <c r="A1077" s="1">
        <v>40877</v>
      </c>
      <c r="B1077" t="s">
        <v>221</v>
      </c>
      <c r="C1077" s="2" t="str">
        <f>HYPERLINK("http://snap.windin.com/ns/bulletin.php?id=18485678&amp;type=1", "荣之联:首次公开发行股票招股意向书")</f>
        <v>荣之联:首次公开发行股票招股意向书</v>
      </c>
    </row>
    <row r="1078" spans="1:3" x14ac:dyDescent="0.15">
      <c r="A1078" s="1">
        <v>40877</v>
      </c>
      <c r="B1078" t="s">
        <v>223</v>
      </c>
      <c r="C1078" s="2" t="str">
        <f>HYPERLINK("http://snap.windin.com/ns/bulletin.php?id=18462512&amp;type=1", "烟台万润:首次公开发行股票招股意向书")</f>
        <v>烟台万润:首次公开发行股票招股意向书</v>
      </c>
    </row>
    <row r="1079" spans="1:3" x14ac:dyDescent="0.15">
      <c r="A1079" s="1">
        <v>40877</v>
      </c>
      <c r="B1079" t="s">
        <v>221</v>
      </c>
      <c r="C1079" s="2" t="str">
        <f>HYPERLINK("http://snap.windin.com/ns/bulletin.php?id=1804777&amp;type=1", "荣之联:首次公开发行股票招股意向书")</f>
        <v>荣之联:首次公开发行股票招股意向书</v>
      </c>
    </row>
    <row r="1080" spans="1:3" x14ac:dyDescent="0.15">
      <c r="A1080" s="1">
        <v>40877</v>
      </c>
      <c r="B1080" t="s">
        <v>223</v>
      </c>
      <c r="C1080" s="2" t="str">
        <f>HYPERLINK("http://snap.windin.com/ns/bulletin.php?id=1492686&amp;type=1", "烟台万润:首次公开发行股票招股意向书")</f>
        <v>烟台万润:首次公开发行股票招股意向书</v>
      </c>
    </row>
    <row r="1081" spans="1:3" x14ac:dyDescent="0.15">
      <c r="A1081" s="1">
        <v>40877</v>
      </c>
      <c r="B1081" t="s">
        <v>223</v>
      </c>
      <c r="C1081" s="2" t="str">
        <f>HYPERLINK("http://snap.windin.com/ns/bulletin.php?id=706509&amp;type=1", "烟台万润:首次公开发行股票招股意向书摘要")</f>
        <v>烟台万润:首次公开发行股票招股意向书摘要</v>
      </c>
    </row>
    <row r="1082" spans="1:3" x14ac:dyDescent="0.15">
      <c r="A1082" s="1">
        <v>40877</v>
      </c>
      <c r="B1082" t="s">
        <v>221</v>
      </c>
      <c r="C1082" s="2" t="str">
        <f>HYPERLINK("http://snap.windin.com/ns/bulletin.php?id=100861&amp;type=1", "荣之联:首次公开发行股票招股意向书摘要")</f>
        <v>荣之联:首次公开发行股票招股意向书摘要</v>
      </c>
    </row>
    <row r="1083" spans="1:3" x14ac:dyDescent="0.15">
      <c r="A1083" s="1">
        <v>40876</v>
      </c>
      <c r="B1083" t="s">
        <v>225</v>
      </c>
      <c r="C1083" s="2" t="str">
        <f>HYPERLINK("http://snap.windin.com/ns/bulletin.php?id=1914860&amp;type=1", "华昌达:首次公开发行股票并在创业板上市招股意向书")</f>
        <v>华昌达:首次公开发行股票并在创业板上市招股意向书</v>
      </c>
    </row>
    <row r="1084" spans="1:3" x14ac:dyDescent="0.15">
      <c r="A1084" s="1">
        <v>40876</v>
      </c>
      <c r="B1084" t="s">
        <v>228</v>
      </c>
      <c r="C1084" s="2" t="str">
        <f>HYPERLINK("http://snap.windin.com/ns/bulletin.php?id=1849380&amp;type=1", "百圆裤业:首次公开发行股票并上市招股说明书")</f>
        <v>百圆裤业:首次公开发行股票并上市招股说明书</v>
      </c>
    </row>
    <row r="1085" spans="1:3" x14ac:dyDescent="0.15">
      <c r="A1085" s="1">
        <v>40876</v>
      </c>
      <c r="B1085" t="s">
        <v>227</v>
      </c>
      <c r="C1085" s="2" t="str">
        <f>HYPERLINK("http://snap.windin.com/ns/bulletin.php?id=1726792&amp;type=1", "永高股份:首次公开发行股票（A股）招股说明书摘要")</f>
        <v>永高股份:首次公开发行股票（A股）招股说明书摘要</v>
      </c>
    </row>
    <row r="1086" spans="1:3" x14ac:dyDescent="0.15">
      <c r="A1086" s="1">
        <v>40876</v>
      </c>
      <c r="B1086" t="s">
        <v>228</v>
      </c>
      <c r="C1086" s="2" t="str">
        <f>HYPERLINK("http://snap.windin.com/ns/bulletin.php?id=1660067&amp;type=1", "百圆裤业:首次公开发行股票招股说明书摘要")</f>
        <v>百圆裤业:首次公开发行股票招股说明书摘要</v>
      </c>
    </row>
    <row r="1087" spans="1:3" x14ac:dyDescent="0.15">
      <c r="A1087" s="1">
        <v>40876</v>
      </c>
      <c r="B1087" t="s">
        <v>231</v>
      </c>
      <c r="C1087" s="2" t="str">
        <f>HYPERLINK("http://snap.windin.com/ns/bulletin.php?id=1182520&amp;type=1", "凤凰传媒:首次公开发行A股股票招股说明书")</f>
        <v>凤凰传媒:首次公开发行A股股票招股说明书</v>
      </c>
    </row>
    <row r="1088" spans="1:3" x14ac:dyDescent="0.15">
      <c r="A1088" s="1">
        <v>40876</v>
      </c>
      <c r="B1088" t="s">
        <v>231</v>
      </c>
      <c r="C1088" s="2" t="str">
        <f>HYPERLINK("http://snap.windin.com/ns/bulletin.php?id=787086&amp;type=1", "凤凰传媒:首次公开发行A股股票上市公告书")</f>
        <v>凤凰传媒:首次公开发行A股股票上市公告书</v>
      </c>
    </row>
    <row r="1089" spans="1:3" x14ac:dyDescent="0.15">
      <c r="A1089" s="1">
        <v>40876</v>
      </c>
      <c r="B1089" t="s">
        <v>227</v>
      </c>
      <c r="C1089" s="2" t="str">
        <f>HYPERLINK("http://snap.windin.com/ns/bulletin.php?id=127295&amp;type=1", "永高股份:首次公开发行股票（A股）招股说明书")</f>
        <v>永高股份:首次公开发行股票（A股）招股说明书</v>
      </c>
    </row>
    <row r="1090" spans="1:3" x14ac:dyDescent="0.15">
      <c r="A1090" s="1">
        <v>40872</v>
      </c>
      <c r="B1090" t="s">
        <v>226</v>
      </c>
      <c r="C1090" s="2" t="str">
        <f>HYPERLINK("http://snap.windin.com/ns/bulletin.php?id=1932938&amp;type=1", "东吴证券:首次公开发行A股股票招股意向书附录二")</f>
        <v>东吴证券:首次公开发行A股股票招股意向书附录二</v>
      </c>
    </row>
    <row r="1091" spans="1:3" x14ac:dyDescent="0.15">
      <c r="A1091" s="1">
        <v>40872</v>
      </c>
      <c r="B1091" t="s">
        <v>226</v>
      </c>
      <c r="C1091" s="2" t="str">
        <f>HYPERLINK("http://snap.windin.com/ns/bulletin.php?id=1853362&amp;type=1", "东吴证券:首次公开发行A股股票招股意向书附录一")</f>
        <v>东吴证券:首次公开发行A股股票招股意向书附录一</v>
      </c>
    </row>
    <row r="1092" spans="1:3" x14ac:dyDescent="0.15">
      <c r="A1092" s="1">
        <v>40872</v>
      </c>
      <c r="B1092" t="s">
        <v>232</v>
      </c>
      <c r="C1092" s="2" t="str">
        <f>HYPERLINK("http://snap.windin.com/ns/bulletin.php?id=1402984&amp;type=1", "N赞宇:首次公开发行股票上市公告书（更新后）")</f>
        <v>N赞宇:首次公开发行股票上市公告书（更新后）</v>
      </c>
    </row>
    <row r="1093" spans="1:3" x14ac:dyDescent="0.15">
      <c r="A1093" s="1">
        <v>40872</v>
      </c>
      <c r="B1093" t="s">
        <v>226</v>
      </c>
      <c r="C1093" s="2" t="str">
        <f>HYPERLINK("http://snap.windin.com/ns/bulletin.php?id=1046299&amp;type=1", "东吴证券:首次公开发行A股股票招股意向书附录三")</f>
        <v>东吴证券:首次公开发行A股股票招股意向书附录三</v>
      </c>
    </row>
    <row r="1094" spans="1:3" x14ac:dyDescent="0.15">
      <c r="A1094" s="1">
        <v>40872</v>
      </c>
      <c r="B1094" t="s">
        <v>226</v>
      </c>
      <c r="C1094" s="2" t="str">
        <f>HYPERLINK("http://snap.windin.com/ns/bulletin.php?id=236580&amp;type=1", "东吴证券:首次公开发行A股股票招股意向书")</f>
        <v>东吴证券:首次公开发行A股股票招股意向书</v>
      </c>
    </row>
    <row r="1095" spans="1:3" x14ac:dyDescent="0.15">
      <c r="A1095" s="1">
        <v>40872</v>
      </c>
      <c r="B1095" t="s">
        <v>226</v>
      </c>
      <c r="C1095" s="2" t="str">
        <f>HYPERLINK("http://snap.windin.com/ns/bulletin.php?id=182533&amp;type=1", "东吴证券:首次公开发行A股股票招股意向书摘要")</f>
        <v>东吴证券:首次公开发行A股股票招股意向书摘要</v>
      </c>
    </row>
    <row r="1096" spans="1:3" x14ac:dyDescent="0.15">
      <c r="A1096" s="1">
        <v>40871</v>
      </c>
      <c r="B1096" t="s">
        <v>233</v>
      </c>
      <c r="C1096" s="2" t="str">
        <f>HYPERLINK("http://snap.windin.com/ns/bulletin.php?id=2070632&amp;type=1", "安洁科技:首次公开发行股票上市公告书")</f>
        <v>安洁科技:首次公开发行股票上市公告书</v>
      </c>
    </row>
    <row r="1097" spans="1:3" x14ac:dyDescent="0.15">
      <c r="A1097" s="1">
        <v>40871</v>
      </c>
      <c r="B1097" t="s">
        <v>234</v>
      </c>
      <c r="C1097" s="2" t="str">
        <f>HYPERLINK("http://snap.windin.com/ns/bulletin.php?id=1307392&amp;type=1", "勤上光电:首次公开发行股票上市公告书")</f>
        <v>勤上光电:首次公开发行股票上市公告书</v>
      </c>
    </row>
    <row r="1098" spans="1:3" x14ac:dyDescent="0.15">
      <c r="A1098" s="1">
        <v>40871</v>
      </c>
      <c r="B1098" t="s">
        <v>232</v>
      </c>
      <c r="C1098" s="2" t="str">
        <f>HYPERLINK("http://snap.windin.com/ns/bulletin.php?id=565040&amp;type=1", "赞宇科技:首次公开发行股票上市公告书")</f>
        <v>赞宇科技:首次公开发行股票上市公告书</v>
      </c>
    </row>
    <row r="1099" spans="1:3" x14ac:dyDescent="0.15">
      <c r="A1099" s="1">
        <v>40871</v>
      </c>
      <c r="B1099" t="s">
        <v>229</v>
      </c>
      <c r="C1099" s="2" t="str">
        <f>HYPERLINK("http://snap.windin.com/ns/bulletin.php?id=494164&amp;type=1", "棒杰股份:首次公开发行股票招股说明书摘要")</f>
        <v>棒杰股份:首次公开发行股票招股说明书摘要</v>
      </c>
    </row>
    <row r="1100" spans="1:3" x14ac:dyDescent="0.15">
      <c r="A1100" s="1">
        <v>40871</v>
      </c>
      <c r="B1100" t="s">
        <v>229</v>
      </c>
      <c r="C1100" s="2" t="str">
        <f>HYPERLINK("http://snap.windin.com/ns/bulletin.php?id=474141&amp;type=1", "棒杰股份:首次公开发行股票招股说明书")</f>
        <v>棒杰股份:首次公开发行股票招股说明书</v>
      </c>
    </row>
    <row r="1101" spans="1:3" x14ac:dyDescent="0.15">
      <c r="A1101" s="1">
        <v>40871</v>
      </c>
      <c r="B1101" t="s">
        <v>235</v>
      </c>
      <c r="C1101" s="2" t="str">
        <f>HYPERLINK("http://snap.windin.com/ns/bulletin.php?id=88545&amp;type=1", "金安国纪:首次公开发行股票上市公告书")</f>
        <v>金安国纪:首次公开发行股票上市公告书</v>
      </c>
    </row>
    <row r="1102" spans="1:3" x14ac:dyDescent="0.15">
      <c r="A1102" s="1">
        <v>40870</v>
      </c>
      <c r="B1102" t="s">
        <v>236</v>
      </c>
      <c r="C1102" s="2" t="str">
        <f>HYPERLINK("http://snap.windin.com/ns/bulletin.php?id=2095606&amp;type=1", "N海联讯:首次公开发行股票并在创业板上市公告书（更新后）")</f>
        <v>N海联讯:首次公开发行股票并在创业板上市公告书（更新后）</v>
      </c>
    </row>
    <row r="1103" spans="1:3" x14ac:dyDescent="0.15">
      <c r="A1103" s="1">
        <v>40870</v>
      </c>
      <c r="B1103" t="s">
        <v>236</v>
      </c>
      <c r="C1103" s="2" t="str">
        <f>HYPERLINK("http://snap.windin.com/ns/bulletin.php?id=1371883&amp;type=1", "N海联讯:关于《深圳海联讯科技股份有限公司首次公开发行股票并在创业板上市公告书》补充公告")</f>
        <v>N海联讯:关于《深圳海联讯科技股份有限公司首次公开发行股票并在创业板上市公告书》补充公告</v>
      </c>
    </row>
    <row r="1104" spans="1:3" x14ac:dyDescent="0.15">
      <c r="A1104" s="1">
        <v>40869</v>
      </c>
      <c r="B1104" t="s">
        <v>224</v>
      </c>
      <c r="C1104" s="2" t="str">
        <f>HYPERLINK("http://snap.windin.com/ns/bulletin.php?id=2063769&amp;type=1", "新华保险:首次公开发行A股股票招股意向书附录二")</f>
        <v>新华保险:首次公开发行A股股票招股意向书附录二</v>
      </c>
    </row>
    <row r="1105" spans="1:3" x14ac:dyDescent="0.15">
      <c r="A1105" s="1">
        <v>40869</v>
      </c>
      <c r="B1105" t="s">
        <v>224</v>
      </c>
      <c r="C1105" s="2" t="str">
        <f>HYPERLINK("http://snap.windin.com/ns/bulletin.php?id=2011855&amp;type=1", "新华保险:首次公开发行A股股票招股意向书附录三")</f>
        <v>新华保险:首次公开发行A股股票招股意向书附录三</v>
      </c>
    </row>
    <row r="1106" spans="1:3" x14ac:dyDescent="0.15">
      <c r="A1106" s="1">
        <v>40869</v>
      </c>
      <c r="B1106" t="s">
        <v>224</v>
      </c>
      <c r="C1106" s="2" t="str">
        <f>HYPERLINK("http://snap.windin.com/ns/bulletin.php?id=630566&amp;type=1", "新华保险:首次公开发行股票（A股）招股意向书摘要")</f>
        <v>新华保险:首次公开发行股票（A股）招股意向书摘要</v>
      </c>
    </row>
    <row r="1107" spans="1:3" x14ac:dyDescent="0.15">
      <c r="A1107" s="1">
        <v>40869</v>
      </c>
      <c r="B1107" t="s">
        <v>236</v>
      </c>
      <c r="C1107" s="2" t="str">
        <f>HYPERLINK("http://snap.windin.com/ns/bulletin.php?id=622063&amp;type=1", "海联讯:首次公开发行股票并在创业板上市公告书")</f>
        <v>海联讯:首次公开发行股票并在创业板上市公告书</v>
      </c>
    </row>
    <row r="1108" spans="1:3" x14ac:dyDescent="0.15">
      <c r="A1108" s="1">
        <v>40869</v>
      </c>
      <c r="B1108" t="s">
        <v>224</v>
      </c>
      <c r="C1108" s="2" t="str">
        <f>HYPERLINK("http://snap.windin.com/ns/bulletin.php?id=605896&amp;type=1", "新华保险:首次公开发行股票（A股）招股意向书")</f>
        <v>新华保险:首次公开发行股票（A股）招股意向书</v>
      </c>
    </row>
    <row r="1109" spans="1:3" x14ac:dyDescent="0.15">
      <c r="A1109" s="1">
        <v>40869</v>
      </c>
      <c r="B1109" t="s">
        <v>236</v>
      </c>
      <c r="C1109" s="2" t="str">
        <f>HYPERLINK("http://snap.windin.com/ns/bulletin.php?id=127899&amp;type=1", "海联讯:首次公开发行股票并在创业板上市公告书提示性公告")</f>
        <v>海联讯:首次公开发行股票并在创业板上市公告书提示性公告</v>
      </c>
    </row>
    <row r="1110" spans="1:3" x14ac:dyDescent="0.15">
      <c r="A1110" s="1">
        <v>40869</v>
      </c>
      <c r="B1110" t="s">
        <v>224</v>
      </c>
      <c r="C1110" s="2" t="str">
        <f>HYPERLINK("http://snap.windin.com/ns/bulletin.php?id=127243&amp;type=1", "新华保险:首次公开发行A股股票招股意向书附录一")</f>
        <v>新华保险:首次公开发行A股股票招股意向书附录一</v>
      </c>
    </row>
    <row r="1111" spans="1:3" x14ac:dyDescent="0.15">
      <c r="A1111" s="1">
        <v>40868</v>
      </c>
      <c r="B1111" t="s">
        <v>237</v>
      </c>
      <c r="C1111" s="2" t="str">
        <f>HYPERLINK("http://snap.windin.com/ns/bulletin.php?id=1154228&amp;type=1", "申科股份:首次公开发行股票上市公告书")</f>
        <v>申科股份:首次公开发行股票上市公告书</v>
      </c>
    </row>
    <row r="1112" spans="1:3" x14ac:dyDescent="0.15">
      <c r="A1112" s="1">
        <v>40868</v>
      </c>
      <c r="B1112" t="s">
        <v>238</v>
      </c>
      <c r="C1112" s="2" t="str">
        <f>HYPERLINK("http://snap.windin.com/ns/bulletin.php?id=786181&amp;type=1", "道明光学:首次公开发行股票上市公告书")</f>
        <v>道明光学:首次公开发行股票上市公告书</v>
      </c>
    </row>
    <row r="1113" spans="1:3" x14ac:dyDescent="0.15">
      <c r="A1113" s="1">
        <v>40865</v>
      </c>
      <c r="B1113" t="s">
        <v>227</v>
      </c>
      <c r="C1113" s="2" t="str">
        <f>HYPERLINK("http://snap.windin.com/ns/bulletin.php?id=739142&amp;type=1", "永高股份:首次公开发行股票（A股）招股意向书")</f>
        <v>永高股份:首次公开发行股票（A股）招股意向书</v>
      </c>
    </row>
    <row r="1114" spans="1:3" x14ac:dyDescent="0.15">
      <c r="A1114" s="1">
        <v>40865</v>
      </c>
      <c r="B1114" t="s">
        <v>227</v>
      </c>
      <c r="C1114" s="2" t="str">
        <f>HYPERLINK("http://snap.windin.com/ns/bulletin.php?id=129376&amp;type=1", "永高股份:首次公开发行股票（A股）招股意向书摘要")</f>
        <v>永高股份:首次公开发行股票（A股）招股意向书摘要</v>
      </c>
    </row>
    <row r="1115" spans="1:3" x14ac:dyDescent="0.15">
      <c r="A1115" s="1">
        <v>40864</v>
      </c>
      <c r="B1115" t="s">
        <v>229</v>
      </c>
      <c r="C1115" s="2" t="str">
        <f>HYPERLINK("http://snap.windin.com/ns/bulletin.php?id=18451546&amp;type=1", "棒杰股份:首次公开发行股票招股意向书")</f>
        <v>棒杰股份:首次公开发行股票招股意向书</v>
      </c>
    </row>
    <row r="1116" spans="1:3" x14ac:dyDescent="0.15">
      <c r="A1116" s="1">
        <v>40864</v>
      </c>
      <c r="B1116" t="s">
        <v>230</v>
      </c>
      <c r="C1116" s="2" t="str">
        <f>HYPERLINK("http://snap.windin.com/ns/bulletin.php?id=1754400&amp;type=1", "雪人股份:首次公开发行股票招股说明书")</f>
        <v>雪人股份:首次公开发行股票招股说明书</v>
      </c>
    </row>
    <row r="1117" spans="1:3" x14ac:dyDescent="0.15">
      <c r="A1117" s="1">
        <v>40864</v>
      </c>
      <c r="B1117" t="s">
        <v>228</v>
      </c>
      <c r="C1117" s="2" t="str">
        <f>HYPERLINK("http://snap.windin.com/ns/bulletin.php?id=1311208&amp;type=1", "百圆裤业:首次公开发行股票并上市招股意向书")</f>
        <v>百圆裤业:首次公开发行股票并上市招股意向书</v>
      </c>
    </row>
    <row r="1118" spans="1:3" x14ac:dyDescent="0.15">
      <c r="A1118" s="1">
        <v>40864</v>
      </c>
      <c r="B1118" t="s">
        <v>229</v>
      </c>
      <c r="C1118" s="2" t="str">
        <f>HYPERLINK("http://snap.windin.com/ns/bulletin.php?id=1289601&amp;type=1", "棒杰股份:首次公开发行股票招股意向书摘要")</f>
        <v>棒杰股份:首次公开发行股票招股意向书摘要</v>
      </c>
    </row>
    <row r="1119" spans="1:3" x14ac:dyDescent="0.15">
      <c r="A1119" s="1">
        <v>40864</v>
      </c>
      <c r="B1119" t="s">
        <v>230</v>
      </c>
      <c r="C1119" s="2" t="str">
        <f>HYPERLINK("http://snap.windin.com/ns/bulletin.php?id=946483&amp;type=1", "雪人股份:首次公开发行股票招股说明书摘要")</f>
        <v>雪人股份:首次公开发行股票招股说明书摘要</v>
      </c>
    </row>
    <row r="1120" spans="1:3" x14ac:dyDescent="0.15">
      <c r="A1120" s="1">
        <v>40864</v>
      </c>
      <c r="B1120" t="s">
        <v>228</v>
      </c>
      <c r="C1120" s="2" t="str">
        <f>HYPERLINK("http://snap.windin.com/ns/bulletin.php?id=920133&amp;type=1", "百圆裤业:首次公开发行股票招股意向书摘要")</f>
        <v>百圆裤业:首次公开发行股票招股意向书摘要</v>
      </c>
    </row>
    <row r="1121" spans="1:3" x14ac:dyDescent="0.15">
      <c r="A1121" s="1">
        <v>40864</v>
      </c>
      <c r="B1121" t="s">
        <v>229</v>
      </c>
      <c r="C1121" s="2" t="str">
        <f>HYPERLINK("http://snap.windin.com/ns/bulletin.php?id=145724&amp;type=1", "棒杰股份:首次公开发行股票招股意向书")</f>
        <v>棒杰股份:首次公开发行股票招股意向书</v>
      </c>
    </row>
    <row r="1122" spans="1:3" x14ac:dyDescent="0.15">
      <c r="A1122" s="1">
        <v>40862</v>
      </c>
      <c r="B1122" t="s">
        <v>233</v>
      </c>
      <c r="C1122" s="2" t="str">
        <f>HYPERLINK("http://snap.windin.com/ns/bulletin.php?id=2040801&amp;type=1", "安洁科技:首次公开发行股票招股说明书")</f>
        <v>安洁科技:首次公开发行股票招股说明书</v>
      </c>
    </row>
    <row r="1123" spans="1:3" x14ac:dyDescent="0.15">
      <c r="A1123" s="1">
        <v>40862</v>
      </c>
      <c r="B1123" t="s">
        <v>233</v>
      </c>
      <c r="C1123" s="2" t="str">
        <f>HYPERLINK("http://snap.windin.com/ns/bulletin.php?id=1755566&amp;type=1", "安洁科技:首次公开发行股票招股说明书摘要")</f>
        <v>安洁科技:首次公开发行股票招股说明书摘要</v>
      </c>
    </row>
    <row r="1124" spans="1:3" x14ac:dyDescent="0.15">
      <c r="A1124" s="1">
        <v>40862</v>
      </c>
      <c r="B1124" t="s">
        <v>232</v>
      </c>
      <c r="C1124" s="2" t="str">
        <f>HYPERLINK("http://snap.windin.com/ns/bulletin.php?id=1696997&amp;type=1", "赞宇科技:首次公开发行股票招股说明书")</f>
        <v>赞宇科技:首次公开发行股票招股说明书</v>
      </c>
    </row>
    <row r="1125" spans="1:3" x14ac:dyDescent="0.15">
      <c r="A1125" s="1">
        <v>40862</v>
      </c>
      <c r="B1125" t="s">
        <v>232</v>
      </c>
      <c r="C1125" s="2" t="str">
        <f>HYPERLINK("http://snap.windin.com/ns/bulletin.php?id=1664340&amp;type=1", "赞宇科技:首次公开发行股票招股说明书摘要")</f>
        <v>赞宇科技:首次公开发行股票招股说明书摘要</v>
      </c>
    </row>
    <row r="1126" spans="1:3" x14ac:dyDescent="0.15">
      <c r="A1126" s="1">
        <v>40862</v>
      </c>
      <c r="B1126" t="s">
        <v>234</v>
      </c>
      <c r="C1126" s="2" t="str">
        <f>HYPERLINK("http://snap.windin.com/ns/bulletin.php?id=1659543&amp;type=1", "勤上光电:首次公开发行股票招股说明书")</f>
        <v>勤上光电:首次公开发行股票招股说明书</v>
      </c>
    </row>
    <row r="1127" spans="1:3" x14ac:dyDescent="0.15">
      <c r="A1127" s="1">
        <v>40862</v>
      </c>
      <c r="B1127" t="s">
        <v>234</v>
      </c>
      <c r="C1127" s="2" t="str">
        <f>HYPERLINK("http://snap.windin.com/ns/bulletin.php?id=1377231&amp;type=1", "勤上光电:首次公开发行股票招股说明书摘要")</f>
        <v>勤上光电:首次公开发行股票招股说明书摘要</v>
      </c>
    </row>
    <row r="1128" spans="1:3" x14ac:dyDescent="0.15">
      <c r="A1128" s="1">
        <v>40862</v>
      </c>
      <c r="B1128" t="s">
        <v>235</v>
      </c>
      <c r="C1128" s="2" t="str">
        <f>HYPERLINK("http://snap.windin.com/ns/bulletin.php?id=480902&amp;type=1", "金安国纪:首次公开发行股票招股说明书摘要")</f>
        <v>金安国纪:首次公开发行股票招股说明书摘要</v>
      </c>
    </row>
    <row r="1129" spans="1:3" x14ac:dyDescent="0.15">
      <c r="A1129" s="1">
        <v>40862</v>
      </c>
      <c r="B1129" t="s">
        <v>235</v>
      </c>
      <c r="C1129" s="2" t="str">
        <f>HYPERLINK("http://snap.windin.com/ns/bulletin.php?id=203938&amp;type=1", "金安国纪:首次公开发行股票招股说明书")</f>
        <v>金安国纪:首次公开发行股票招股说明书</v>
      </c>
    </row>
    <row r="1130" spans="1:3" x14ac:dyDescent="0.15">
      <c r="A1130" s="1">
        <v>40861</v>
      </c>
      <c r="B1130" t="s">
        <v>239</v>
      </c>
      <c r="C1130" s="2" t="str">
        <f>HYPERLINK("http://snap.windin.com/ns/bulletin.php?id=1982406&amp;type=1", "三丰智能:首次公开发行股票并在创业板上市之上市公告书")</f>
        <v>三丰智能:首次公开发行股票并在创业板上市之上市公告书</v>
      </c>
    </row>
    <row r="1131" spans="1:3" x14ac:dyDescent="0.15">
      <c r="A1131" s="1">
        <v>40861</v>
      </c>
      <c r="B1131" t="s">
        <v>239</v>
      </c>
      <c r="C1131" s="2" t="str">
        <f>HYPERLINK("http://snap.windin.com/ns/bulletin.php?id=970232&amp;type=1", "三丰智能:首次公开发行股票并在创业板上市公告书提示性公告")</f>
        <v>三丰智能:首次公开发行股票并在创业板上市公告书提示性公告</v>
      </c>
    </row>
    <row r="1132" spans="1:3" x14ac:dyDescent="0.15">
      <c r="A1132" s="1">
        <v>40858</v>
      </c>
      <c r="B1132" t="s">
        <v>236</v>
      </c>
      <c r="C1132" s="2" t="str">
        <f>HYPERLINK("http://snap.windin.com/ns/bulletin.php?id=2053043&amp;type=1", "海联讯:首次公开发行股票并在创业板上市招股说明书")</f>
        <v>海联讯:首次公开发行股票并在创业板上市招股说明书</v>
      </c>
    </row>
    <row r="1133" spans="1:3" x14ac:dyDescent="0.15">
      <c r="A1133" s="1">
        <v>40858</v>
      </c>
      <c r="B1133" t="s">
        <v>231</v>
      </c>
      <c r="C1133" s="2" t="str">
        <f>HYPERLINK("http://snap.windin.com/ns/bulletin.php?id=1953525&amp;type=1", "凤凰传媒:首次公开发行A股股票招股意向书附录二")</f>
        <v>凤凰传媒:首次公开发行A股股票招股意向书附录二</v>
      </c>
    </row>
    <row r="1134" spans="1:3" x14ac:dyDescent="0.15">
      <c r="A1134" s="1">
        <v>40858</v>
      </c>
      <c r="B1134" t="s">
        <v>231</v>
      </c>
      <c r="C1134" s="2" t="str">
        <f>HYPERLINK("http://snap.windin.com/ns/bulletin.php?id=1641200&amp;type=1", "凤凰传媒:首次公开发行A股股票招股意向书")</f>
        <v>凤凰传媒:首次公开发行A股股票招股意向书</v>
      </c>
    </row>
    <row r="1135" spans="1:3" x14ac:dyDescent="0.15">
      <c r="A1135" s="1">
        <v>40858</v>
      </c>
      <c r="B1135" t="s">
        <v>231</v>
      </c>
      <c r="C1135" s="2" t="str">
        <f>HYPERLINK("http://snap.windin.com/ns/bulletin.php?id=1594359&amp;type=1", "凤凰传媒:首次公开发行A股股票招股意向书摘要")</f>
        <v>凤凰传媒:首次公开发行A股股票招股意向书摘要</v>
      </c>
    </row>
    <row r="1136" spans="1:3" x14ac:dyDescent="0.15">
      <c r="A1136" s="1">
        <v>40858</v>
      </c>
      <c r="B1136" t="s">
        <v>231</v>
      </c>
      <c r="C1136" s="2" t="str">
        <f>HYPERLINK("http://snap.windin.com/ns/bulletin.php?id=1345555&amp;type=1", "凤凰传媒:首次公开发行A股股票招股意向书附录三")</f>
        <v>凤凰传媒:首次公开发行A股股票招股意向书附录三</v>
      </c>
    </row>
    <row r="1137" spans="1:3" x14ac:dyDescent="0.15">
      <c r="A1137" s="1">
        <v>40858</v>
      </c>
      <c r="B1137" t="s">
        <v>231</v>
      </c>
      <c r="C1137" s="2" t="str">
        <f>HYPERLINK("http://snap.windin.com/ns/bulletin.php?id=1076590&amp;type=1", "凤凰传媒:首次公开发行A股股票招股意向书附录一")</f>
        <v>凤凰传媒:首次公开发行A股股票招股意向书附录一</v>
      </c>
    </row>
    <row r="1138" spans="1:3" x14ac:dyDescent="0.15">
      <c r="A1138" s="1">
        <v>40857</v>
      </c>
      <c r="B1138" t="s">
        <v>240</v>
      </c>
      <c r="C1138" s="2" t="str">
        <f>HYPERLINK("http://snap.windin.com/ns/bulletin.php?id=1897307&amp;type=1", "华西能源:首次公开发行股票上市公告书")</f>
        <v>华西能源:首次公开发行股票上市公告书</v>
      </c>
    </row>
    <row r="1139" spans="1:3" x14ac:dyDescent="0.15">
      <c r="A1139" s="1">
        <v>40857</v>
      </c>
      <c r="B1139" t="s">
        <v>237</v>
      </c>
      <c r="C1139" s="2" t="str">
        <f>HYPERLINK("http://snap.windin.com/ns/bulletin.php?id=1799191&amp;type=1", "申科股份:首次公开发行股票招股说明书摘要")</f>
        <v>申科股份:首次公开发行股票招股说明书摘要</v>
      </c>
    </row>
    <row r="1140" spans="1:3" x14ac:dyDescent="0.15">
      <c r="A1140" s="1">
        <v>40857</v>
      </c>
      <c r="B1140" t="s">
        <v>241</v>
      </c>
      <c r="C1140" s="2" t="str">
        <f>HYPERLINK("http://snap.windin.com/ns/bulletin.php?id=1520199&amp;type=1", "八菱科技:首次公开发行股票上市公告书")</f>
        <v>八菱科技:首次公开发行股票上市公告书</v>
      </c>
    </row>
    <row r="1141" spans="1:3" x14ac:dyDescent="0.15">
      <c r="A1141" s="1">
        <v>40857</v>
      </c>
      <c r="B1141" t="s">
        <v>242</v>
      </c>
      <c r="C1141" s="2" t="str">
        <f>HYPERLINK("http://snap.windin.com/ns/bulletin.php?id=468349&amp;type=1", "德尔家居:首次公开发行股票上市公告书")</f>
        <v>德尔家居:首次公开发行股票上市公告书</v>
      </c>
    </row>
    <row r="1142" spans="1:3" x14ac:dyDescent="0.15">
      <c r="A1142" s="1">
        <v>40857</v>
      </c>
      <c r="B1142" t="s">
        <v>237</v>
      </c>
      <c r="C1142" s="2" t="str">
        <f>HYPERLINK("http://snap.windin.com/ns/bulletin.php?id=182784&amp;type=1", "申科股份:首次公开发行股票招股说明书")</f>
        <v>申科股份:首次公开发行股票招股说明书</v>
      </c>
    </row>
    <row r="1143" spans="1:3" x14ac:dyDescent="0.15">
      <c r="A1143" s="1">
        <v>40856</v>
      </c>
      <c r="B1143" t="s">
        <v>230</v>
      </c>
      <c r="C1143" s="2" t="str">
        <f>HYPERLINK("http://snap.windin.com/ns/bulletin.php?id=18490860&amp;type=1", "雪人股份:首次公开发行股票招股意向书")</f>
        <v>雪人股份:首次公开发行股票招股意向书</v>
      </c>
    </row>
    <row r="1144" spans="1:3" x14ac:dyDescent="0.15">
      <c r="A1144" s="1">
        <v>40856</v>
      </c>
      <c r="B1144" t="s">
        <v>230</v>
      </c>
      <c r="C1144" s="2" t="str">
        <f>HYPERLINK("http://snap.windin.com/ns/bulletin.php?id=1028294&amp;type=1", "雪人股份:首次公开发行股票招股意向书摘要")</f>
        <v>雪人股份:首次公开发行股票招股意向书摘要</v>
      </c>
    </row>
    <row r="1145" spans="1:3" x14ac:dyDescent="0.15">
      <c r="A1145" s="1">
        <v>40856</v>
      </c>
      <c r="B1145" t="s">
        <v>230</v>
      </c>
      <c r="C1145" s="2" t="str">
        <f>HYPERLINK("http://snap.windin.com/ns/bulletin.php?id=635406&amp;type=1", "雪人股份:首次公开发行股票招股意向书")</f>
        <v>雪人股份:首次公开发行股票招股意向书</v>
      </c>
    </row>
    <row r="1146" spans="1:3" x14ac:dyDescent="0.15">
      <c r="A1146" s="1">
        <v>40855</v>
      </c>
      <c r="B1146" t="s">
        <v>234</v>
      </c>
      <c r="C1146" s="2" t="str">
        <f>HYPERLINK("http://snap.windin.com/ns/bulletin.php?id=1909173&amp;type=1", "勤上光电:首次公开发行股票招股意向书摘要")</f>
        <v>勤上光电:首次公开发行股票招股意向书摘要</v>
      </c>
    </row>
    <row r="1147" spans="1:3" x14ac:dyDescent="0.15">
      <c r="A1147" s="1">
        <v>40855</v>
      </c>
      <c r="B1147" t="s">
        <v>234</v>
      </c>
      <c r="C1147" s="2" t="str">
        <f>HYPERLINK("http://snap.windin.com/ns/bulletin.php?id=1320832&amp;type=1", "勤上光电:首次公开发行股票招股意向书")</f>
        <v>勤上光电:首次公开发行股票招股意向书</v>
      </c>
    </row>
    <row r="1148" spans="1:3" x14ac:dyDescent="0.15">
      <c r="A1148" s="1">
        <v>40855</v>
      </c>
      <c r="B1148" t="s">
        <v>235</v>
      </c>
      <c r="C1148" s="2" t="str">
        <f>HYPERLINK("http://snap.windin.com/ns/bulletin.php?id=733272&amp;type=1", "金安国纪:首次公开发行股票招股意向书摘要")</f>
        <v>金安国纪:首次公开发行股票招股意向书摘要</v>
      </c>
    </row>
    <row r="1149" spans="1:3" x14ac:dyDescent="0.15">
      <c r="A1149" s="1">
        <v>40855</v>
      </c>
      <c r="B1149" t="s">
        <v>235</v>
      </c>
      <c r="C1149" s="2" t="str">
        <f>HYPERLINK("http://snap.windin.com/ns/bulletin.php?id=435647&amp;type=1", "金安国纪:首次公开发行股票招股意向书")</f>
        <v>金安国纪:首次公开发行股票招股意向书</v>
      </c>
    </row>
    <row r="1150" spans="1:3" x14ac:dyDescent="0.15">
      <c r="A1150" s="1">
        <v>40855</v>
      </c>
      <c r="B1150" t="s">
        <v>232</v>
      </c>
      <c r="C1150" s="2" t="str">
        <f>HYPERLINK("http://snap.windin.com/ns/bulletin.php?id=431186&amp;type=1", "赞宇科技:首次公开发行股票招股意向书摘要")</f>
        <v>赞宇科技:首次公开发行股票招股意向书摘要</v>
      </c>
    </row>
    <row r="1151" spans="1:3" x14ac:dyDescent="0.15">
      <c r="A1151" s="1">
        <v>40855</v>
      </c>
      <c r="B1151" t="s">
        <v>232</v>
      </c>
      <c r="C1151" s="2" t="str">
        <f>HYPERLINK("http://snap.windin.com/ns/bulletin.php?id=109433&amp;type=1", "赞宇科技:首次公开发行股票招股意向书")</f>
        <v>赞宇科技:首次公开发行股票招股意向书</v>
      </c>
    </row>
    <row r="1152" spans="1:3" x14ac:dyDescent="0.15">
      <c r="A1152" s="1">
        <v>40854</v>
      </c>
      <c r="B1152" t="s">
        <v>238</v>
      </c>
      <c r="C1152" s="2" t="str">
        <f>HYPERLINK("http://snap.windin.com/ns/bulletin.php?id=1319415&amp;type=1", "道明光学:首次公开发行股票招股说明书")</f>
        <v>道明光学:首次公开发行股票招股说明书</v>
      </c>
    </row>
    <row r="1153" spans="1:3" x14ac:dyDescent="0.15">
      <c r="A1153" s="1">
        <v>40854</v>
      </c>
      <c r="B1153" t="s">
        <v>238</v>
      </c>
      <c r="C1153" s="2" t="str">
        <f>HYPERLINK("http://snap.windin.com/ns/bulletin.php?id=527142&amp;type=1", "道明光学:首次公开发行股票招股说明书摘要")</f>
        <v>道明光学:首次公开发行股票招股说明书摘要</v>
      </c>
    </row>
    <row r="1154" spans="1:3" x14ac:dyDescent="0.15">
      <c r="A1154" s="1">
        <v>40851</v>
      </c>
      <c r="B1154" t="s">
        <v>236</v>
      </c>
      <c r="C1154" s="2" t="str">
        <f>HYPERLINK("http://snap.windin.com/ns/bulletin.php?id=1495988&amp;type=1", "海联讯:首次公开发行股票并在创业板上市招股意向书")</f>
        <v>海联讯:首次公开发行股票并在创业板上市招股意向书</v>
      </c>
    </row>
    <row r="1155" spans="1:3" x14ac:dyDescent="0.15">
      <c r="A1155" s="1">
        <v>40851</v>
      </c>
      <c r="B1155" t="s">
        <v>243</v>
      </c>
      <c r="C1155" s="2" t="str">
        <f>HYPERLINK("http://snap.windin.com/ns/bulletin.php?id=1131265&amp;type=1", "玉龙股份:首次公开发行股票招股说明书")</f>
        <v>玉龙股份:首次公开发行股票招股说明书</v>
      </c>
    </row>
    <row r="1156" spans="1:3" x14ac:dyDescent="0.15">
      <c r="A1156" s="1">
        <v>40851</v>
      </c>
      <c r="B1156" t="s">
        <v>233</v>
      </c>
      <c r="C1156" s="2" t="str">
        <f>HYPERLINK("http://snap.windin.com/ns/bulletin.php?id=878163&amp;type=1", "安洁科技:首次公开发行股票招股意向书摘要")</f>
        <v>安洁科技:首次公开发行股票招股意向书摘要</v>
      </c>
    </row>
    <row r="1157" spans="1:3" x14ac:dyDescent="0.15">
      <c r="A1157" s="1">
        <v>40851</v>
      </c>
      <c r="B1157" t="s">
        <v>243</v>
      </c>
      <c r="C1157" s="2" t="str">
        <f>HYPERLINK("http://snap.windin.com/ns/bulletin.php?id=629737&amp;type=1", "玉龙股份:首次公开发行A股股票上市公告书")</f>
        <v>玉龙股份:首次公开发行A股股票上市公告书</v>
      </c>
    </row>
    <row r="1158" spans="1:3" x14ac:dyDescent="0.15">
      <c r="A1158" s="1">
        <v>40851</v>
      </c>
      <c r="B1158" t="s">
        <v>233</v>
      </c>
      <c r="C1158" s="2" t="str">
        <f>HYPERLINK("http://snap.windin.com/ns/bulletin.php?id=107929&amp;type=1", "安洁科技:首次公开发行股票招股意向书")</f>
        <v>安洁科技:首次公开发行股票招股意向书</v>
      </c>
    </row>
    <row r="1159" spans="1:3" x14ac:dyDescent="0.15">
      <c r="A1159" s="1">
        <v>40850</v>
      </c>
      <c r="B1159" t="s">
        <v>240</v>
      </c>
      <c r="C1159" s="2" t="str">
        <f>HYPERLINK("http://snap.windin.com/ns/bulletin.php?id=2069591&amp;type=1", "华西能源:首次公开发行股票招股说明书摘要")</f>
        <v>华西能源:首次公开发行股票招股说明书摘要</v>
      </c>
    </row>
    <row r="1160" spans="1:3" x14ac:dyDescent="0.15">
      <c r="A1160" s="1">
        <v>40850</v>
      </c>
      <c r="B1160" t="s">
        <v>240</v>
      </c>
      <c r="C1160" s="2" t="str">
        <f>HYPERLINK("http://snap.windin.com/ns/bulletin.php?id=113580&amp;type=1", "华西能源:首次公开发行股票招股说明书")</f>
        <v>华西能源:首次公开发行股票招股说明书</v>
      </c>
    </row>
    <row r="1161" spans="1:3" x14ac:dyDescent="0.15">
      <c r="A1161" s="1">
        <v>40849</v>
      </c>
      <c r="B1161" t="s">
        <v>244</v>
      </c>
      <c r="C1161" s="2" t="str">
        <f>HYPERLINK("http://snap.windin.com/ns/bulletin.php?id=2013624&amp;type=1", "成都路桥:首次公开发行股票上市公告书")</f>
        <v>成都路桥:首次公开发行股票上市公告书</v>
      </c>
    </row>
    <row r="1162" spans="1:3" x14ac:dyDescent="0.15">
      <c r="A1162" s="1">
        <v>40849</v>
      </c>
      <c r="B1162" t="s">
        <v>245</v>
      </c>
      <c r="C1162" s="2" t="str">
        <f>HYPERLINK("http://snap.windin.com/ns/bulletin.php?id=1521479&amp;type=1", "龙生股份:首次公开发行股票上市公告书")</f>
        <v>龙生股份:首次公开发行股票上市公告书</v>
      </c>
    </row>
    <row r="1163" spans="1:3" x14ac:dyDescent="0.15">
      <c r="A1163" s="1">
        <v>40849</v>
      </c>
      <c r="B1163" t="s">
        <v>237</v>
      </c>
      <c r="C1163" s="2" t="str">
        <f>HYPERLINK("http://snap.windin.com/ns/bulletin.php?id=1506141&amp;type=1", "申科股份:首次公开发行股票招股意向书")</f>
        <v>申科股份:首次公开发行股票招股意向书</v>
      </c>
    </row>
    <row r="1164" spans="1:3" x14ac:dyDescent="0.15">
      <c r="A1164" s="1">
        <v>40849</v>
      </c>
      <c r="B1164" t="s">
        <v>246</v>
      </c>
      <c r="C1164" s="2" t="str">
        <f>HYPERLINK("http://snap.windin.com/ns/bulletin.php?id=1277602&amp;type=1", "宜昌交运:首次公开发行股票上市公告书")</f>
        <v>宜昌交运:首次公开发行股票上市公告书</v>
      </c>
    </row>
    <row r="1165" spans="1:3" x14ac:dyDescent="0.15">
      <c r="A1165" s="1">
        <v>40849</v>
      </c>
      <c r="B1165" t="s">
        <v>239</v>
      </c>
      <c r="C1165" s="2" t="str">
        <f>HYPERLINK("http://snap.windin.com/ns/bulletin.php?id=882519&amp;type=1", "三丰智能:首次公开发行股票并在创业板上市招股说明书")</f>
        <v>三丰智能:首次公开发行股票并在创业板上市招股说明书</v>
      </c>
    </row>
    <row r="1166" spans="1:3" x14ac:dyDescent="0.15">
      <c r="A1166" s="1">
        <v>40849</v>
      </c>
      <c r="B1166" t="s">
        <v>237</v>
      </c>
      <c r="C1166" s="2" t="str">
        <f>HYPERLINK("http://snap.windin.com/ns/bulletin.php?id=515454&amp;type=1", "申科股份:首次公开发行股票招股意向书摘要")</f>
        <v>申科股份:首次公开发行股票招股意向书摘要</v>
      </c>
    </row>
    <row r="1167" spans="1:3" x14ac:dyDescent="0.15">
      <c r="A1167" s="1">
        <v>40849</v>
      </c>
      <c r="B1167" t="s">
        <v>247</v>
      </c>
      <c r="C1167" s="2" t="str">
        <f>HYPERLINK("http://snap.windin.com/ns/bulletin.php?id=119294&amp;type=1", "仁智油服:首次公开发行股票上市公告书")</f>
        <v>仁智油服:首次公开发行股票上市公告书</v>
      </c>
    </row>
    <row r="1168" spans="1:3" x14ac:dyDescent="0.15">
      <c r="A1168" s="1">
        <v>40848</v>
      </c>
      <c r="B1168" t="s">
        <v>248</v>
      </c>
      <c r="C1168" s="2" t="str">
        <f>HYPERLINK("http://snap.windin.com/ns/bulletin.php?id=1882812&amp;type=1", "梅安森:首次公开发行股票并在创业板上市公告书提示性公告")</f>
        <v>梅安森:首次公开发行股票并在创业板上市公告书提示性公告</v>
      </c>
    </row>
    <row r="1169" spans="1:3" x14ac:dyDescent="0.15">
      <c r="A1169" s="1">
        <v>40848</v>
      </c>
      <c r="B1169" t="s">
        <v>249</v>
      </c>
      <c r="C1169" s="2" t="str">
        <f>HYPERLINK("http://snap.windin.com/ns/bulletin.php?id=1733209&amp;type=1", "开能环保:首次公开发行股票并在创业板上市之上市公告书提示性公告")</f>
        <v>开能环保:首次公开发行股票并在创业板上市之上市公告书提示性公告</v>
      </c>
    </row>
    <row r="1170" spans="1:3" x14ac:dyDescent="0.15">
      <c r="A1170" s="1">
        <v>40848</v>
      </c>
      <c r="B1170" t="s">
        <v>242</v>
      </c>
      <c r="C1170" s="2" t="str">
        <f>HYPERLINK("http://snap.windin.com/ns/bulletin.php?id=1674187&amp;type=1", "德尔家居:首次公开发行股票招股说明书")</f>
        <v>德尔家居:首次公开发行股票招股说明书</v>
      </c>
    </row>
    <row r="1171" spans="1:3" x14ac:dyDescent="0.15">
      <c r="A1171" s="1">
        <v>40848</v>
      </c>
      <c r="B1171" t="s">
        <v>250</v>
      </c>
      <c r="C1171" s="2" t="str">
        <f>HYPERLINK("http://snap.windin.com/ns/bulletin.php?id=1594534&amp;type=1", "阳光电源:首次公开发行股票并在创业板上市之上市公告书")</f>
        <v>阳光电源:首次公开发行股票并在创业板上市之上市公告书</v>
      </c>
    </row>
    <row r="1172" spans="1:3" x14ac:dyDescent="0.15">
      <c r="A1172" s="1">
        <v>40848</v>
      </c>
      <c r="B1172" t="s">
        <v>242</v>
      </c>
      <c r="C1172" s="2" t="str">
        <f>HYPERLINK("http://snap.windin.com/ns/bulletin.php?id=1255043&amp;type=1", "德尔家居:首次公开发行股票招股说明书摘要")</f>
        <v>德尔家居:首次公开发行股票招股说明书摘要</v>
      </c>
    </row>
    <row r="1173" spans="1:3" x14ac:dyDescent="0.15">
      <c r="A1173" s="1">
        <v>40848</v>
      </c>
      <c r="B1173" t="s">
        <v>248</v>
      </c>
      <c r="C1173" s="2" t="str">
        <f>HYPERLINK("http://snap.windin.com/ns/bulletin.php?id=820726&amp;type=1", "梅安森:首次公开发行股票并在创业板上市之上市公告书")</f>
        <v>梅安森:首次公开发行股票并在创业板上市之上市公告书</v>
      </c>
    </row>
    <row r="1174" spans="1:3" x14ac:dyDescent="0.15">
      <c r="A1174" s="1">
        <v>40848</v>
      </c>
      <c r="B1174" t="s">
        <v>250</v>
      </c>
      <c r="C1174" s="2" t="str">
        <f>HYPERLINK("http://snap.windin.com/ns/bulletin.php?id=555080&amp;type=1", "阳光电源:首次公开发行股票并在创业板上市之上市公告书提示性公告")</f>
        <v>阳光电源:首次公开发行股票并在创业板上市之上市公告书提示性公告</v>
      </c>
    </row>
    <row r="1175" spans="1:3" x14ac:dyDescent="0.15">
      <c r="A1175" s="1">
        <v>40848</v>
      </c>
      <c r="B1175" t="s">
        <v>249</v>
      </c>
      <c r="C1175" s="2" t="str">
        <f>HYPERLINK("http://snap.windin.com/ns/bulletin.php?id=500507&amp;type=1", "开能环保:首次公开发行股票并在创业板上市之上市公告书")</f>
        <v>开能环保:首次公开发行股票并在创业板上市之上市公告书</v>
      </c>
    </row>
    <row r="1176" spans="1:3" x14ac:dyDescent="0.15">
      <c r="A1176" s="1">
        <v>40844</v>
      </c>
      <c r="B1176" t="s">
        <v>238</v>
      </c>
      <c r="C1176" s="2" t="str">
        <f>HYPERLINK("http://snap.windin.com/ns/bulletin.php?id=1153582&amp;type=1", "道明光学:首次公开发行股票招股意向书")</f>
        <v>道明光学:首次公开发行股票招股意向书</v>
      </c>
    </row>
    <row r="1177" spans="1:3" x14ac:dyDescent="0.15">
      <c r="A1177" s="1">
        <v>40844</v>
      </c>
      <c r="B1177" t="s">
        <v>238</v>
      </c>
      <c r="C1177" s="2" t="str">
        <f>HYPERLINK("http://snap.windin.com/ns/bulletin.php?id=987367&amp;type=1", "道明光学:首次公开发行股票招股意向书摘要")</f>
        <v>道明光学:首次公开发行股票招股意向书摘要</v>
      </c>
    </row>
    <row r="1178" spans="1:3" x14ac:dyDescent="0.15">
      <c r="A1178" s="1">
        <v>40844</v>
      </c>
      <c r="B1178" t="s">
        <v>241</v>
      </c>
      <c r="C1178" s="2" t="str">
        <f>HYPERLINK("http://snap.windin.com/ns/bulletin.php?id=102328&amp;type=1", "八菱科技:首次公开发行股票招股说明书")</f>
        <v>八菱科技:首次公开发行股票招股说明书</v>
      </c>
    </row>
    <row r="1179" spans="1:3" x14ac:dyDescent="0.15">
      <c r="A1179" s="1">
        <v>40844</v>
      </c>
      <c r="B1179" t="s">
        <v>241</v>
      </c>
      <c r="C1179" s="2" t="str">
        <f>HYPERLINK("http://snap.windin.com/ns/bulletin.php?id=79293&amp;type=1", "八菱科技:首次公开发行股票招股说明书摘要")</f>
        <v>八菱科技:首次公开发行股票招股说明书摘要</v>
      </c>
    </row>
    <row r="1180" spans="1:3" x14ac:dyDescent="0.15">
      <c r="A1180" s="1">
        <v>40843</v>
      </c>
      <c r="B1180" t="s">
        <v>251</v>
      </c>
      <c r="C1180" s="2" t="str">
        <f>HYPERLINK("http://snap.windin.com/ns/bulletin.php?id=1730445&amp;type=1", "恒立油缸:首次公开发行股票招股说明书")</f>
        <v>恒立油缸:首次公开发行股票招股说明书</v>
      </c>
    </row>
    <row r="1181" spans="1:3" x14ac:dyDescent="0.15">
      <c r="A1181" s="1">
        <v>40843</v>
      </c>
      <c r="B1181" t="s">
        <v>251</v>
      </c>
      <c r="C1181" s="2" t="str">
        <f>HYPERLINK("http://snap.windin.com/ns/bulletin.php?id=1355773&amp;type=1", "恒立油缸:首次公开发行A股股票上市公告书")</f>
        <v>恒立油缸:首次公开发行A股股票上市公告书</v>
      </c>
    </row>
    <row r="1182" spans="1:3" x14ac:dyDescent="0.15">
      <c r="A1182" s="1">
        <v>40843</v>
      </c>
      <c r="B1182" t="s">
        <v>252</v>
      </c>
      <c r="C1182" s="2" t="str">
        <f>HYPERLINK("http://snap.windin.com/ns/bulletin.php?id=1050403&amp;type=1", "金磊股份:首次公开发行股票上市公告书")</f>
        <v>金磊股份:首次公开发行股票上市公告书</v>
      </c>
    </row>
    <row r="1183" spans="1:3" x14ac:dyDescent="0.15">
      <c r="A1183" s="1">
        <v>40843</v>
      </c>
      <c r="B1183" t="s">
        <v>253</v>
      </c>
      <c r="C1183" s="2" t="str">
        <f>HYPERLINK("http://snap.windin.com/ns/bulletin.php?id=174622&amp;type=1", "金达威:首次公开发行股票上市公告书")</f>
        <v>金达威:首次公开发行股票上市公告书</v>
      </c>
    </row>
    <row r="1184" spans="1:3" x14ac:dyDescent="0.15">
      <c r="A1184" s="1">
        <v>40842</v>
      </c>
      <c r="B1184" t="s">
        <v>239</v>
      </c>
      <c r="C1184" s="2" t="str">
        <f>HYPERLINK("http://snap.windin.com/ns/bulletin.php?id=1892287&amp;type=1", "三丰智能:首次公开发行股票并在创业板上市招股意向书")</f>
        <v>三丰智能:首次公开发行股票并在创业板上市招股意向书</v>
      </c>
    </row>
    <row r="1185" spans="1:3" x14ac:dyDescent="0.15">
      <c r="A1185" s="1">
        <v>40841</v>
      </c>
      <c r="B1185" t="s">
        <v>242</v>
      </c>
      <c r="C1185" s="2" t="str">
        <f>HYPERLINK("http://snap.windin.com/ns/bulletin.php?id=18534764&amp;type=1", "德尔家居:首次公开发行股票招股意向书")</f>
        <v>德尔家居:首次公开发行股票招股意向书</v>
      </c>
    </row>
    <row r="1186" spans="1:3" x14ac:dyDescent="0.15">
      <c r="A1186" s="1">
        <v>40841</v>
      </c>
      <c r="B1186" t="s">
        <v>254</v>
      </c>
      <c r="C1186" s="2" t="str">
        <f>HYPERLINK("http://snap.windin.com/ns/bulletin.php?id=2100547&amp;type=1", "紫光华宇:首次公开发行股票并在创业板上市上市公告书提示性公告")</f>
        <v>紫光华宇:首次公开发行股票并在创业板上市上市公告书提示性公告</v>
      </c>
    </row>
    <row r="1187" spans="1:3" x14ac:dyDescent="0.15">
      <c r="A1187" s="1">
        <v>40841</v>
      </c>
      <c r="B1187" t="s">
        <v>245</v>
      </c>
      <c r="C1187" s="2" t="str">
        <f>HYPERLINK("http://snap.windin.com/ns/bulletin.php?id=2032525&amp;type=1", "龙生股份:首次公开发行股票招股说明书摘要")</f>
        <v>龙生股份:首次公开发行股票招股说明书摘要</v>
      </c>
    </row>
    <row r="1188" spans="1:3" x14ac:dyDescent="0.15">
      <c r="A1188" s="1">
        <v>40841</v>
      </c>
      <c r="B1188" t="s">
        <v>240</v>
      </c>
      <c r="C1188" s="2" t="str">
        <f>HYPERLINK("http://snap.windin.com/ns/bulletin.php?id=1905165&amp;type=1", "华西能源:首次公开发行股票招股意向书")</f>
        <v>华西能源:首次公开发行股票招股意向书</v>
      </c>
    </row>
    <row r="1189" spans="1:3" x14ac:dyDescent="0.15">
      <c r="A1189" s="1">
        <v>40841</v>
      </c>
      <c r="B1189" t="s">
        <v>240</v>
      </c>
      <c r="C1189" s="2" t="str">
        <f>HYPERLINK("http://snap.windin.com/ns/bulletin.php?id=1900793&amp;type=1", "华西能源:首次公开发行股票招股意向书摘要")</f>
        <v>华西能源:首次公开发行股票招股意向书摘要</v>
      </c>
    </row>
    <row r="1190" spans="1:3" x14ac:dyDescent="0.15">
      <c r="A1190" s="1">
        <v>40841</v>
      </c>
      <c r="B1190" t="s">
        <v>242</v>
      </c>
      <c r="C1190" s="2" t="str">
        <f>HYPERLINK("http://snap.windin.com/ns/bulletin.php?id=1586827&amp;type=1", "德尔家居:首次公开发行股票招股意向书")</f>
        <v>德尔家居:首次公开发行股票招股意向书</v>
      </c>
    </row>
    <row r="1191" spans="1:3" x14ac:dyDescent="0.15">
      <c r="A1191" s="1">
        <v>40841</v>
      </c>
      <c r="B1191" t="s">
        <v>247</v>
      </c>
      <c r="C1191" s="2" t="str">
        <f>HYPERLINK("http://snap.windin.com/ns/bulletin.php?id=1266951&amp;type=1", "仁智油服:首次公开发行股票招股说明书")</f>
        <v>仁智油服:首次公开发行股票招股说明书</v>
      </c>
    </row>
    <row r="1192" spans="1:3" x14ac:dyDescent="0.15">
      <c r="A1192" s="1">
        <v>40841</v>
      </c>
      <c r="B1192" t="s">
        <v>245</v>
      </c>
      <c r="C1192" s="2" t="str">
        <f>HYPERLINK("http://snap.windin.com/ns/bulletin.php?id=1118441&amp;type=1", "龙生股份:首次公开发行股票招股说明书")</f>
        <v>龙生股份:首次公开发行股票招股说明书</v>
      </c>
    </row>
    <row r="1193" spans="1:3" x14ac:dyDescent="0.15">
      <c r="A1193" s="1">
        <v>40841</v>
      </c>
      <c r="B1193" t="s">
        <v>254</v>
      </c>
      <c r="C1193" s="2" t="str">
        <f>HYPERLINK("http://snap.windin.com/ns/bulletin.php?id=849497&amp;type=1", "紫光华宇:首次公开发行股票并在创业板上市上市公告书")</f>
        <v>紫光华宇:首次公开发行股票并在创业板上市上市公告书</v>
      </c>
    </row>
    <row r="1194" spans="1:3" x14ac:dyDescent="0.15">
      <c r="A1194" s="1">
        <v>40841</v>
      </c>
      <c r="B1194" t="s">
        <v>247</v>
      </c>
      <c r="C1194" s="2" t="str">
        <f>HYPERLINK("http://snap.windin.com/ns/bulletin.php?id=763907&amp;type=1", "仁智油服:首次公开发行股票招股说明书摘要")</f>
        <v>仁智油服:首次公开发行股票招股说明书摘要</v>
      </c>
    </row>
    <row r="1195" spans="1:3" x14ac:dyDescent="0.15">
      <c r="A1195" s="1">
        <v>40841</v>
      </c>
      <c r="B1195" t="s">
        <v>255</v>
      </c>
      <c r="C1195" s="2" t="str">
        <f>HYPERLINK("http://snap.windin.com/ns/bulletin.php?id=742783&amp;type=1", "和佳股份:首次公开发行股票并在创业板上市公告书提示性公告")</f>
        <v>和佳股份:首次公开发行股票并在创业板上市公告书提示性公告</v>
      </c>
    </row>
    <row r="1196" spans="1:3" x14ac:dyDescent="0.15">
      <c r="A1196" s="1">
        <v>40841</v>
      </c>
      <c r="B1196" t="s">
        <v>242</v>
      </c>
      <c r="C1196" s="2" t="str">
        <f>HYPERLINK("http://snap.windin.com/ns/bulletin.php?id=704285&amp;type=1", "德尔家居:首次公开发行股票招股意向书摘要")</f>
        <v>德尔家居:首次公开发行股票招股意向书摘要</v>
      </c>
    </row>
    <row r="1197" spans="1:3" x14ac:dyDescent="0.15">
      <c r="A1197" s="1">
        <v>40841</v>
      </c>
      <c r="B1197" t="s">
        <v>255</v>
      </c>
      <c r="C1197" s="2" t="str">
        <f>HYPERLINK("http://snap.windin.com/ns/bulletin.php?id=111930&amp;type=1", "和佳股份:首次公开发行股票并在创业板上市公告书")</f>
        <v>和佳股份:首次公开发行股票并在创业板上市公告书</v>
      </c>
    </row>
    <row r="1198" spans="1:3" x14ac:dyDescent="0.15">
      <c r="A1198" s="1">
        <v>40840</v>
      </c>
      <c r="B1198" t="s">
        <v>244</v>
      </c>
      <c r="C1198" s="2" t="str">
        <f>HYPERLINK("http://snap.windin.com/ns/bulletin.php?id=2114189&amp;type=1", "成都路桥:首次公开发行股票招股说明书摘要")</f>
        <v>成都路桥:首次公开发行股票招股说明书摘要</v>
      </c>
    </row>
    <row r="1199" spans="1:3" x14ac:dyDescent="0.15">
      <c r="A1199" s="1">
        <v>40840</v>
      </c>
      <c r="B1199" t="s">
        <v>244</v>
      </c>
      <c r="C1199" s="2" t="str">
        <f>HYPERLINK("http://snap.windin.com/ns/bulletin.php?id=944233&amp;type=1", "成都路桥:首次公开发行股票招股说明书")</f>
        <v>成都路桥:首次公开发行股票招股说明书</v>
      </c>
    </row>
    <row r="1200" spans="1:3" x14ac:dyDescent="0.15">
      <c r="A1200" s="1">
        <v>40840</v>
      </c>
      <c r="B1200" t="s">
        <v>248</v>
      </c>
      <c r="C1200" s="2" t="str">
        <f>HYPERLINK("http://snap.windin.com/ns/bulletin.php?id=594954&amp;type=1", "梅安森:首次发行股票并在创业板上市招股说明书")</f>
        <v>梅安森:首次发行股票并在创业板上市招股说明书</v>
      </c>
    </row>
    <row r="1201" spans="1:3" x14ac:dyDescent="0.15">
      <c r="A1201" s="1">
        <v>40837</v>
      </c>
      <c r="B1201" t="s">
        <v>250</v>
      </c>
      <c r="C1201" s="2" t="str">
        <f>HYPERLINK("http://snap.windin.com/ns/bulletin.php?id=904119&amp;type=1", "阳光电源:首次公开发行股票并在创业板上市招股说明书")</f>
        <v>阳光电源:首次公开发行股票并在创业板上市招股说明书</v>
      </c>
    </row>
    <row r="1202" spans="1:3" x14ac:dyDescent="0.15">
      <c r="A1202" s="1">
        <v>40837</v>
      </c>
      <c r="B1202" t="s">
        <v>241</v>
      </c>
      <c r="C1202" s="2" t="str">
        <f>HYPERLINK("http://snap.windin.com/ns/bulletin.php?id=829064&amp;type=1", "八菱科技:首次公开发行股票招股意向书")</f>
        <v>八菱科技:首次公开发行股票招股意向书</v>
      </c>
    </row>
    <row r="1203" spans="1:3" x14ac:dyDescent="0.15">
      <c r="A1203" s="1">
        <v>40837</v>
      </c>
      <c r="B1203" t="s">
        <v>241</v>
      </c>
      <c r="C1203" s="2" t="str">
        <f>HYPERLINK("http://snap.windin.com/ns/bulletin.php?id=216518&amp;type=1", "八菱科技:首次公开发行股票招股意向书摘要")</f>
        <v>八菱科技:首次公开发行股票招股意向书摘要</v>
      </c>
    </row>
    <row r="1204" spans="1:3" x14ac:dyDescent="0.15">
      <c r="A1204" s="1">
        <v>40836</v>
      </c>
      <c r="B1204" t="s">
        <v>246</v>
      </c>
      <c r="C1204" s="2" t="str">
        <f>HYPERLINK("http://snap.windin.com/ns/bulletin.php?id=1784557&amp;type=1", "宜昌交运:首次公开发行股票招股说明书")</f>
        <v>宜昌交运:首次公开发行股票招股说明书</v>
      </c>
    </row>
    <row r="1205" spans="1:3" x14ac:dyDescent="0.15">
      <c r="A1205" s="1">
        <v>40836</v>
      </c>
      <c r="B1205" t="s">
        <v>246</v>
      </c>
      <c r="C1205" s="2" t="str">
        <f>HYPERLINK("http://snap.windin.com/ns/bulletin.php?id=1633155&amp;type=1", "宜昌交运:首次公开发行股票招股说明书摘要")</f>
        <v>宜昌交运:首次公开发行股票招股说明书摘要</v>
      </c>
    </row>
    <row r="1206" spans="1:3" x14ac:dyDescent="0.15">
      <c r="A1206" s="1">
        <v>40836</v>
      </c>
      <c r="B1206" t="s">
        <v>249</v>
      </c>
      <c r="C1206" s="2" t="str">
        <f>HYPERLINK("http://snap.windin.com/ns/bulletin.php?id=1317906&amp;type=1", "开能环保:首次公开发行股票并在创业板上市招股说明书")</f>
        <v>开能环保:首次公开发行股票并在创业板上市招股说明书</v>
      </c>
    </row>
    <row r="1207" spans="1:3" x14ac:dyDescent="0.15">
      <c r="A1207" s="1">
        <v>40835</v>
      </c>
      <c r="B1207" t="s">
        <v>243</v>
      </c>
      <c r="C1207" s="2" t="str">
        <f>HYPERLINK("http://snap.windin.com/ns/bulletin.php?id=1931236&amp;type=1", "玉龙股份:首次公开发行股票招股意向书")</f>
        <v>玉龙股份:首次公开发行股票招股意向书</v>
      </c>
    </row>
    <row r="1208" spans="1:3" x14ac:dyDescent="0.15">
      <c r="A1208" s="1">
        <v>40835</v>
      </c>
      <c r="B1208" t="s">
        <v>243</v>
      </c>
      <c r="C1208" s="2" t="str">
        <f>HYPERLINK("http://snap.windin.com/ns/bulletin.php?id=1850020&amp;type=1", "玉龙股份:首次公开发行股票招股意向书附录一")</f>
        <v>玉龙股份:首次公开发行股票招股意向书附录一</v>
      </c>
    </row>
    <row r="1209" spans="1:3" x14ac:dyDescent="0.15">
      <c r="A1209" s="1">
        <v>40835</v>
      </c>
      <c r="B1209" t="s">
        <v>243</v>
      </c>
      <c r="C1209" s="2" t="str">
        <f>HYPERLINK("http://snap.windin.com/ns/bulletin.php?id=666057&amp;type=1", "玉龙股份:首次公开发行股票招股意向书附录二")</f>
        <v>玉龙股份:首次公开发行股票招股意向书附录二</v>
      </c>
    </row>
    <row r="1210" spans="1:3" x14ac:dyDescent="0.15">
      <c r="A1210" s="1">
        <v>40835</v>
      </c>
      <c r="B1210" t="s">
        <v>243</v>
      </c>
      <c r="C1210" s="2" t="str">
        <f>HYPERLINK("http://snap.windin.com/ns/bulletin.php?id=571084&amp;type=1", "玉龙股份:首次公开发行股票招股意向书附录四")</f>
        <v>玉龙股份:首次公开发行股票招股意向书附录四</v>
      </c>
    </row>
    <row r="1211" spans="1:3" x14ac:dyDescent="0.15">
      <c r="A1211" s="1">
        <v>40835</v>
      </c>
      <c r="B1211" t="s">
        <v>243</v>
      </c>
      <c r="C1211" s="2" t="str">
        <f>HYPERLINK("http://snap.windin.com/ns/bulletin.php?id=417137&amp;type=1", "玉龙股份:首次公开发行股票招股意向书附录三")</f>
        <v>玉龙股份:首次公开发行股票招股意向书附录三</v>
      </c>
    </row>
    <row r="1212" spans="1:3" x14ac:dyDescent="0.15">
      <c r="A1212" s="1">
        <v>40835</v>
      </c>
      <c r="B1212" t="s">
        <v>256</v>
      </c>
      <c r="C1212" s="2" t="str">
        <f>HYPERLINK("http://snap.windin.com/ns/bulletin.php?id=407131&amp;type=1", "浙江永强:首次公开发行股票上市公告书（更新后）")</f>
        <v>浙江永强:首次公开发行股票上市公告书（更新后）</v>
      </c>
    </row>
    <row r="1213" spans="1:3" x14ac:dyDescent="0.15">
      <c r="A1213" s="1">
        <v>40835</v>
      </c>
      <c r="B1213" t="s">
        <v>243</v>
      </c>
      <c r="C1213" s="2" t="str">
        <f>HYPERLINK("http://snap.windin.com/ns/bulletin.php?id=87754&amp;type=1", "玉龙股份:首次公开发行股票招股意向书摘要")</f>
        <v>玉龙股份:首次公开发行股票招股意向书摘要</v>
      </c>
    </row>
    <row r="1214" spans="1:3" x14ac:dyDescent="0.15">
      <c r="A1214" s="1">
        <v>40834</v>
      </c>
      <c r="B1214" t="s">
        <v>245</v>
      </c>
      <c r="C1214" s="2" t="str">
        <f>HYPERLINK("http://snap.windin.com/ns/bulletin.php?id=18535574&amp;type=1", "龙生股份:首次公开发行股票招股意向书")</f>
        <v>龙生股份:首次公开发行股票招股意向书</v>
      </c>
    </row>
    <row r="1215" spans="1:3" x14ac:dyDescent="0.15">
      <c r="A1215" s="1">
        <v>40834</v>
      </c>
      <c r="B1215" t="s">
        <v>245</v>
      </c>
      <c r="C1215" s="2" t="str">
        <f>HYPERLINK("http://snap.windin.com/ns/bulletin.php?id=18518646&amp;type=1", "龙生股份:首次公开发行股票招股意向书")</f>
        <v>龙生股份:首次公开发行股票招股意向书</v>
      </c>
    </row>
    <row r="1216" spans="1:3" x14ac:dyDescent="0.15">
      <c r="A1216" s="1">
        <v>40834</v>
      </c>
      <c r="B1216" t="s">
        <v>245</v>
      </c>
      <c r="C1216" s="2" t="str">
        <f>HYPERLINK("http://snap.windin.com/ns/bulletin.php?id=2034365&amp;type=1", "龙生股份:首次公开发行股票招股意向书")</f>
        <v>龙生股份:首次公开发行股票招股意向书</v>
      </c>
    </row>
    <row r="1217" spans="1:3" x14ac:dyDescent="0.15">
      <c r="A1217" s="1">
        <v>40834</v>
      </c>
      <c r="B1217" t="s">
        <v>253</v>
      </c>
      <c r="C1217" s="2" t="str">
        <f>HYPERLINK("http://snap.windin.com/ns/bulletin.php?id=1755283&amp;type=1", "金达威:首次公开发行股票招股说明书摘要")</f>
        <v>金达威:首次公开发行股票招股说明书摘要</v>
      </c>
    </row>
    <row r="1218" spans="1:3" x14ac:dyDescent="0.15">
      <c r="A1218" s="1">
        <v>40834</v>
      </c>
      <c r="B1218" t="s">
        <v>253</v>
      </c>
      <c r="C1218" s="2" t="str">
        <f>HYPERLINK("http://snap.windin.com/ns/bulletin.php?id=1666187&amp;type=1", "金达威:首次公开发行股票招股说明书")</f>
        <v>金达威:首次公开发行股票招股说明书</v>
      </c>
    </row>
    <row r="1219" spans="1:3" x14ac:dyDescent="0.15">
      <c r="A1219" s="1">
        <v>40834</v>
      </c>
      <c r="B1219" t="s">
        <v>245</v>
      </c>
      <c r="C1219" s="2" t="str">
        <f>HYPERLINK("http://snap.windin.com/ns/bulletin.php?id=869197&amp;type=1", "龙生股份:首次公开发行股票招股意向书摘要")</f>
        <v>龙生股份:首次公开发行股票招股意向书摘要</v>
      </c>
    </row>
    <row r="1220" spans="1:3" x14ac:dyDescent="0.15">
      <c r="A1220" s="1">
        <v>40833</v>
      </c>
      <c r="B1220" t="s">
        <v>255</v>
      </c>
      <c r="C1220" s="2" t="str">
        <f>HYPERLINK("http://snap.windin.com/ns/bulletin.php?id=906995&amp;type=1", "和佳股份:首次公开发行股票并在创业板上市招股说明书")</f>
        <v>和佳股份:首次公开发行股票并在创业板上市招股说明书</v>
      </c>
    </row>
    <row r="1221" spans="1:3" x14ac:dyDescent="0.15">
      <c r="A1221" s="1">
        <v>40833</v>
      </c>
      <c r="B1221" t="s">
        <v>247</v>
      </c>
      <c r="C1221" s="2" t="str">
        <f>HYPERLINK("http://snap.windin.com/ns/bulletin.php?id=769519&amp;type=1", "仁智油服:首次公开发行股票招股意向书")</f>
        <v>仁智油服:首次公开发行股票招股意向书</v>
      </c>
    </row>
    <row r="1222" spans="1:3" x14ac:dyDescent="0.15">
      <c r="A1222" s="1">
        <v>40833</v>
      </c>
      <c r="B1222" t="s">
        <v>257</v>
      </c>
      <c r="C1222" s="2" t="str">
        <f>HYPERLINK("http://snap.windin.com/ns/bulletin.php?id=501775&amp;type=1", "中国水电:首次公开发行A股股票招股说明书")</f>
        <v>中国水电:首次公开发行A股股票招股说明书</v>
      </c>
    </row>
    <row r="1223" spans="1:3" x14ac:dyDescent="0.15">
      <c r="A1223" s="1">
        <v>40833</v>
      </c>
      <c r="B1223" t="s">
        <v>257</v>
      </c>
      <c r="C1223" s="2" t="str">
        <f>HYPERLINK("http://snap.windin.com/ns/bulletin.php?id=491244&amp;type=1", "中国水电:首次公开发行A股股票上市公告书")</f>
        <v>中国水电:首次公开发行A股股票上市公告书</v>
      </c>
    </row>
    <row r="1224" spans="1:3" x14ac:dyDescent="0.15">
      <c r="A1224" s="1">
        <v>40833</v>
      </c>
      <c r="B1224" t="s">
        <v>258</v>
      </c>
      <c r="C1224" s="2" t="str">
        <f>HYPERLINK("http://snap.windin.com/ns/bulletin.php?id=219400&amp;type=1", "永大集团:首次公开发行股票上市公告书")</f>
        <v>永大集团:首次公开发行股票上市公告书</v>
      </c>
    </row>
    <row r="1225" spans="1:3" x14ac:dyDescent="0.15">
      <c r="A1225" s="1">
        <v>40833</v>
      </c>
      <c r="B1225" t="s">
        <v>247</v>
      </c>
      <c r="C1225" s="2" t="str">
        <f>HYPERLINK("http://snap.windin.com/ns/bulletin.php?id=108972&amp;type=1", "仁智油服:首次公开发行股票招股意向书摘要")</f>
        <v>仁智油服:首次公开发行股票招股意向书摘要</v>
      </c>
    </row>
    <row r="1226" spans="1:3" x14ac:dyDescent="0.15">
      <c r="A1226" s="1">
        <v>40830</v>
      </c>
      <c r="B1226" t="s">
        <v>244</v>
      </c>
      <c r="C1226" s="2" t="str">
        <f>HYPERLINK("http://snap.windin.com/ns/bulletin.php?id=2017634&amp;type=1", "成都路桥:首次公开发行股票招股意向书摘要")</f>
        <v>成都路桥:首次公开发行股票招股意向书摘要</v>
      </c>
    </row>
    <row r="1227" spans="1:3" x14ac:dyDescent="0.15">
      <c r="A1227" s="1">
        <v>40830</v>
      </c>
      <c r="B1227" t="s">
        <v>248</v>
      </c>
      <c r="C1227" s="2" t="str">
        <f>HYPERLINK("http://snap.windin.com/ns/bulletin.php?id=1821239&amp;type=1", "梅安森:首次公开发行股票并在创业板上市招股意向书")</f>
        <v>梅安森:首次公开发行股票并在创业板上市招股意向书</v>
      </c>
    </row>
    <row r="1228" spans="1:3" x14ac:dyDescent="0.15">
      <c r="A1228" s="1">
        <v>40830</v>
      </c>
      <c r="B1228" t="s">
        <v>244</v>
      </c>
      <c r="C1228" s="2" t="str">
        <f>HYPERLINK("http://snap.windin.com/ns/bulletin.php?id=1697705&amp;type=1", "成都路桥:首次公开发行股票招股意向书")</f>
        <v>成都路桥:首次公开发行股票招股意向书</v>
      </c>
    </row>
    <row r="1229" spans="1:3" x14ac:dyDescent="0.15">
      <c r="A1229" s="1">
        <v>40830</v>
      </c>
      <c r="B1229" t="s">
        <v>252</v>
      </c>
      <c r="C1229" s="2" t="str">
        <f>HYPERLINK("http://snap.windin.com/ns/bulletin.php?id=459789&amp;type=1", "金磊股份:首次公开发行股票并上市招股说明书摘要")</f>
        <v>金磊股份:首次公开发行股票并上市招股说明书摘要</v>
      </c>
    </row>
    <row r="1230" spans="1:3" x14ac:dyDescent="0.15">
      <c r="A1230" s="1">
        <v>40830</v>
      </c>
      <c r="B1230" t="s">
        <v>252</v>
      </c>
      <c r="C1230" s="2" t="str">
        <f>HYPERLINK("http://snap.windin.com/ns/bulletin.php?id=86890&amp;type=1", "金磊股份:首次公开发行股票并上市招股说明书")</f>
        <v>金磊股份:首次公开发行股票并上市招股说明书</v>
      </c>
    </row>
    <row r="1231" spans="1:3" x14ac:dyDescent="0.15">
      <c r="A1231" s="1">
        <v>40829</v>
      </c>
      <c r="B1231" t="s">
        <v>249</v>
      </c>
      <c r="C1231" s="2" t="str">
        <f>HYPERLINK("http://snap.windin.com/ns/bulletin.php?id=1610736&amp;type=1", "开能环保:首次公开发行股票并在创业板上市招股意向书")</f>
        <v>开能环保:首次公开发行股票并在创业板上市招股意向书</v>
      </c>
    </row>
    <row r="1232" spans="1:3" x14ac:dyDescent="0.15">
      <c r="A1232" s="1">
        <v>40828</v>
      </c>
      <c r="B1232" t="s">
        <v>246</v>
      </c>
      <c r="C1232" s="2" t="str">
        <f>HYPERLINK("http://snap.windin.com/ns/bulletin.php?id=18483558&amp;type=1", "宜昌交运:首次公开发行股票招股意向书")</f>
        <v>宜昌交运:首次公开发行股票招股意向书</v>
      </c>
    </row>
    <row r="1233" spans="1:3" x14ac:dyDescent="0.15">
      <c r="A1233" s="1">
        <v>40828</v>
      </c>
      <c r="B1233" t="s">
        <v>246</v>
      </c>
      <c r="C1233" s="2" t="str">
        <f>HYPERLINK("http://snap.windin.com/ns/bulletin.php?id=1791991&amp;type=1", "宜昌交运:首次公开发行股票招股意向书摘要")</f>
        <v>宜昌交运:首次公开发行股票招股意向书摘要</v>
      </c>
    </row>
    <row r="1234" spans="1:3" x14ac:dyDescent="0.15">
      <c r="A1234" s="1">
        <v>40828</v>
      </c>
      <c r="B1234" t="s">
        <v>259</v>
      </c>
      <c r="C1234" s="2" t="str">
        <f>HYPERLINK("http://snap.windin.com/ns/bulletin.php?id=1532549&amp;type=1", "中威电子:首次公开发行股票并在创业板上市上市公告书（更新后）")</f>
        <v>中威电子:首次公开发行股票并在创业板上市上市公告书（更新后）</v>
      </c>
    </row>
    <row r="1235" spans="1:3" x14ac:dyDescent="0.15">
      <c r="A1235" s="1">
        <v>40828</v>
      </c>
      <c r="B1235" t="s">
        <v>246</v>
      </c>
      <c r="C1235" s="2" t="str">
        <f>HYPERLINK("http://snap.windin.com/ns/bulletin.php?id=1130084&amp;type=1", "宜昌交运:首次公开发行股票招股意向书")</f>
        <v>宜昌交运:首次公开发行股票招股意向书</v>
      </c>
    </row>
    <row r="1236" spans="1:3" x14ac:dyDescent="0.15">
      <c r="A1236" s="1">
        <v>40828</v>
      </c>
      <c r="B1236" t="s">
        <v>250</v>
      </c>
      <c r="C1236" s="2" t="str">
        <f>HYPERLINK("http://snap.windin.com/ns/bulletin.php?id=942499&amp;type=1", "阳光电源:首次公开发行股票并在创业板上市招股意向书")</f>
        <v>阳光电源:首次公开发行股票并在创业板上市招股意向书</v>
      </c>
    </row>
    <row r="1237" spans="1:3" x14ac:dyDescent="0.15">
      <c r="A1237" s="1">
        <v>40828</v>
      </c>
      <c r="B1237" t="s">
        <v>260</v>
      </c>
      <c r="C1237" s="2" t="str">
        <f>HYPERLINK("http://snap.windin.com/ns/bulletin.php?id=891127&amp;type=1", "亚玛顿:首次公开发行股票上市公告书")</f>
        <v>亚玛顿:首次公开发行股票上市公告书</v>
      </c>
    </row>
    <row r="1238" spans="1:3" x14ac:dyDescent="0.15">
      <c r="A1238" s="1">
        <v>40828</v>
      </c>
      <c r="B1238" t="s">
        <v>259</v>
      </c>
      <c r="C1238" s="2" t="str">
        <f>HYPERLINK("http://snap.windin.com/ns/bulletin.php?id=158660&amp;type=1", "中威电子:关于《杭州中威电子股份有限公司首次公开发行股票并在创业板上市上市公告书》的更正公告")</f>
        <v>中威电子:关于《杭州中威电子股份有限公司首次公开发行股票并在创业板上市上市公告书》的更正公告</v>
      </c>
    </row>
    <row r="1239" spans="1:3" x14ac:dyDescent="0.15">
      <c r="A1239" s="1">
        <v>40827</v>
      </c>
      <c r="B1239" t="s">
        <v>253</v>
      </c>
      <c r="C1239" s="2" t="str">
        <f>HYPERLINK("http://snap.windin.com/ns/bulletin.php?id=18401540&amp;type=1", "金达威:首次公开发行股票招股意向书")</f>
        <v>金达威:首次公开发行股票招股意向书</v>
      </c>
    </row>
    <row r="1240" spans="1:3" x14ac:dyDescent="0.15">
      <c r="A1240" s="1">
        <v>40827</v>
      </c>
      <c r="B1240" t="s">
        <v>253</v>
      </c>
      <c r="C1240" s="2" t="str">
        <f>HYPERLINK("http://snap.windin.com/ns/bulletin.php?id=2091414&amp;type=1", "金达威:首次公开发行股票招股意向书摘要")</f>
        <v>金达威:首次公开发行股票招股意向书摘要</v>
      </c>
    </row>
    <row r="1241" spans="1:3" x14ac:dyDescent="0.15">
      <c r="A1241" s="1">
        <v>40827</v>
      </c>
      <c r="B1241" t="s">
        <v>251</v>
      </c>
      <c r="C1241" s="2" t="str">
        <f>HYPERLINK("http://snap.windin.com/ns/bulletin.php?id=1974585&amp;type=1", "恒立油缸:首次公开发行股票招股意向书附录三")</f>
        <v>恒立油缸:首次公开发行股票招股意向书附录三</v>
      </c>
    </row>
    <row r="1242" spans="1:3" x14ac:dyDescent="0.15">
      <c r="A1242" s="1">
        <v>40827</v>
      </c>
      <c r="B1242" t="s">
        <v>259</v>
      </c>
      <c r="C1242" s="2" t="str">
        <f>HYPERLINK("http://snap.windin.com/ns/bulletin.php?id=1900986&amp;type=1", "中威电子:首次公开发行股票并在创业板上市上市公告书")</f>
        <v>中威电子:首次公开发行股票并在创业板上市上市公告书</v>
      </c>
    </row>
    <row r="1243" spans="1:3" x14ac:dyDescent="0.15">
      <c r="A1243" s="1">
        <v>40827</v>
      </c>
      <c r="B1243" t="s">
        <v>251</v>
      </c>
      <c r="C1243" s="2" t="str">
        <f>HYPERLINK("http://snap.windin.com/ns/bulletin.php?id=1578670&amp;type=1", "恒立油缸:首次公开发行股票招股意向书附录四")</f>
        <v>恒立油缸:首次公开发行股票招股意向书附录四</v>
      </c>
    </row>
    <row r="1244" spans="1:3" x14ac:dyDescent="0.15">
      <c r="A1244" s="1">
        <v>40827</v>
      </c>
      <c r="B1244" t="s">
        <v>253</v>
      </c>
      <c r="C1244" s="2" t="str">
        <f>HYPERLINK("http://snap.windin.com/ns/bulletin.php?id=1484190&amp;type=1", "金达威:首次公开发行股票招股意向书")</f>
        <v>金达威:首次公开发行股票招股意向书</v>
      </c>
    </row>
    <row r="1245" spans="1:3" x14ac:dyDescent="0.15">
      <c r="A1245" s="1">
        <v>40827</v>
      </c>
      <c r="B1245" t="s">
        <v>259</v>
      </c>
      <c r="C1245" s="2" t="str">
        <f>HYPERLINK("http://snap.windin.com/ns/bulletin.php?id=1407506&amp;type=1", "中威电子:首次公开发行股票并在创业板上市上市公告书提示性公告")</f>
        <v>中威电子:首次公开发行股票并在创业板上市上市公告书提示性公告</v>
      </c>
    </row>
    <row r="1246" spans="1:3" x14ac:dyDescent="0.15">
      <c r="A1246" s="1">
        <v>40827</v>
      </c>
      <c r="B1246" t="s">
        <v>261</v>
      </c>
      <c r="C1246" s="2" t="str">
        <f>HYPERLINK("http://snap.windin.com/ns/bulletin.php?id=1404494&amp;type=1", "联建光电:首次公开发行股票并在创业板上市上市公告书提示性公告")</f>
        <v>联建光电:首次公开发行股票并在创业板上市上市公告书提示性公告</v>
      </c>
    </row>
    <row r="1247" spans="1:3" x14ac:dyDescent="0.15">
      <c r="A1247" s="1">
        <v>40827</v>
      </c>
      <c r="B1247" t="s">
        <v>251</v>
      </c>
      <c r="C1247" s="2" t="str">
        <f>HYPERLINK("http://snap.windin.com/ns/bulletin.php?id=1297268&amp;type=1", "恒立油缸:首次公开发行股票招股意向书摘要")</f>
        <v>恒立油缸:首次公开发行股票招股意向书摘要</v>
      </c>
    </row>
    <row r="1248" spans="1:3" x14ac:dyDescent="0.15">
      <c r="A1248" s="1">
        <v>40827</v>
      </c>
      <c r="B1248" t="s">
        <v>251</v>
      </c>
      <c r="C1248" s="2" t="str">
        <f>HYPERLINK("http://snap.windin.com/ns/bulletin.php?id=1193012&amp;type=1", "恒立油缸:首次公开发行股票招股意向书附录一")</f>
        <v>恒立油缸:首次公开发行股票招股意向书附录一</v>
      </c>
    </row>
    <row r="1249" spans="1:3" x14ac:dyDescent="0.15">
      <c r="A1249" s="1">
        <v>40827</v>
      </c>
      <c r="B1249" t="s">
        <v>261</v>
      </c>
      <c r="C1249" s="2" t="str">
        <f>HYPERLINK("http://snap.windin.com/ns/bulletin.php?id=812963&amp;type=1", "联建光电:首次公开发行股票并在创业板上市之上市公告书")</f>
        <v>联建光电:首次公开发行股票并在创业板上市之上市公告书</v>
      </c>
    </row>
    <row r="1250" spans="1:3" x14ac:dyDescent="0.15">
      <c r="A1250" s="1">
        <v>40827</v>
      </c>
      <c r="B1250" t="s">
        <v>251</v>
      </c>
      <c r="C1250" s="2" t="str">
        <f>HYPERLINK("http://snap.windin.com/ns/bulletin.php?id=512036&amp;type=1", "恒立油缸:首次公开发行股票招股意向书")</f>
        <v>恒立油缸:首次公开发行股票招股意向书</v>
      </c>
    </row>
    <row r="1251" spans="1:3" x14ac:dyDescent="0.15">
      <c r="A1251" s="1">
        <v>40827</v>
      </c>
      <c r="B1251" t="s">
        <v>251</v>
      </c>
      <c r="C1251" s="2" t="str">
        <f>HYPERLINK("http://snap.windin.com/ns/bulletin.php?id=115615&amp;type=1", "恒立油缸:首次公开发行股票招股意向书附录二")</f>
        <v>恒立油缸:首次公开发行股票招股意向书附录二</v>
      </c>
    </row>
    <row r="1252" spans="1:3" x14ac:dyDescent="0.15">
      <c r="A1252" s="1">
        <v>40826</v>
      </c>
      <c r="B1252" t="s">
        <v>255</v>
      </c>
      <c r="C1252" s="2" t="str">
        <f>HYPERLINK("http://snap.windin.com/ns/bulletin.php?id=979251&amp;type=1", "和佳股份:首次公开发行股票并在创业板上市招股意向书")</f>
        <v>和佳股份:首次公开发行股票并在创业板上市招股意向书</v>
      </c>
    </row>
    <row r="1253" spans="1:3" x14ac:dyDescent="0.15">
      <c r="A1253" s="1">
        <v>40816</v>
      </c>
      <c r="B1253" t="s">
        <v>254</v>
      </c>
      <c r="C1253" s="2" t="str">
        <f>HYPERLINK("http://snap.windin.com/ns/bulletin.php?id=2033528&amp;type=1", "紫光华宇:关于《北京紫光华宇软件股份有限公司首次公开发行股票并在创业板上市招股说明书》的更正公告")</f>
        <v>紫光华宇:关于《北京紫光华宇软件股份有限公司首次公开发行股票并在创业板上市招股说明书》的更正公告</v>
      </c>
    </row>
    <row r="1254" spans="1:3" x14ac:dyDescent="0.15">
      <c r="A1254" s="1">
        <v>40816</v>
      </c>
      <c r="B1254" t="s">
        <v>254</v>
      </c>
      <c r="C1254" s="2" t="str">
        <f>HYPERLINK("http://snap.windin.com/ns/bulletin.php?id=1701486&amp;type=1", "紫光华宇:首次公开发行股票并在创业板上市招股说明书")</f>
        <v>紫光华宇:首次公开发行股票并在创业板上市招股说明书</v>
      </c>
    </row>
    <row r="1255" spans="1:3" x14ac:dyDescent="0.15">
      <c r="A1255" s="1">
        <v>40816</v>
      </c>
      <c r="B1255" t="s">
        <v>254</v>
      </c>
      <c r="C1255" s="2" t="str">
        <f>HYPERLINK("http://snap.windin.com/ns/bulletin.php?id=1609465&amp;type=1", "紫光华宇:首次公开发行股票并在创业板上市招股说明书（更新后）")</f>
        <v>紫光华宇:首次公开发行股票并在创业板上市招股说明书（更新后）</v>
      </c>
    </row>
    <row r="1256" spans="1:3" x14ac:dyDescent="0.15">
      <c r="A1256" s="1">
        <v>40816</v>
      </c>
      <c r="B1256" t="s">
        <v>258</v>
      </c>
      <c r="C1256" s="2" t="str">
        <f>HYPERLINK("http://snap.windin.com/ns/bulletin.php?id=1022362&amp;type=1", "永大集团:首次公开发行股票招股说明书")</f>
        <v>永大集团:首次公开发行股票招股说明书</v>
      </c>
    </row>
    <row r="1257" spans="1:3" x14ac:dyDescent="0.15">
      <c r="A1257" s="1">
        <v>40816</v>
      </c>
      <c r="B1257" t="s">
        <v>258</v>
      </c>
      <c r="C1257" s="2" t="str">
        <f>HYPERLINK("http://snap.windin.com/ns/bulletin.php?id=674117&amp;type=1", "永大集团:首次公开发行股票招股说明书摘要")</f>
        <v>永大集团:首次公开发行股票招股说明书摘要</v>
      </c>
    </row>
    <row r="1258" spans="1:3" x14ac:dyDescent="0.15">
      <c r="A1258" s="1">
        <v>40814</v>
      </c>
      <c r="B1258" t="s">
        <v>252</v>
      </c>
      <c r="C1258" s="2" t="str">
        <f>HYPERLINK("http://snap.windin.com/ns/bulletin.php?id=19054738&amp;type=1", "金磊股份:首次公开发行股票招股意向书")</f>
        <v>金磊股份:首次公开发行股票招股意向书</v>
      </c>
    </row>
    <row r="1259" spans="1:3" x14ac:dyDescent="0.15">
      <c r="A1259" s="1">
        <v>40814</v>
      </c>
      <c r="B1259" t="s">
        <v>252</v>
      </c>
      <c r="C1259" s="2" t="str">
        <f>HYPERLINK("http://snap.windin.com/ns/bulletin.php?id=18523528&amp;type=1", "金磊股份:首次公开发行股票招股意向书")</f>
        <v>金磊股份:首次公开发行股票招股意向书</v>
      </c>
    </row>
    <row r="1260" spans="1:3" x14ac:dyDescent="0.15">
      <c r="A1260" s="1">
        <v>40814</v>
      </c>
      <c r="B1260" t="s">
        <v>262</v>
      </c>
      <c r="C1260" s="2" t="str">
        <f>HYPERLINK("http://snap.windin.com/ns/bulletin.php?id=2026804&amp;type=1", "大连三垒:首次公开发行股票上市公告书")</f>
        <v>大连三垒:首次公开发行股票上市公告书</v>
      </c>
    </row>
    <row r="1261" spans="1:3" x14ac:dyDescent="0.15">
      <c r="A1261" s="1">
        <v>40814</v>
      </c>
      <c r="B1261" t="s">
        <v>252</v>
      </c>
      <c r="C1261" s="2" t="str">
        <f>HYPERLINK("http://snap.windin.com/ns/bulletin.php?id=1819498&amp;type=1", "金磊股份:首次公开发行股票并上市招股意向书摘要")</f>
        <v>金磊股份:首次公开发行股票并上市招股意向书摘要</v>
      </c>
    </row>
    <row r="1262" spans="1:3" x14ac:dyDescent="0.15">
      <c r="A1262" s="1">
        <v>40814</v>
      </c>
      <c r="B1262" t="s">
        <v>263</v>
      </c>
      <c r="C1262" s="2" t="str">
        <f>HYPERLINK("http://snap.windin.com/ns/bulletin.php?id=1688059&amp;type=1", "丰林集团:首次公开发行A股股票上市公告书")</f>
        <v>丰林集团:首次公开发行A股股票上市公告书</v>
      </c>
    </row>
    <row r="1263" spans="1:3" x14ac:dyDescent="0.15">
      <c r="A1263" s="1">
        <v>40814</v>
      </c>
      <c r="B1263" t="s">
        <v>264</v>
      </c>
      <c r="C1263" s="2" t="str">
        <f>HYPERLINK("http://snap.windin.com/ns/bulletin.php?id=1509406&amp;type=1", "巨龙管业:首次公开发行股票上市公告书")</f>
        <v>巨龙管业:首次公开发行股票上市公告书</v>
      </c>
    </row>
    <row r="1264" spans="1:3" x14ac:dyDescent="0.15">
      <c r="A1264" s="1">
        <v>40814</v>
      </c>
      <c r="B1264" t="s">
        <v>252</v>
      </c>
      <c r="C1264" s="2" t="str">
        <f>HYPERLINK("http://snap.windin.com/ns/bulletin.php?id=1340245&amp;type=1", "金磊股份:首次公开发行股票并上市招股意向书")</f>
        <v>金磊股份:首次公开发行股票并上市招股意向书</v>
      </c>
    </row>
    <row r="1265" spans="1:3" x14ac:dyDescent="0.15">
      <c r="A1265" s="1">
        <v>40814</v>
      </c>
      <c r="B1265" t="s">
        <v>263</v>
      </c>
      <c r="C1265" s="2" t="str">
        <f>HYPERLINK("http://snap.windin.com/ns/bulletin.php?id=811762&amp;type=1", "丰林集团:首次公开发行股票招股说明书")</f>
        <v>丰林集团:首次公开发行股票招股说明书</v>
      </c>
    </row>
    <row r="1266" spans="1:3" x14ac:dyDescent="0.15">
      <c r="A1266" s="1">
        <v>40814</v>
      </c>
      <c r="B1266" t="s">
        <v>265</v>
      </c>
      <c r="C1266" s="2" t="str">
        <f>HYPERLINK("http://snap.windin.com/ns/bulletin.php?id=164726&amp;type=1", "瑞和股份:首次公开发行股票上市公告书")</f>
        <v>瑞和股份:首次公开发行股票上市公告书</v>
      </c>
    </row>
    <row r="1267" spans="1:3" x14ac:dyDescent="0.15">
      <c r="A1267" s="1">
        <v>40813</v>
      </c>
      <c r="B1267" t="s">
        <v>266</v>
      </c>
      <c r="C1267" s="2" t="str">
        <f>HYPERLINK("http://snap.windin.com/ns/bulletin.php?id=556638&amp;type=1", "长城汽车:首次公开发行A股股票上市公告书")</f>
        <v>长城汽车:首次公开发行A股股票上市公告书</v>
      </c>
    </row>
    <row r="1268" spans="1:3" x14ac:dyDescent="0.15">
      <c r="A1268" s="1">
        <v>40813</v>
      </c>
      <c r="B1268" t="s">
        <v>266</v>
      </c>
      <c r="C1268" s="2" t="str">
        <f>HYPERLINK("http://snap.windin.com/ns/bulletin.php?id=128630&amp;type=1", "长城汽车:首次公开发行A股股票招股说明书")</f>
        <v>长城汽车:首次公开发行A股股票招股说明书</v>
      </c>
    </row>
    <row r="1269" spans="1:3" x14ac:dyDescent="0.15">
      <c r="A1269" s="1">
        <v>40812</v>
      </c>
      <c r="B1269" t="s">
        <v>267</v>
      </c>
      <c r="C1269" s="2" t="str">
        <f>HYPERLINK("http://snap.windin.com/ns/bulletin.php?id=2006928&amp;type=1", "兴源过滤:首次公开发行股票并在创业板上市上市公告书提示性公告")</f>
        <v>兴源过滤:首次公开发行股票并在创业板上市上市公告书提示性公告</v>
      </c>
    </row>
    <row r="1270" spans="1:3" x14ac:dyDescent="0.15">
      <c r="A1270" s="1">
        <v>40812</v>
      </c>
      <c r="B1270" t="s">
        <v>259</v>
      </c>
      <c r="C1270" s="2" t="str">
        <f>HYPERLINK("http://snap.windin.com/ns/bulletin.php?id=1744752&amp;type=1", "中威电子:首次公开发行股票并在创业板上市招股说明书")</f>
        <v>中威电子:首次公开发行股票并在创业板上市招股说明书</v>
      </c>
    </row>
    <row r="1271" spans="1:3" x14ac:dyDescent="0.15">
      <c r="A1271" s="1">
        <v>40812</v>
      </c>
      <c r="B1271" t="s">
        <v>267</v>
      </c>
      <c r="C1271" s="2" t="str">
        <f>HYPERLINK("http://snap.windin.com/ns/bulletin.php?id=1631954&amp;type=1", "兴源过滤:首次公开发行股票并在创业板上市公告书")</f>
        <v>兴源过滤:首次公开发行股票并在创业板上市公告书</v>
      </c>
    </row>
    <row r="1272" spans="1:3" x14ac:dyDescent="0.15">
      <c r="A1272" s="1">
        <v>40812</v>
      </c>
      <c r="B1272" t="s">
        <v>268</v>
      </c>
      <c r="C1272" s="2" t="str">
        <f>HYPERLINK("http://snap.windin.com/ns/bulletin.php?id=1315591&amp;type=1", "尔康制药:首次公开发行股票并在创业板上市之上市公告书")</f>
        <v>尔康制药:首次公开发行股票并在创业板上市之上市公告书</v>
      </c>
    </row>
    <row r="1273" spans="1:3" x14ac:dyDescent="0.15">
      <c r="A1273" s="1">
        <v>40812</v>
      </c>
      <c r="B1273" t="s">
        <v>269</v>
      </c>
      <c r="C1273" s="2" t="str">
        <f>HYPERLINK("http://snap.windin.com/ns/bulletin.php?id=1144734&amp;type=1", "万福生科:首次公开发行股票并在创业板上市公告书")</f>
        <v>万福生科:首次公开发行股票并在创业板上市公告书</v>
      </c>
    </row>
    <row r="1274" spans="1:3" x14ac:dyDescent="0.15">
      <c r="A1274" s="1">
        <v>40812</v>
      </c>
      <c r="B1274" t="s">
        <v>268</v>
      </c>
      <c r="C1274" s="2" t="str">
        <f>HYPERLINK("http://snap.windin.com/ns/bulletin.php?id=515909&amp;type=1", "尔康制药:首次公开发行股票并在创业板上市上市公告书提示性公告")</f>
        <v>尔康制药:首次公开发行股票并在创业板上市上市公告书提示性公告</v>
      </c>
    </row>
    <row r="1275" spans="1:3" x14ac:dyDescent="0.15">
      <c r="A1275" s="1">
        <v>40812</v>
      </c>
      <c r="B1275" t="s">
        <v>269</v>
      </c>
      <c r="C1275" s="2" t="str">
        <f>HYPERLINK("http://snap.windin.com/ns/bulletin.php?id=480865&amp;type=1", "万福生科:首次公开发行股票并在创业板上市公告书提示性公告")</f>
        <v>万福生科:首次公开发行股票并在创业板上市公告书提示性公告</v>
      </c>
    </row>
    <row r="1276" spans="1:3" x14ac:dyDescent="0.15">
      <c r="A1276" s="1">
        <v>40812</v>
      </c>
      <c r="B1276" t="s">
        <v>261</v>
      </c>
      <c r="C1276" s="2" t="str">
        <f>HYPERLINK("http://snap.windin.com/ns/bulletin.php?id=170224&amp;type=1", "联建光电:首次公开发行股票并在创业板上市招股说明书")</f>
        <v>联建光电:首次公开发行股票并在创业板上市招股说明书</v>
      </c>
    </row>
    <row r="1277" spans="1:3" x14ac:dyDescent="0.15">
      <c r="A1277" s="1">
        <v>40809</v>
      </c>
      <c r="B1277" t="s">
        <v>260</v>
      </c>
      <c r="C1277" s="2" t="str">
        <f>HYPERLINK("http://snap.windin.com/ns/bulletin.php?id=1696996&amp;type=1", "亚玛顿:首次公开发行股票（A股）招股说明书")</f>
        <v>亚玛顿:首次公开发行股票（A股）招股说明书</v>
      </c>
    </row>
    <row r="1278" spans="1:3" x14ac:dyDescent="0.15">
      <c r="A1278" s="1">
        <v>40809</v>
      </c>
      <c r="B1278" t="s">
        <v>254</v>
      </c>
      <c r="C1278" s="2" t="str">
        <f>HYPERLINK("http://snap.windin.com/ns/bulletin.php?id=1609196&amp;type=1", "紫光华宇:首次公开发行股票并在创业板上市招股意向书")</f>
        <v>紫光华宇:首次公开发行股票并在创业板上市招股意向书</v>
      </c>
    </row>
    <row r="1279" spans="1:3" x14ac:dyDescent="0.15">
      <c r="A1279" s="1">
        <v>40809</v>
      </c>
      <c r="B1279" t="s">
        <v>260</v>
      </c>
      <c r="C1279" s="2" t="str">
        <f>HYPERLINK("http://snap.windin.com/ns/bulletin.php?id=1102303&amp;type=1", "亚玛顿:首次公开发行股票（A股）招股说明书摘要")</f>
        <v>亚玛顿:首次公开发行股票（A股）招股说明书摘要</v>
      </c>
    </row>
    <row r="1280" spans="1:3" x14ac:dyDescent="0.15">
      <c r="A1280" s="1">
        <v>40808</v>
      </c>
      <c r="B1280" t="s">
        <v>270</v>
      </c>
      <c r="C1280" s="2" t="str">
        <f>HYPERLINK("http://snap.windin.com/ns/bulletin.php?id=1358087&amp;type=1", "中信证券:H股--招股说明书（中文）")</f>
        <v>中信证券:H股--招股说明书（中文）</v>
      </c>
    </row>
    <row r="1281" spans="1:3" x14ac:dyDescent="0.15">
      <c r="A1281" s="1">
        <v>40808</v>
      </c>
      <c r="B1281" t="s">
        <v>271</v>
      </c>
      <c r="C1281" s="2" t="str">
        <f>HYPERLINK("http://snap.windin.com/ns/bulletin.php?id=1094287&amp;type=1", "东方精工:首次公开发行股票上市公告书（更新后）")</f>
        <v>东方精工:首次公开发行股票上市公告书（更新后）</v>
      </c>
    </row>
    <row r="1282" spans="1:3" x14ac:dyDescent="0.15">
      <c r="A1282" s="1">
        <v>40808</v>
      </c>
      <c r="B1282" t="s">
        <v>270</v>
      </c>
      <c r="C1282" s="2" t="str">
        <f>HYPERLINK("http://snap.windin.com/ns/bulletin.php?id=102761&amp;type=1", "中信证券:H股--招股说明书（英文）")</f>
        <v>中信证券:H股--招股说明书（英文）</v>
      </c>
    </row>
    <row r="1283" spans="1:3" x14ac:dyDescent="0.15">
      <c r="A1283" s="1">
        <v>40806</v>
      </c>
      <c r="B1283" t="s">
        <v>264</v>
      </c>
      <c r="C1283" s="2" t="str">
        <f>HYPERLINK("http://snap.windin.com/ns/bulletin.php?id=1539852&amp;type=1", "巨龙管业:首次公开发行股票招股说明书")</f>
        <v>巨龙管业:首次公开发行股票招股说明书</v>
      </c>
    </row>
    <row r="1284" spans="1:3" x14ac:dyDescent="0.15">
      <c r="A1284" s="1">
        <v>40806</v>
      </c>
      <c r="B1284" t="s">
        <v>264</v>
      </c>
      <c r="C1284" s="2" t="str">
        <f>HYPERLINK("http://snap.windin.com/ns/bulletin.php?id=1517738&amp;type=1", "巨龙管业:首次公开发行股票招股说明书摘要")</f>
        <v>巨龙管业:首次公开发行股票招股说明书摘要</v>
      </c>
    </row>
    <row r="1285" spans="1:3" x14ac:dyDescent="0.15">
      <c r="A1285" s="1">
        <v>40805</v>
      </c>
      <c r="B1285" t="s">
        <v>265</v>
      </c>
      <c r="C1285" s="2" t="str">
        <f>HYPERLINK("http://snap.windin.com/ns/bulletin.php?id=2112100&amp;type=1", "瑞和股份:首次公开发行股票招股说明书摘要")</f>
        <v>瑞和股份:首次公开发行股票招股说明书摘要</v>
      </c>
    </row>
    <row r="1286" spans="1:3" x14ac:dyDescent="0.15">
      <c r="A1286" s="1">
        <v>40805</v>
      </c>
      <c r="B1286" t="s">
        <v>257</v>
      </c>
      <c r="C1286" s="2" t="str">
        <f>HYPERLINK("http://snap.windin.com/ns/bulletin.php?id=2011154&amp;type=1", "中国水电:首次公开发行A股股票招股意向书附录")</f>
        <v>中国水电:首次公开发行A股股票招股意向书附录</v>
      </c>
    </row>
    <row r="1287" spans="1:3" x14ac:dyDescent="0.15">
      <c r="A1287" s="1">
        <v>40805</v>
      </c>
      <c r="B1287" t="s">
        <v>262</v>
      </c>
      <c r="C1287" s="2" t="str">
        <f>HYPERLINK("http://snap.windin.com/ns/bulletin.php?id=1562800&amp;type=1", "大连三垒:首次公开发行股票招股说明书")</f>
        <v>大连三垒:首次公开发行股票招股说明书</v>
      </c>
    </row>
    <row r="1288" spans="1:3" x14ac:dyDescent="0.15">
      <c r="A1288" s="1">
        <v>40805</v>
      </c>
      <c r="B1288" t="s">
        <v>272</v>
      </c>
      <c r="C1288" s="2" t="str">
        <f>HYPERLINK("http://snap.windin.com/ns/bulletin.php?id=1561496&amp;type=1", "长青集团:首次公开发行股票上市公告书")</f>
        <v>长青集团:首次公开发行股票上市公告书</v>
      </c>
    </row>
    <row r="1289" spans="1:3" x14ac:dyDescent="0.15">
      <c r="A1289" s="1">
        <v>40805</v>
      </c>
      <c r="B1289" t="s">
        <v>257</v>
      </c>
      <c r="C1289" s="2" t="str">
        <f>HYPERLINK("http://snap.windin.com/ns/bulletin.php?id=1354080&amp;type=1", "中国水电:首次公开发行A股股票招股意向书摘要")</f>
        <v>中国水电:首次公开发行A股股票招股意向书摘要</v>
      </c>
    </row>
    <row r="1290" spans="1:3" x14ac:dyDescent="0.15">
      <c r="A1290" s="1">
        <v>40805</v>
      </c>
      <c r="B1290" t="s">
        <v>259</v>
      </c>
      <c r="C1290" s="2" t="str">
        <f>HYPERLINK("http://snap.windin.com/ns/bulletin.php?id=857418&amp;type=1", "中威电子:首次公开发行股票并在创业板上市招股意向书")</f>
        <v>中威电子:首次公开发行股票并在创业板上市招股意向书</v>
      </c>
    </row>
    <row r="1291" spans="1:3" x14ac:dyDescent="0.15">
      <c r="A1291" s="1">
        <v>40805</v>
      </c>
      <c r="B1291" t="s">
        <v>265</v>
      </c>
      <c r="C1291" s="2" t="str">
        <f>HYPERLINK("http://snap.windin.com/ns/bulletin.php?id=739251&amp;type=1", "瑞和股份:首次公开发行股票招股说明书")</f>
        <v>瑞和股份:首次公开发行股票招股说明书</v>
      </c>
    </row>
    <row r="1292" spans="1:3" x14ac:dyDescent="0.15">
      <c r="A1292" s="1">
        <v>40805</v>
      </c>
      <c r="B1292" t="s">
        <v>261</v>
      </c>
      <c r="C1292" s="2" t="str">
        <f>HYPERLINK("http://snap.windin.com/ns/bulletin.php?id=695306&amp;type=1", "联建光电:首次公开发行股票并在创业板上市招股意向书")</f>
        <v>联建光电:首次公开发行股票并在创业板上市招股意向书</v>
      </c>
    </row>
    <row r="1293" spans="1:3" x14ac:dyDescent="0.15">
      <c r="A1293" s="1">
        <v>40805</v>
      </c>
      <c r="B1293" t="s">
        <v>262</v>
      </c>
      <c r="C1293" s="2" t="str">
        <f>HYPERLINK("http://snap.windin.com/ns/bulletin.php?id=638618&amp;type=1", "大连三垒:首次公开发行股票招股说明书摘要")</f>
        <v>大连三垒:首次公开发行股票招股说明书摘要</v>
      </c>
    </row>
    <row r="1294" spans="1:3" x14ac:dyDescent="0.15">
      <c r="A1294" s="1">
        <v>40805</v>
      </c>
      <c r="B1294" t="s">
        <v>257</v>
      </c>
      <c r="C1294" s="2" t="str">
        <f>HYPERLINK("http://snap.windin.com/ns/bulletin.php?id=509266&amp;type=1", "中国水电:首次公开发行A股股票招股意向书")</f>
        <v>中国水电:首次公开发行A股股票招股意向书</v>
      </c>
    </row>
    <row r="1295" spans="1:3" x14ac:dyDescent="0.15">
      <c r="A1295" s="1">
        <v>40805</v>
      </c>
      <c r="B1295" t="s">
        <v>54</v>
      </c>
      <c r="C1295" s="2" t="str">
        <f>HYPERLINK("http://snap.windin.com/ns/bulletin.php?id=228534&amp;type=1", "露笑科技:首次公开发行股票上市公告书")</f>
        <v>露笑科技:首次公开发行股票上市公告书</v>
      </c>
    </row>
    <row r="1296" spans="1:3" x14ac:dyDescent="0.15">
      <c r="A1296" s="1">
        <v>40805</v>
      </c>
      <c r="B1296" t="s">
        <v>273</v>
      </c>
      <c r="C1296" s="2" t="str">
        <f>HYPERLINK("http://snap.windin.com/ns/bulletin.php?id=130822&amp;type=1", "丹邦科技:首次公开发行股票上市公告书")</f>
        <v>丹邦科技:首次公开发行股票上市公告书</v>
      </c>
    </row>
    <row r="1297" spans="1:3" x14ac:dyDescent="0.15">
      <c r="A1297" s="1">
        <v>40802</v>
      </c>
      <c r="B1297" t="s">
        <v>258</v>
      </c>
      <c r="C1297" s="2" t="str">
        <f>HYPERLINK("http://snap.windin.com/ns/bulletin.php?id=19218370&amp;type=1", "永大集团:首次公开发行股票招股意向书")</f>
        <v>永大集团:首次公开发行股票招股意向书</v>
      </c>
    </row>
    <row r="1298" spans="1:3" x14ac:dyDescent="0.15">
      <c r="A1298" s="1">
        <v>40802</v>
      </c>
      <c r="B1298" t="s">
        <v>260</v>
      </c>
      <c r="C1298" s="2" t="str">
        <f>HYPERLINK("http://snap.windin.com/ns/bulletin.php?id=18906470&amp;type=1", "亚玛顿:首次公开发行股票招股意向书")</f>
        <v>亚玛顿:首次公开发行股票招股意向书</v>
      </c>
    </row>
    <row r="1299" spans="1:3" x14ac:dyDescent="0.15">
      <c r="A1299" s="1">
        <v>40802</v>
      </c>
      <c r="B1299" t="s">
        <v>260</v>
      </c>
      <c r="C1299" s="2" t="str">
        <f>HYPERLINK("http://snap.windin.com/ns/bulletin.php?id=2072732&amp;type=1", "亚玛顿:首次公开发行股票招股意向书摘要")</f>
        <v>亚玛顿:首次公开发行股票招股意向书摘要</v>
      </c>
    </row>
    <row r="1300" spans="1:3" x14ac:dyDescent="0.15">
      <c r="A1300" s="1">
        <v>40802</v>
      </c>
      <c r="B1300" t="s">
        <v>267</v>
      </c>
      <c r="C1300" s="2" t="str">
        <f>HYPERLINK("http://snap.windin.com/ns/bulletin.php?id=2053644&amp;type=1", "兴源过滤:首次公开发行股票并在创业板上市招股说明书")</f>
        <v>兴源过滤:首次公开发行股票并在创业板上市招股说明书</v>
      </c>
    </row>
    <row r="1301" spans="1:3" x14ac:dyDescent="0.15">
      <c r="A1301" s="1">
        <v>40802</v>
      </c>
      <c r="B1301" t="s">
        <v>260</v>
      </c>
      <c r="C1301" s="2" t="str">
        <f>HYPERLINK("http://snap.windin.com/ns/bulletin.php?id=2017825&amp;type=1", "亚玛顿:首次公开发行股票招股意向书")</f>
        <v>亚玛顿:首次公开发行股票招股意向书</v>
      </c>
    </row>
    <row r="1302" spans="1:3" x14ac:dyDescent="0.15">
      <c r="A1302" s="1">
        <v>40802</v>
      </c>
      <c r="B1302" t="s">
        <v>258</v>
      </c>
      <c r="C1302" s="2" t="str">
        <f>HYPERLINK("http://snap.windin.com/ns/bulletin.php?id=1959977&amp;type=1", "永大集团:首次公开发行股票招股意向书摘要")</f>
        <v>永大集团:首次公开发行股票招股意向书摘要</v>
      </c>
    </row>
    <row r="1303" spans="1:3" x14ac:dyDescent="0.15">
      <c r="A1303" s="1">
        <v>40802</v>
      </c>
      <c r="B1303" t="s">
        <v>274</v>
      </c>
      <c r="C1303" s="2" t="str">
        <f>HYPERLINK("http://snap.windin.com/ns/bulletin.php?id=1918626&amp;type=1", "明泰铝业:首次公开发行A股股票上市公告书")</f>
        <v>明泰铝业:首次公开发行A股股票上市公告书</v>
      </c>
    </row>
    <row r="1304" spans="1:3" x14ac:dyDescent="0.15">
      <c r="A1304" s="1">
        <v>40802</v>
      </c>
      <c r="B1304" t="s">
        <v>274</v>
      </c>
      <c r="C1304" s="2" t="str">
        <f>HYPERLINK("http://snap.windin.com/ns/bulletin.php?id=519949&amp;type=1", "明泰铝业:首次公开发行股票招股说明书")</f>
        <v>明泰铝业:首次公开发行股票招股说明书</v>
      </c>
    </row>
    <row r="1305" spans="1:3" x14ac:dyDescent="0.15">
      <c r="A1305" s="1">
        <v>40802</v>
      </c>
      <c r="B1305" t="s">
        <v>258</v>
      </c>
      <c r="C1305" s="2" t="str">
        <f>HYPERLINK("http://snap.windin.com/ns/bulletin.php?id=85726&amp;type=1", "永大集团:首次公开发行股票招股意向书")</f>
        <v>永大集团:首次公开发行股票招股意向书</v>
      </c>
    </row>
    <row r="1306" spans="1:3" x14ac:dyDescent="0.15">
      <c r="A1306" s="1">
        <v>40801</v>
      </c>
      <c r="B1306" t="s">
        <v>275</v>
      </c>
      <c r="C1306" s="2" t="str">
        <f>HYPERLINK("http://snap.windin.com/ns/bulletin.php?id=2067163&amp;type=1", "佳创视讯:首次公开发行股票并在创业板上市之上市公告书")</f>
        <v>佳创视讯:首次公开发行股票并在创业板上市之上市公告书</v>
      </c>
    </row>
    <row r="1307" spans="1:3" x14ac:dyDescent="0.15">
      <c r="A1307" s="1">
        <v>40801</v>
      </c>
      <c r="B1307" t="s">
        <v>276</v>
      </c>
      <c r="C1307" s="2" t="str">
        <f>HYPERLINK("http://snap.windin.com/ns/bulletin.php?id=2016726&amp;type=1", "隆华传热:首次公开发行股票并在创业板上市上市公告书提示性公告")</f>
        <v>隆华传热:首次公开发行股票并在创业板上市上市公告书提示性公告</v>
      </c>
    </row>
    <row r="1308" spans="1:3" x14ac:dyDescent="0.15">
      <c r="A1308" s="1">
        <v>40801</v>
      </c>
      <c r="B1308" t="s">
        <v>276</v>
      </c>
      <c r="C1308" s="2" t="str">
        <f>HYPERLINK("http://snap.windin.com/ns/bulletin.php?id=1333006&amp;type=1", "隆华传热:首次公开发行股票并在创业板上市之上市公告书")</f>
        <v>隆华传热:首次公开发行股票并在创业板上市之上市公告书</v>
      </c>
    </row>
    <row r="1309" spans="1:3" x14ac:dyDescent="0.15">
      <c r="A1309" s="1">
        <v>40801</v>
      </c>
      <c r="B1309" t="s">
        <v>136</v>
      </c>
      <c r="C1309" s="2" t="str">
        <f>HYPERLINK("http://snap.windin.com/ns/bulletin.php?id=906354&amp;type=1", "巴安水务:首次公开发行股票并在创业板上市公告书提示性公告")</f>
        <v>巴安水务:首次公开发行股票并在创业板上市公告书提示性公告</v>
      </c>
    </row>
    <row r="1310" spans="1:3" x14ac:dyDescent="0.15">
      <c r="A1310" s="1">
        <v>40801</v>
      </c>
      <c r="B1310" t="s">
        <v>136</v>
      </c>
      <c r="C1310" s="2" t="str">
        <f>HYPERLINK("http://snap.windin.com/ns/bulletin.php?id=651543&amp;type=1", "巴安水务:首次公开发行股票并在创业板上市公告书")</f>
        <v>巴安水务:首次公开发行股票并在创业板上市公告书</v>
      </c>
    </row>
    <row r="1311" spans="1:3" x14ac:dyDescent="0.15">
      <c r="A1311" s="1">
        <v>40801</v>
      </c>
      <c r="B1311" t="s">
        <v>275</v>
      </c>
      <c r="C1311" s="2" t="str">
        <f>HYPERLINK("http://snap.windin.com/ns/bulletin.php?id=524131&amp;type=1", "佳创视讯:首次公开发行股票并在创业板上市公告书提示性公告")</f>
        <v>佳创视讯:首次公开发行股票并在创业板上市公告书提示性公告</v>
      </c>
    </row>
    <row r="1312" spans="1:3" x14ac:dyDescent="0.15">
      <c r="A1312" s="1">
        <v>40801</v>
      </c>
      <c r="B1312" t="s">
        <v>277</v>
      </c>
      <c r="C1312" s="2" t="str">
        <f>HYPERLINK("http://snap.windin.com/ns/bulletin.php?id=410238&amp;type=1", "通光线缆:首次公开发行股票并在创业板上市上市公告书提示性公告")</f>
        <v>通光线缆:首次公开发行股票并在创业板上市上市公告书提示性公告</v>
      </c>
    </row>
    <row r="1313" spans="1:3" x14ac:dyDescent="0.15">
      <c r="A1313" s="1">
        <v>40801</v>
      </c>
      <c r="B1313" t="s">
        <v>277</v>
      </c>
      <c r="C1313" s="2" t="str">
        <f>HYPERLINK("http://snap.windin.com/ns/bulletin.php?id=202351&amp;type=1", "通光线缆:首次公开发行股票并在创业板上市之上市公告书")</f>
        <v>通光线缆:首次公开发行股票并在创业板上市之上市公告书</v>
      </c>
    </row>
    <row r="1314" spans="1:3" x14ac:dyDescent="0.15">
      <c r="A1314" s="1">
        <v>40800</v>
      </c>
      <c r="B1314" t="s">
        <v>269</v>
      </c>
      <c r="C1314" s="2" t="str">
        <f>HYPERLINK("http://snap.windin.com/ns/bulletin.php?id=1763642&amp;type=1", "万福生科:首次公开发行股票并在创业板上市招股说明书")</f>
        <v>万福生科:首次公开发行股票并在创业板上市招股说明书</v>
      </c>
    </row>
    <row r="1315" spans="1:3" x14ac:dyDescent="0.15">
      <c r="A1315" s="1">
        <v>40800</v>
      </c>
      <c r="B1315" t="s">
        <v>268</v>
      </c>
      <c r="C1315" s="2" t="str">
        <f>HYPERLINK("http://snap.windin.com/ns/bulletin.php?id=1553275&amp;type=1", "尔康制药:首次公开发行股票并在创业板上市招股说明书")</f>
        <v>尔康制药:首次公开发行股票并在创业板上市招股说明书</v>
      </c>
    </row>
    <row r="1316" spans="1:3" x14ac:dyDescent="0.15">
      <c r="A1316" s="1">
        <v>40795</v>
      </c>
      <c r="B1316" t="s">
        <v>265</v>
      </c>
      <c r="C1316" s="2" t="str">
        <f>HYPERLINK("http://snap.windin.com/ns/bulletin.php?id=19126762&amp;type=1", "瑞和股份:首次公开发行股票招股意向书")</f>
        <v>瑞和股份:首次公开发行股票招股意向书</v>
      </c>
    </row>
    <row r="1317" spans="1:3" x14ac:dyDescent="0.15">
      <c r="A1317" s="1">
        <v>40795</v>
      </c>
      <c r="B1317" t="s">
        <v>265</v>
      </c>
      <c r="C1317" s="2" t="str">
        <f>HYPERLINK("http://snap.windin.com/ns/bulletin.php?id=18471196&amp;type=1", "瑞和股份:首次公开发行股票招股意向书")</f>
        <v>瑞和股份:首次公开发行股票招股意向书</v>
      </c>
    </row>
    <row r="1318" spans="1:3" x14ac:dyDescent="0.15">
      <c r="A1318" s="1">
        <v>40795</v>
      </c>
      <c r="B1318" t="s">
        <v>265</v>
      </c>
      <c r="C1318" s="2" t="str">
        <f>HYPERLINK("http://snap.windin.com/ns/bulletin.php?id=208208&amp;type=1", "瑞和股份:首次公开发行股票招股意向书")</f>
        <v>瑞和股份:首次公开发行股票招股意向书</v>
      </c>
    </row>
    <row r="1319" spans="1:3" x14ac:dyDescent="0.15">
      <c r="A1319" s="1">
        <v>40795</v>
      </c>
      <c r="B1319" t="s">
        <v>265</v>
      </c>
      <c r="C1319" s="2" t="str">
        <f>HYPERLINK("http://snap.windin.com/ns/bulletin.php?id=99665&amp;type=1", "瑞和股份:首次公开发行股票招股意向书摘要")</f>
        <v>瑞和股份:首次公开发行股票招股意向书摘要</v>
      </c>
    </row>
    <row r="1320" spans="1:3" x14ac:dyDescent="0.15">
      <c r="A1320" s="1">
        <v>40794</v>
      </c>
      <c r="B1320" t="s">
        <v>262</v>
      </c>
      <c r="C1320" s="2" t="str">
        <f>HYPERLINK("http://snap.windin.com/ns/bulletin.php?id=18607422&amp;type=1", "大连三垒:首次公开发行股票招股意向书")</f>
        <v>大连三垒:首次公开发行股票招股意向书</v>
      </c>
    </row>
    <row r="1321" spans="1:3" x14ac:dyDescent="0.15">
      <c r="A1321" s="1">
        <v>40794</v>
      </c>
      <c r="B1321" t="s">
        <v>264</v>
      </c>
      <c r="C1321" s="2" t="str">
        <f>HYPERLINK("http://snap.windin.com/ns/bulletin.php?id=18591320&amp;type=1", "巨龙管业:首次公开发行股票招股意向书")</f>
        <v>巨龙管业:首次公开发行股票招股意向书</v>
      </c>
    </row>
    <row r="1322" spans="1:3" x14ac:dyDescent="0.15">
      <c r="A1322" s="1">
        <v>40794</v>
      </c>
      <c r="B1322" t="s">
        <v>262</v>
      </c>
      <c r="C1322" s="2" t="str">
        <f>HYPERLINK("http://snap.windin.com/ns/bulletin.php?id=18497762&amp;type=1", "大连三垒:首次公开发行股票招股意向书")</f>
        <v>大连三垒:首次公开发行股票招股意向书</v>
      </c>
    </row>
    <row r="1323" spans="1:3" x14ac:dyDescent="0.15">
      <c r="A1323" s="1">
        <v>40794</v>
      </c>
      <c r="B1323" t="s">
        <v>263</v>
      </c>
      <c r="C1323" s="2" t="str">
        <f>HYPERLINK("http://snap.windin.com/ns/bulletin.php?id=2114976&amp;type=1", "丰林集团:首次公开发行股票招股意向书附录一")</f>
        <v>丰林集团:首次公开发行股票招股意向书附录一</v>
      </c>
    </row>
    <row r="1324" spans="1:3" x14ac:dyDescent="0.15">
      <c r="A1324" s="1">
        <v>40794</v>
      </c>
      <c r="B1324" t="s">
        <v>272</v>
      </c>
      <c r="C1324" s="2" t="str">
        <f>HYPERLINK("http://snap.windin.com/ns/bulletin.php?id=2046336&amp;type=1", "长青集团:首次公开发行股票招股说明书")</f>
        <v>长青集团:首次公开发行股票招股说明书</v>
      </c>
    </row>
    <row r="1325" spans="1:3" x14ac:dyDescent="0.15">
      <c r="A1325" s="1">
        <v>40794</v>
      </c>
      <c r="B1325" t="s">
        <v>263</v>
      </c>
      <c r="C1325" s="2" t="str">
        <f>HYPERLINK("http://snap.windin.com/ns/bulletin.php?id=1782579&amp;type=1", "丰林集团:首次公开发行股票招股意向书摘要")</f>
        <v>丰林集团:首次公开发行股票招股意向书摘要</v>
      </c>
    </row>
    <row r="1326" spans="1:3" x14ac:dyDescent="0.15">
      <c r="A1326" s="1">
        <v>40794</v>
      </c>
      <c r="B1326" t="s">
        <v>262</v>
      </c>
      <c r="C1326" s="2" t="str">
        <f>HYPERLINK("http://snap.windin.com/ns/bulletin.php?id=1775353&amp;type=1", "大连三垒:首次公开发行股票招股意向书")</f>
        <v>大连三垒:首次公开发行股票招股意向书</v>
      </c>
    </row>
    <row r="1327" spans="1:3" x14ac:dyDescent="0.15">
      <c r="A1327" s="1">
        <v>40794</v>
      </c>
      <c r="B1327" t="s">
        <v>262</v>
      </c>
      <c r="C1327" s="2" t="str">
        <f>HYPERLINK("http://snap.windin.com/ns/bulletin.php?id=1698740&amp;type=1", "大连三垒:首次公开发行股票招股意向书摘要")</f>
        <v>大连三垒:首次公开发行股票招股意向书摘要</v>
      </c>
    </row>
    <row r="1328" spans="1:3" x14ac:dyDescent="0.15">
      <c r="A1328" s="1">
        <v>40794</v>
      </c>
      <c r="B1328" t="s">
        <v>264</v>
      </c>
      <c r="C1328" s="2" t="str">
        <f>HYPERLINK("http://snap.windin.com/ns/bulletin.php?id=1441481&amp;type=1", "巨龙管业:首次公开发行股票招股意向书")</f>
        <v>巨龙管业:首次公开发行股票招股意向书</v>
      </c>
    </row>
    <row r="1329" spans="1:3" x14ac:dyDescent="0.15">
      <c r="A1329" s="1">
        <v>40794</v>
      </c>
      <c r="B1329" t="s">
        <v>278</v>
      </c>
      <c r="C1329" s="2" t="str">
        <f>HYPERLINK("http://snap.windin.com/ns/bulletin.php?id=1414135&amp;type=1", "哈尔斯:首次公开发行股票上市公告书")</f>
        <v>哈尔斯:首次公开发行股票上市公告书</v>
      </c>
    </row>
    <row r="1330" spans="1:3" x14ac:dyDescent="0.15">
      <c r="A1330" s="1">
        <v>40794</v>
      </c>
      <c r="B1330" t="s">
        <v>272</v>
      </c>
      <c r="C1330" s="2" t="str">
        <f>HYPERLINK("http://snap.windin.com/ns/bulletin.php?id=1244614&amp;type=1", "长青集团:首次公开发行股票招股说明书摘要")</f>
        <v>长青集团:首次公开发行股票招股说明书摘要</v>
      </c>
    </row>
    <row r="1331" spans="1:3" x14ac:dyDescent="0.15">
      <c r="A1331" s="1">
        <v>40794</v>
      </c>
      <c r="B1331" t="s">
        <v>263</v>
      </c>
      <c r="C1331" s="2" t="str">
        <f>HYPERLINK("http://snap.windin.com/ns/bulletin.php?id=719299&amp;type=1", "丰林集团:首次公开发行股票招股意向书附录二")</f>
        <v>丰林集团:首次公开发行股票招股意向书附录二</v>
      </c>
    </row>
    <row r="1332" spans="1:3" x14ac:dyDescent="0.15">
      <c r="A1332" s="1">
        <v>40794</v>
      </c>
      <c r="B1332" t="s">
        <v>279</v>
      </c>
      <c r="C1332" s="2" t="str">
        <f>HYPERLINK("http://snap.windin.com/ns/bulletin.php?id=664175&amp;type=1", "蒙发利:首次公开发行股票上市公告书")</f>
        <v>蒙发利:首次公开发行股票上市公告书</v>
      </c>
    </row>
    <row r="1333" spans="1:3" x14ac:dyDescent="0.15">
      <c r="A1333" s="1">
        <v>40794</v>
      </c>
      <c r="B1333" t="s">
        <v>263</v>
      </c>
      <c r="C1333" s="2" t="str">
        <f>HYPERLINK("http://snap.windin.com/ns/bulletin.php?id=580464&amp;type=1", "丰林集团:首次公开发行股票招股意向书")</f>
        <v>丰林集团:首次公开发行股票招股意向书</v>
      </c>
    </row>
    <row r="1334" spans="1:3" x14ac:dyDescent="0.15">
      <c r="A1334" s="1">
        <v>40794</v>
      </c>
      <c r="B1334" t="s">
        <v>263</v>
      </c>
      <c r="C1334" s="2" t="str">
        <f>HYPERLINK("http://snap.windin.com/ns/bulletin.php?id=495901&amp;type=1", "丰林集团:首次公开发行股票招股意向书附录三")</f>
        <v>丰林集团:首次公开发行股票招股意向书附录三</v>
      </c>
    </row>
    <row r="1335" spans="1:3" x14ac:dyDescent="0.15">
      <c r="A1335" s="1">
        <v>40794</v>
      </c>
      <c r="B1335" t="s">
        <v>264</v>
      </c>
      <c r="C1335" s="2" t="str">
        <f>HYPERLINK("http://snap.windin.com/ns/bulletin.php?id=80254&amp;type=1", "巨龙管业:首次公开发行股票招股意向书摘要")</f>
        <v>巨龙管业:首次公开发行股票招股意向书摘要</v>
      </c>
    </row>
    <row r="1336" spans="1:3" x14ac:dyDescent="0.15">
      <c r="A1336" s="1">
        <v>40793</v>
      </c>
      <c r="B1336" t="s">
        <v>280</v>
      </c>
      <c r="C1336" s="2" t="str">
        <f>HYPERLINK("http://snap.windin.com/ns/bulletin.php?id=1022507&amp;type=1", "京运通:首次公开发行股票（A股）上市公告书")</f>
        <v>京运通:首次公开发行股票（A股）上市公告书</v>
      </c>
    </row>
    <row r="1337" spans="1:3" x14ac:dyDescent="0.15">
      <c r="A1337" s="1">
        <v>40793</v>
      </c>
      <c r="B1337" t="s">
        <v>54</v>
      </c>
      <c r="C1337" s="2" t="str">
        <f>HYPERLINK("http://snap.windin.com/ns/bulletin.php?id=1021429&amp;type=1", "露笑科技:首次公开发行股票招股说明书")</f>
        <v>露笑科技:首次公开发行股票招股说明书</v>
      </c>
    </row>
    <row r="1338" spans="1:3" x14ac:dyDescent="0.15">
      <c r="A1338" s="1">
        <v>40793</v>
      </c>
      <c r="B1338" t="s">
        <v>280</v>
      </c>
      <c r="C1338" s="2" t="str">
        <f>HYPERLINK("http://snap.windin.com/ns/bulletin.php?id=710465&amp;type=1", "京运通:首次公开发行股票（A股）招股说明书")</f>
        <v>京运通:首次公开发行股票（A股）招股说明书</v>
      </c>
    </row>
    <row r="1339" spans="1:3" x14ac:dyDescent="0.15">
      <c r="A1339" s="1">
        <v>40793</v>
      </c>
      <c r="B1339" t="s">
        <v>54</v>
      </c>
      <c r="C1339" s="2" t="str">
        <f>HYPERLINK("http://snap.windin.com/ns/bulletin.php?id=446269&amp;type=1", "露笑科技:首次公开发行股票招股说明书摘要")</f>
        <v>露笑科技:首次公开发行股票招股说明书摘要</v>
      </c>
    </row>
    <row r="1340" spans="1:3" x14ac:dyDescent="0.15">
      <c r="A1340" s="1">
        <v>40792</v>
      </c>
      <c r="B1340" t="s">
        <v>267</v>
      </c>
      <c r="C1340" s="2" t="str">
        <f>HYPERLINK("http://snap.windin.com/ns/bulletin.php?id=19474380&amp;type=1", "兴源过滤:首次公开发行股票并在创业板上市招股意向书")</f>
        <v>兴源过滤:首次公开发行股票并在创业板上市招股意向书</v>
      </c>
    </row>
    <row r="1341" spans="1:3" x14ac:dyDescent="0.15">
      <c r="A1341" s="1">
        <v>40792</v>
      </c>
      <c r="B1341" t="s">
        <v>269</v>
      </c>
      <c r="C1341" s="2" t="str">
        <f>HYPERLINK("http://snap.windin.com/ns/bulletin.php?id=18839676&amp;type=1", "万福生科:首次公开发行股票并在创业板上市招股意向书")</f>
        <v>万福生科:首次公开发行股票并在创业板上市招股意向书</v>
      </c>
    </row>
    <row r="1342" spans="1:3" x14ac:dyDescent="0.15">
      <c r="A1342" s="1">
        <v>40792</v>
      </c>
      <c r="B1342" t="s">
        <v>268</v>
      </c>
      <c r="C1342" s="2" t="str">
        <f>HYPERLINK("http://snap.windin.com/ns/bulletin.php?id=18488594&amp;type=1", "尔康制药:首次公开发行股票并在创业板上市招股意向书")</f>
        <v>尔康制药:首次公开发行股票并在创业板上市招股意向书</v>
      </c>
    </row>
    <row r="1343" spans="1:3" x14ac:dyDescent="0.15">
      <c r="A1343" s="1">
        <v>40792</v>
      </c>
      <c r="B1343" t="s">
        <v>267</v>
      </c>
      <c r="C1343" s="2" t="str">
        <f>HYPERLINK("http://snap.windin.com/ns/bulletin.php?id=2009170&amp;type=1", "兴源过滤:首次公开发行股票并在创业板上市招股意向书")</f>
        <v>兴源过滤:首次公开发行股票并在创业板上市招股意向书</v>
      </c>
    </row>
    <row r="1344" spans="1:3" x14ac:dyDescent="0.15">
      <c r="A1344" s="1">
        <v>40792</v>
      </c>
      <c r="B1344" t="s">
        <v>273</v>
      </c>
      <c r="C1344" s="2" t="str">
        <f>HYPERLINK("http://snap.windin.com/ns/bulletin.php?id=1779732&amp;type=1", "丹邦科技:首次公开发行股票招股说明书")</f>
        <v>丹邦科技:首次公开发行股票招股说明书</v>
      </c>
    </row>
    <row r="1345" spans="1:3" x14ac:dyDescent="0.15">
      <c r="A1345" s="1">
        <v>40792</v>
      </c>
      <c r="B1345" t="s">
        <v>276</v>
      </c>
      <c r="C1345" s="2" t="str">
        <f>HYPERLINK("http://snap.windin.com/ns/bulletin.php?id=1637266&amp;type=1", "隆华传热:首次公开发行股票并在创业板上市招股说明书")</f>
        <v>隆华传热:首次公开发行股票并在创业板上市招股说明书</v>
      </c>
    </row>
    <row r="1346" spans="1:3" x14ac:dyDescent="0.15">
      <c r="A1346" s="1">
        <v>40792</v>
      </c>
      <c r="B1346" t="s">
        <v>268</v>
      </c>
      <c r="C1346" s="2" t="str">
        <f>HYPERLINK("http://snap.windin.com/ns/bulletin.php?id=915477&amp;type=1", "尔康制药:首次公开发行股票并在创业板上市招股意向书")</f>
        <v>尔康制药:首次公开发行股票并在创业板上市招股意向书</v>
      </c>
    </row>
    <row r="1347" spans="1:3" x14ac:dyDescent="0.15">
      <c r="A1347" s="1">
        <v>40792</v>
      </c>
      <c r="B1347" t="s">
        <v>269</v>
      </c>
      <c r="C1347" s="2" t="str">
        <f>HYPERLINK("http://snap.windin.com/ns/bulletin.php?id=460511&amp;type=1", "万福生科:首次公开发行股票并在创业板上市招股意向书")</f>
        <v>万福生科:首次公开发行股票并在创业板上市招股意向书</v>
      </c>
    </row>
    <row r="1348" spans="1:3" x14ac:dyDescent="0.15">
      <c r="A1348" s="1">
        <v>40792</v>
      </c>
      <c r="B1348" t="s">
        <v>273</v>
      </c>
      <c r="C1348" s="2" t="str">
        <f>HYPERLINK("http://snap.windin.com/ns/bulletin.php?id=174355&amp;type=1", "丹邦科技:首次公开发行股票招股说明书摘要")</f>
        <v>丹邦科技:首次公开发行股票招股说明书摘要</v>
      </c>
    </row>
    <row r="1349" spans="1:3" x14ac:dyDescent="0.15">
      <c r="A1349" s="1">
        <v>40791</v>
      </c>
      <c r="B1349" t="s">
        <v>275</v>
      </c>
      <c r="C1349" s="2" t="str">
        <f>HYPERLINK("http://snap.windin.com/ns/bulletin.php?id=2107598&amp;type=1", "佳创视讯:首次公开发行股票并在创业板上市招股说明书")</f>
        <v>佳创视讯:首次公开发行股票并在创业板上市招股说明书</v>
      </c>
    </row>
    <row r="1350" spans="1:3" x14ac:dyDescent="0.15">
      <c r="A1350" s="1">
        <v>40791</v>
      </c>
      <c r="B1350" t="s">
        <v>281</v>
      </c>
      <c r="C1350" s="2" t="str">
        <f>HYPERLINK("http://snap.windin.com/ns/bulletin.php?id=2010126&amp;type=1", "雅本化学:首次公开发行股票并在创业板上市之上市公告书")</f>
        <v>雅本化学:首次公开发行股票并在创业板上市之上市公告书</v>
      </c>
    </row>
    <row r="1351" spans="1:3" x14ac:dyDescent="0.15">
      <c r="A1351" s="1">
        <v>40791</v>
      </c>
      <c r="B1351" t="s">
        <v>282</v>
      </c>
      <c r="C1351" s="2" t="str">
        <f>HYPERLINK("http://snap.windin.com/ns/bulletin.php?id=1081630&amp;type=1", "新莱应材:首次公开发行股票并在创业板上市之上市公告书")</f>
        <v>新莱应材:首次公开发行股票并在创业板上市之上市公告书</v>
      </c>
    </row>
    <row r="1352" spans="1:3" x14ac:dyDescent="0.15">
      <c r="A1352" s="1">
        <v>40791</v>
      </c>
      <c r="B1352" t="s">
        <v>281</v>
      </c>
      <c r="C1352" s="2" t="str">
        <f>HYPERLINK("http://snap.windin.com/ns/bulletin.php?id=781196&amp;type=1", "雅本化学:首次公开发行股票并在创业板上市上市公告书提示性公告")</f>
        <v>雅本化学:首次公开发行股票并在创业板上市上市公告书提示性公告</v>
      </c>
    </row>
    <row r="1353" spans="1:3" x14ac:dyDescent="0.15">
      <c r="A1353" s="1">
        <v>40791</v>
      </c>
      <c r="B1353" t="s">
        <v>282</v>
      </c>
      <c r="C1353" s="2" t="str">
        <f>HYPERLINK("http://snap.windin.com/ns/bulletin.php?id=779184&amp;type=1", "新莱应材:首次公开发行股票并在创业板上市之上市公告书提示性公告")</f>
        <v>新莱应材:首次公开发行股票并在创业板上市之上市公告书提示性公告</v>
      </c>
    </row>
    <row r="1354" spans="1:3" x14ac:dyDescent="0.15">
      <c r="A1354" s="1">
        <v>40788</v>
      </c>
      <c r="B1354" t="s">
        <v>136</v>
      </c>
      <c r="C1354" s="2" t="str">
        <f>HYPERLINK("http://snap.windin.com/ns/bulletin.php?id=1992315&amp;type=1", "巴安水务:首次公开发行股票并在创业板上市招股说明书")</f>
        <v>巴安水务:首次公开发行股票并在创业板上市招股说明书</v>
      </c>
    </row>
    <row r="1355" spans="1:3" x14ac:dyDescent="0.15">
      <c r="A1355" s="1">
        <v>40788</v>
      </c>
      <c r="B1355" t="s">
        <v>266</v>
      </c>
      <c r="C1355" s="2" t="str">
        <f>HYPERLINK("http://snap.windin.com/ns/bulletin.php?id=1844732&amp;type=1", "长城汽车:首次公开发行A股股票招股意向书")</f>
        <v>长城汽车:首次公开发行A股股票招股意向书</v>
      </c>
    </row>
    <row r="1356" spans="1:3" x14ac:dyDescent="0.15">
      <c r="A1356" s="1">
        <v>40788</v>
      </c>
      <c r="B1356" t="s">
        <v>277</v>
      </c>
      <c r="C1356" s="2" t="str">
        <f>HYPERLINK("http://snap.windin.com/ns/bulletin.php?id=1717545&amp;type=1", "通光线缆:首次公开发行股票并在创业板上市招股说明书")</f>
        <v>通光线缆:首次公开发行股票并在创业板上市招股说明书</v>
      </c>
    </row>
    <row r="1357" spans="1:3" x14ac:dyDescent="0.15">
      <c r="A1357" s="1">
        <v>40788</v>
      </c>
      <c r="B1357" t="s">
        <v>266</v>
      </c>
      <c r="C1357" s="2" t="str">
        <f>HYPERLINK("http://snap.windin.com/ns/bulletin.php?id=1705119&amp;type=1", "长城汽车:首次公开发行股票（A股）招股意向书附录一")</f>
        <v>长城汽车:首次公开发行股票（A股）招股意向书附录一</v>
      </c>
    </row>
    <row r="1358" spans="1:3" x14ac:dyDescent="0.15">
      <c r="A1358" s="1">
        <v>40788</v>
      </c>
      <c r="B1358" t="s">
        <v>266</v>
      </c>
      <c r="C1358" s="2" t="str">
        <f>HYPERLINK("http://snap.windin.com/ns/bulletin.php?id=903941&amp;type=1", "长城汽车:首次公开发行股票（A股）招股意向书附录二")</f>
        <v>长城汽车:首次公开发行股票（A股）招股意向书附录二</v>
      </c>
    </row>
    <row r="1359" spans="1:3" x14ac:dyDescent="0.15">
      <c r="A1359" s="1">
        <v>40788</v>
      </c>
      <c r="B1359" t="s">
        <v>266</v>
      </c>
      <c r="C1359" s="2" t="str">
        <f>HYPERLINK("http://snap.windin.com/ns/bulletin.php?id=509588&amp;type=1", "长城汽车:首次公开发行A股股票招股意向书摘要")</f>
        <v>长城汽车:首次公开发行A股股票招股意向书摘要</v>
      </c>
    </row>
    <row r="1360" spans="1:3" x14ac:dyDescent="0.15">
      <c r="A1360" s="1">
        <v>40787</v>
      </c>
      <c r="B1360" t="s">
        <v>278</v>
      </c>
      <c r="C1360" s="2" t="str">
        <f>HYPERLINK("http://snap.windin.com/ns/bulletin.php?id=216080&amp;type=1", "哈尔斯:首次公开发行股票招股说明书摘要")</f>
        <v>哈尔斯:首次公开发行股票招股说明书摘要</v>
      </c>
    </row>
    <row r="1361" spans="1:3" x14ac:dyDescent="0.15">
      <c r="A1361" s="1">
        <v>40787</v>
      </c>
      <c r="B1361" t="s">
        <v>278</v>
      </c>
      <c r="C1361" s="2" t="str">
        <f>HYPERLINK("http://snap.windin.com/ns/bulletin.php?id=159860&amp;type=1", "哈尔斯:首次公开发行股票招股说明书")</f>
        <v>哈尔斯:首次公开发行股票招股说明书</v>
      </c>
    </row>
    <row r="1362" spans="1:3" x14ac:dyDescent="0.15">
      <c r="A1362" s="1">
        <v>40786</v>
      </c>
      <c r="B1362" t="s">
        <v>272</v>
      </c>
      <c r="C1362" s="2" t="str">
        <f>HYPERLINK("http://snap.windin.com/ns/bulletin.php?id=18513478&amp;type=1", "长青集团:首次公开发行股票招股意向书")</f>
        <v>长青集团:首次公开发行股票招股意向书</v>
      </c>
    </row>
    <row r="1363" spans="1:3" x14ac:dyDescent="0.15">
      <c r="A1363" s="1">
        <v>40786</v>
      </c>
      <c r="B1363" t="s">
        <v>272</v>
      </c>
      <c r="C1363" s="2" t="str">
        <f>HYPERLINK("http://snap.windin.com/ns/bulletin.php?id=2090718&amp;type=1", "长青集团:首次公开发行股票招股意向书")</f>
        <v>长青集团:首次公开发行股票招股意向书</v>
      </c>
    </row>
    <row r="1364" spans="1:3" x14ac:dyDescent="0.15">
      <c r="A1364" s="1">
        <v>40786</v>
      </c>
      <c r="B1364" t="s">
        <v>272</v>
      </c>
      <c r="C1364" s="2" t="str">
        <f>HYPERLINK("http://snap.windin.com/ns/bulletin.php?id=663523&amp;type=1", "长青集团:首次公开发行股票招股意向书摘要")</f>
        <v>长青集团:首次公开发行股票招股意向书摘要</v>
      </c>
    </row>
    <row r="1365" spans="1:3" x14ac:dyDescent="0.15">
      <c r="A1365" s="1">
        <v>40785</v>
      </c>
      <c r="B1365" t="s">
        <v>54</v>
      </c>
      <c r="C1365" s="2" t="str">
        <f>HYPERLINK("http://snap.windin.com/ns/bulletin.php?id=1942571&amp;type=1", "露笑科技:首次公开发行股票招股意向书摘要")</f>
        <v>露笑科技:首次公开发行股票招股意向书摘要</v>
      </c>
    </row>
    <row r="1366" spans="1:3" x14ac:dyDescent="0.15">
      <c r="A1366" s="1">
        <v>40785</v>
      </c>
      <c r="B1366" t="s">
        <v>54</v>
      </c>
      <c r="C1366" s="2" t="str">
        <f>HYPERLINK("http://snap.windin.com/ns/bulletin.php?id=1861689&amp;type=1", "露笑科技:首次公开发行股票招股意向书")</f>
        <v>露笑科技:首次公开发行股票招股意向书</v>
      </c>
    </row>
    <row r="1367" spans="1:3" x14ac:dyDescent="0.15">
      <c r="A1367" s="1">
        <v>40785</v>
      </c>
      <c r="B1367" t="s">
        <v>273</v>
      </c>
      <c r="C1367" s="2" t="str">
        <f>HYPERLINK("http://snap.windin.com/ns/bulletin.php?id=1857020&amp;type=1", "丹邦科技:首次公开发行股票招股意向书")</f>
        <v>丹邦科技:首次公开发行股票招股意向书</v>
      </c>
    </row>
    <row r="1368" spans="1:3" x14ac:dyDescent="0.15">
      <c r="A1368" s="1">
        <v>40785</v>
      </c>
      <c r="B1368" t="s">
        <v>279</v>
      </c>
      <c r="C1368" s="2" t="str">
        <f>HYPERLINK("http://snap.windin.com/ns/bulletin.php?id=1823620&amp;type=1", "蒙发利:首次公开发行股票招股说明书")</f>
        <v>蒙发利:首次公开发行股票招股说明书</v>
      </c>
    </row>
    <row r="1369" spans="1:3" x14ac:dyDescent="0.15">
      <c r="A1369" s="1">
        <v>40785</v>
      </c>
      <c r="B1369" t="s">
        <v>274</v>
      </c>
      <c r="C1369" s="2" t="str">
        <f>HYPERLINK("http://snap.windin.com/ns/bulletin.php?id=1722196&amp;type=1", "明泰铝业:首次公开发行股票招股意向书附录一")</f>
        <v>明泰铝业:首次公开发行股票招股意向书附录一</v>
      </c>
    </row>
    <row r="1370" spans="1:3" x14ac:dyDescent="0.15">
      <c r="A1370" s="1">
        <v>40785</v>
      </c>
      <c r="B1370" t="s">
        <v>273</v>
      </c>
      <c r="C1370" s="2" t="str">
        <f>HYPERLINK("http://snap.windin.com/ns/bulletin.php?id=1654963&amp;type=1", "丹邦科技:首次公开发行股票招股意向书摘要")</f>
        <v>丹邦科技:首次公开发行股票招股意向书摘要</v>
      </c>
    </row>
    <row r="1371" spans="1:3" x14ac:dyDescent="0.15">
      <c r="A1371" s="1">
        <v>40785</v>
      </c>
      <c r="B1371" t="s">
        <v>274</v>
      </c>
      <c r="C1371" s="2" t="str">
        <f>HYPERLINK("http://snap.windin.com/ns/bulletin.php?id=1529740&amp;type=1", "明泰铝业:首次公开发行股票招股意向书附录三")</f>
        <v>明泰铝业:首次公开发行股票招股意向书附录三</v>
      </c>
    </row>
    <row r="1372" spans="1:3" x14ac:dyDescent="0.15">
      <c r="A1372" s="1">
        <v>40785</v>
      </c>
      <c r="B1372" t="s">
        <v>274</v>
      </c>
      <c r="C1372" s="2" t="str">
        <f>HYPERLINK("http://snap.windin.com/ns/bulletin.php?id=1433490&amp;type=1", "明泰铝业:首次公开发行股票招股意向书附录四")</f>
        <v>明泰铝业:首次公开发行股票招股意向书附录四</v>
      </c>
    </row>
    <row r="1373" spans="1:3" x14ac:dyDescent="0.15">
      <c r="A1373" s="1">
        <v>40785</v>
      </c>
      <c r="B1373" t="s">
        <v>274</v>
      </c>
      <c r="C1373" s="2" t="str">
        <f>HYPERLINK("http://snap.windin.com/ns/bulletin.php?id=1316227&amp;type=1", "明泰铝业:首次公开发行股票招股意向书摘要")</f>
        <v>明泰铝业:首次公开发行股票招股意向书摘要</v>
      </c>
    </row>
    <row r="1374" spans="1:3" x14ac:dyDescent="0.15">
      <c r="A1374" s="1">
        <v>40785</v>
      </c>
      <c r="B1374" t="s">
        <v>274</v>
      </c>
      <c r="C1374" s="2" t="str">
        <f>HYPERLINK("http://snap.windin.com/ns/bulletin.php?id=764216&amp;type=1", "明泰铝业:首次公开发行股票招股意向书附录二")</f>
        <v>明泰铝业:首次公开发行股票招股意向书附录二</v>
      </c>
    </row>
    <row r="1375" spans="1:3" x14ac:dyDescent="0.15">
      <c r="A1375" s="1">
        <v>40785</v>
      </c>
      <c r="B1375" t="s">
        <v>274</v>
      </c>
      <c r="C1375" s="2" t="str">
        <f>HYPERLINK("http://snap.windin.com/ns/bulletin.php?id=490012&amp;type=1", "明泰铝业:首次公开发行股票招股意向书")</f>
        <v>明泰铝业:首次公开发行股票招股意向书</v>
      </c>
    </row>
    <row r="1376" spans="1:3" x14ac:dyDescent="0.15">
      <c r="A1376" s="1">
        <v>40785</v>
      </c>
      <c r="B1376" t="s">
        <v>279</v>
      </c>
      <c r="C1376" s="2" t="str">
        <f>HYPERLINK("http://snap.windin.com/ns/bulletin.php?id=121053&amp;type=1", "蒙发利:首次公开发行股票招股说明书摘要")</f>
        <v>蒙发利:首次公开发行股票招股说明书摘要</v>
      </c>
    </row>
    <row r="1377" spans="1:3" x14ac:dyDescent="0.15">
      <c r="A1377" s="1">
        <v>40784</v>
      </c>
      <c r="B1377" t="s">
        <v>283</v>
      </c>
      <c r="C1377" s="2" t="str">
        <f>HYPERLINK("http://snap.windin.com/ns/bulletin.php?id=1932664&amp;type=1", "北玻股份:首次公开发行股票上市公告书")</f>
        <v>北玻股份:首次公开发行股票上市公告书</v>
      </c>
    </row>
    <row r="1378" spans="1:3" x14ac:dyDescent="0.15">
      <c r="A1378" s="1">
        <v>40784</v>
      </c>
      <c r="B1378" t="s">
        <v>284</v>
      </c>
      <c r="C1378" s="2" t="str">
        <f>HYPERLINK("http://snap.windin.com/ns/bulletin.php?id=1931453&amp;type=1", "新天科技:首次公开发行股票并在创业板上市之上市公告书")</f>
        <v>新天科技:首次公开发行股票并在创业板上市之上市公告书</v>
      </c>
    </row>
    <row r="1379" spans="1:3" x14ac:dyDescent="0.15">
      <c r="A1379" s="1">
        <v>40784</v>
      </c>
      <c r="B1379" t="s">
        <v>284</v>
      </c>
      <c r="C1379" s="2" t="str">
        <f>HYPERLINK("http://snap.windin.com/ns/bulletin.php?id=1771989&amp;type=1", "新天科技:首次公开发行股票并在创业板上市公告书提示性公告")</f>
        <v>新天科技:首次公开发行股票并在创业板上市公告书提示性公告</v>
      </c>
    </row>
    <row r="1380" spans="1:3" x14ac:dyDescent="0.15">
      <c r="A1380" s="1">
        <v>40784</v>
      </c>
      <c r="B1380" t="s">
        <v>271</v>
      </c>
      <c r="C1380" s="2" t="str">
        <f>HYPERLINK("http://snap.windin.com/ns/bulletin.php?id=492895&amp;type=1", "东方精工:首次公开发行股票上市公告书")</f>
        <v>东方精工:首次公开发行股票上市公告书</v>
      </c>
    </row>
    <row r="1381" spans="1:3" x14ac:dyDescent="0.15">
      <c r="A1381" s="1">
        <v>40784</v>
      </c>
      <c r="B1381" t="s">
        <v>285</v>
      </c>
      <c r="C1381" s="2" t="str">
        <f>HYPERLINK("http://snap.windin.com/ns/bulletin.php?id=167046&amp;type=1", "朗姿股份:首次公开发行股票上市公告书")</f>
        <v>朗姿股份:首次公开发行股票上市公告书</v>
      </c>
    </row>
    <row r="1382" spans="1:3" x14ac:dyDescent="0.15">
      <c r="A1382" s="1">
        <v>40781</v>
      </c>
      <c r="B1382" t="s">
        <v>277</v>
      </c>
      <c r="C1382" s="2" t="str">
        <f>HYPERLINK("http://snap.windin.com/ns/bulletin.php?id=18448542&amp;type=1", "通光线缆:首次公开发行股票并在创业板上市招股意向书")</f>
        <v>通光线缆:首次公开发行股票并在创业板上市招股意向书</v>
      </c>
    </row>
    <row r="1383" spans="1:3" x14ac:dyDescent="0.15">
      <c r="A1383" s="1">
        <v>40781</v>
      </c>
      <c r="B1383" t="s">
        <v>136</v>
      </c>
      <c r="C1383" s="2" t="str">
        <f>HYPERLINK("http://snap.windin.com/ns/bulletin.php?id=1100918&amp;type=1", "巴安水务:首次公开发行股票并在创业板上市招股意向书")</f>
        <v>巴安水务:首次公开发行股票并在创业板上市招股意向书</v>
      </c>
    </row>
    <row r="1384" spans="1:3" x14ac:dyDescent="0.15">
      <c r="A1384" s="1">
        <v>40781</v>
      </c>
      <c r="B1384" t="s">
        <v>281</v>
      </c>
      <c r="C1384" s="2" t="str">
        <f>HYPERLINK("http://snap.windin.com/ns/bulletin.php?id=986199&amp;type=1", "雅本化学:首次公开发行股票并在创业板上市招股说明书")</f>
        <v>雅本化学:首次公开发行股票并在创业板上市招股说明书</v>
      </c>
    </row>
    <row r="1385" spans="1:3" x14ac:dyDescent="0.15">
      <c r="A1385" s="1">
        <v>40781</v>
      </c>
      <c r="B1385" t="s">
        <v>277</v>
      </c>
      <c r="C1385" s="2" t="str">
        <f>HYPERLINK("http://snap.windin.com/ns/bulletin.php?id=459626&amp;type=1", "通光线缆:首次公开发行股票并在创业板上市招股意向书")</f>
        <v>通光线缆:首次公开发行股票并在创业板上市招股意向书</v>
      </c>
    </row>
    <row r="1386" spans="1:3" x14ac:dyDescent="0.15">
      <c r="A1386" s="1">
        <v>40781</v>
      </c>
      <c r="B1386" t="s">
        <v>275</v>
      </c>
      <c r="C1386" s="2" t="str">
        <f>HYPERLINK("http://snap.windin.com/ns/bulletin.php?id=457272&amp;type=1", "佳创视讯:首次公开发行股票并在创业板上市招股意向书")</f>
        <v>佳创视讯:首次公开发行股票并在创业板上市招股意向书</v>
      </c>
    </row>
    <row r="1387" spans="1:3" x14ac:dyDescent="0.15">
      <c r="A1387" s="1">
        <v>40781</v>
      </c>
      <c r="B1387" t="s">
        <v>276</v>
      </c>
      <c r="C1387" s="2" t="str">
        <f>HYPERLINK("http://snap.windin.com/ns/bulletin.php?id=233970&amp;type=1", "隆华传热:首次公开发行股票并在创业板上市招股意向书")</f>
        <v>隆华传热:首次公开发行股票并在创业板上市招股意向书</v>
      </c>
    </row>
    <row r="1388" spans="1:3" x14ac:dyDescent="0.15">
      <c r="A1388" s="1">
        <v>40780</v>
      </c>
      <c r="B1388" t="s">
        <v>286</v>
      </c>
      <c r="C1388" s="2" t="str">
        <f>HYPERLINK("http://snap.windin.com/ns/bulletin.php?id=1463873&amp;type=1", "精锻科技:首次公开发行股票并在创业板上市之上市公告书")</f>
        <v>精锻科技:首次公开发行股票并在创业板上市之上市公告书</v>
      </c>
    </row>
    <row r="1389" spans="1:3" x14ac:dyDescent="0.15">
      <c r="A1389" s="1">
        <v>40780</v>
      </c>
      <c r="B1389" t="s">
        <v>286</v>
      </c>
      <c r="C1389" s="2" t="str">
        <f>HYPERLINK("http://snap.windin.com/ns/bulletin.php?id=1039117&amp;type=1", "精锻科技:首次公开发行股票并在创业板上市上市公告书提示性公告")</f>
        <v>精锻科技:首次公开发行股票并在创业板上市上市公告书提示性公告</v>
      </c>
    </row>
    <row r="1390" spans="1:3" x14ac:dyDescent="0.15">
      <c r="A1390" s="1">
        <v>40778</v>
      </c>
      <c r="B1390" t="s">
        <v>278</v>
      </c>
      <c r="C1390" s="2" t="str">
        <f>HYPERLINK("http://snap.windin.com/ns/bulletin.php?id=18439130&amp;type=1", "哈尔斯:首次公开发行股票招股意向书")</f>
        <v>哈尔斯:首次公开发行股票招股意向书</v>
      </c>
    </row>
    <row r="1391" spans="1:3" x14ac:dyDescent="0.15">
      <c r="A1391" s="1">
        <v>40778</v>
      </c>
      <c r="B1391" t="s">
        <v>279</v>
      </c>
      <c r="C1391" s="2" t="str">
        <f>HYPERLINK("http://snap.windin.com/ns/bulletin.php?id=1976109&amp;type=1", "蒙发利:首次公开发行股票并上市招股意向书")</f>
        <v>蒙发利:首次公开发行股票并上市招股意向书</v>
      </c>
    </row>
    <row r="1392" spans="1:3" x14ac:dyDescent="0.15">
      <c r="A1392" s="1">
        <v>40778</v>
      </c>
      <c r="B1392" t="s">
        <v>278</v>
      </c>
      <c r="C1392" s="2" t="str">
        <f>HYPERLINK("http://snap.windin.com/ns/bulletin.php?id=418594&amp;type=1", "哈尔斯:首次公开发行股票招股意向书摘要")</f>
        <v>哈尔斯:首次公开发行股票招股意向书摘要</v>
      </c>
    </row>
    <row r="1393" spans="1:3" x14ac:dyDescent="0.15">
      <c r="A1393" s="1">
        <v>40778</v>
      </c>
      <c r="B1393" t="s">
        <v>278</v>
      </c>
      <c r="C1393" s="2" t="str">
        <f>HYPERLINK("http://snap.windin.com/ns/bulletin.php?id=197394&amp;type=1", "哈尔斯:首次公开发行股票招股意向书")</f>
        <v>哈尔斯:首次公开发行股票招股意向书</v>
      </c>
    </row>
    <row r="1394" spans="1:3" x14ac:dyDescent="0.15">
      <c r="A1394" s="1">
        <v>40778</v>
      </c>
      <c r="B1394" t="s">
        <v>279</v>
      </c>
      <c r="C1394" s="2" t="str">
        <f>HYPERLINK("http://snap.windin.com/ns/bulletin.php?id=160393&amp;type=1", "蒙发利:首次公开发行股票并上市招股意向书摘要")</f>
        <v>蒙发利:首次公开发行股票并上市招股意向书摘要</v>
      </c>
    </row>
    <row r="1395" spans="1:3" x14ac:dyDescent="0.15">
      <c r="A1395" s="1">
        <v>40777</v>
      </c>
      <c r="B1395" t="s">
        <v>283</v>
      </c>
      <c r="C1395" s="2" t="str">
        <f>HYPERLINK("http://snap.windin.com/ns/bulletin.php?id=2109245&amp;type=1", "北玻股份:首次公开发行股票招股说明书")</f>
        <v>北玻股份:首次公开发行股票招股说明书</v>
      </c>
    </row>
    <row r="1396" spans="1:3" x14ac:dyDescent="0.15">
      <c r="A1396" s="1">
        <v>40777</v>
      </c>
      <c r="B1396" t="s">
        <v>283</v>
      </c>
      <c r="C1396" s="2" t="str">
        <f>HYPERLINK("http://snap.windin.com/ns/bulletin.php?id=1012548&amp;type=1", "北玻股份:首次公开发行股票招股说明书摘要")</f>
        <v>北玻股份:首次公开发行股票招股说明书摘要</v>
      </c>
    </row>
    <row r="1397" spans="1:3" x14ac:dyDescent="0.15">
      <c r="A1397" s="1">
        <v>40777</v>
      </c>
      <c r="B1397" t="s">
        <v>282</v>
      </c>
      <c r="C1397" s="2" t="str">
        <f>HYPERLINK("http://snap.windin.com/ns/bulletin.php?id=768710&amp;type=1", "新莱应材:首次公开发行股票并在创业板上市招股说明书")</f>
        <v>新莱应材:首次公开发行股票并在创业板上市招股说明书</v>
      </c>
    </row>
    <row r="1398" spans="1:3" x14ac:dyDescent="0.15">
      <c r="A1398" s="1">
        <v>40774</v>
      </c>
      <c r="B1398" t="s">
        <v>281</v>
      </c>
      <c r="C1398" s="2" t="str">
        <f>HYPERLINK("http://snap.windin.com/ns/bulletin.php?id=19405586&amp;type=1", "雅本化学:首次公开发行股票并在创业板上市招股意向书")</f>
        <v>雅本化学:首次公开发行股票并在创业板上市招股意向书</v>
      </c>
    </row>
    <row r="1399" spans="1:3" x14ac:dyDescent="0.15">
      <c r="A1399" s="1">
        <v>40774</v>
      </c>
      <c r="B1399" t="s">
        <v>281</v>
      </c>
      <c r="C1399" s="2" t="str">
        <f>HYPERLINK("http://snap.windin.com/ns/bulletin.php?id=1484036&amp;type=1", "雅本化学:首次公开发行股票并在创业板上市招股意向书")</f>
        <v>雅本化学:首次公开发行股票并在创业板上市招股意向书</v>
      </c>
    </row>
    <row r="1400" spans="1:3" x14ac:dyDescent="0.15">
      <c r="A1400" s="1">
        <v>40773</v>
      </c>
      <c r="B1400" t="s">
        <v>285</v>
      </c>
      <c r="C1400" s="2" t="str">
        <f>HYPERLINK("http://snap.windin.com/ns/bulletin.php?id=1999300&amp;type=1", "朗姿股份:首次公开发行股票招股说明书")</f>
        <v>朗姿股份:首次公开发行股票招股说明书</v>
      </c>
    </row>
    <row r="1401" spans="1:3" x14ac:dyDescent="0.15">
      <c r="A1401" s="1">
        <v>40773</v>
      </c>
      <c r="B1401" t="s">
        <v>287</v>
      </c>
      <c r="C1401" s="2" t="str">
        <f>HYPERLINK("http://snap.windin.com/ns/bulletin.php?id=1969779&amp;type=1", "仟源制药:首次公开发行股票并在创业板上市之上市公告书")</f>
        <v>仟源制药:首次公开发行股票并在创业板上市之上市公告书</v>
      </c>
    </row>
    <row r="1402" spans="1:3" x14ac:dyDescent="0.15">
      <c r="A1402" s="1">
        <v>40773</v>
      </c>
      <c r="B1402" t="s">
        <v>280</v>
      </c>
      <c r="C1402" s="2" t="str">
        <f>HYPERLINK("http://snap.windin.com/ns/bulletin.php?id=1958563&amp;type=1", "京运通:首次公开发行股票（A股）招股意向书附录一")</f>
        <v>京运通:首次公开发行股票（A股）招股意向书附录一</v>
      </c>
    </row>
    <row r="1403" spans="1:3" x14ac:dyDescent="0.15">
      <c r="A1403" s="1">
        <v>40773</v>
      </c>
      <c r="B1403" t="s">
        <v>288</v>
      </c>
      <c r="C1403" s="2" t="str">
        <f>HYPERLINK("http://snap.windin.com/ns/bulletin.php?id=1948283&amp;type=1", "常山药业:首次公开发行股票并在创业板上市公告书提示性公告")</f>
        <v>常山药业:首次公开发行股票并在创业板上市公告书提示性公告</v>
      </c>
    </row>
    <row r="1404" spans="1:3" x14ac:dyDescent="0.15">
      <c r="A1404" s="1">
        <v>40773</v>
      </c>
      <c r="B1404" t="s">
        <v>280</v>
      </c>
      <c r="C1404" s="2" t="str">
        <f>HYPERLINK("http://snap.windin.com/ns/bulletin.php?id=1802947&amp;type=1", "京运通:首次公开发行股票（A股）招股意向书附录二")</f>
        <v>京运通:首次公开发行股票（A股）招股意向书附录二</v>
      </c>
    </row>
    <row r="1405" spans="1:3" x14ac:dyDescent="0.15">
      <c r="A1405" s="1">
        <v>40773</v>
      </c>
      <c r="B1405" t="s">
        <v>280</v>
      </c>
      <c r="C1405" s="2" t="str">
        <f>HYPERLINK("http://snap.windin.com/ns/bulletin.php?id=1654071&amp;type=1", "京运通:首次公开发行股票（A股）招股意向书")</f>
        <v>京运通:首次公开发行股票（A股）招股意向书</v>
      </c>
    </row>
    <row r="1406" spans="1:3" x14ac:dyDescent="0.15">
      <c r="A1406" s="1">
        <v>40773</v>
      </c>
      <c r="B1406" t="s">
        <v>289</v>
      </c>
      <c r="C1406" s="2" t="str">
        <f>HYPERLINK("http://snap.windin.com/ns/bulletin.php?id=1484847&amp;type=1", "开山股份:首次公开发行股票并在创业板上市公告书")</f>
        <v>开山股份:首次公开发行股票并在创业板上市公告书</v>
      </c>
    </row>
    <row r="1407" spans="1:3" x14ac:dyDescent="0.15">
      <c r="A1407" s="1">
        <v>40773</v>
      </c>
      <c r="B1407" t="s">
        <v>285</v>
      </c>
      <c r="C1407" s="2" t="str">
        <f>HYPERLINK("http://snap.windin.com/ns/bulletin.php?id=1473471&amp;type=1", "朗姿股份:首次公开发行股票招股说明书摘要")</f>
        <v>朗姿股份:首次公开发行股票招股说明书摘要</v>
      </c>
    </row>
    <row r="1408" spans="1:3" x14ac:dyDescent="0.15">
      <c r="A1408" s="1">
        <v>40773</v>
      </c>
      <c r="B1408" t="s">
        <v>280</v>
      </c>
      <c r="C1408" s="2" t="str">
        <f>HYPERLINK("http://snap.windin.com/ns/bulletin.php?id=1454749&amp;type=1", "京运通:首次公开发行股票（A股）招股意向书摘要")</f>
        <v>京运通:首次公开发行股票（A股）招股意向书摘要</v>
      </c>
    </row>
    <row r="1409" spans="1:3" x14ac:dyDescent="0.15">
      <c r="A1409" s="1">
        <v>40773</v>
      </c>
      <c r="B1409" t="s">
        <v>289</v>
      </c>
      <c r="C1409" s="2" t="str">
        <f>HYPERLINK("http://snap.windin.com/ns/bulletin.php?id=1083088&amp;type=1", "开山股份:首次公开发行股票并在创业板上市上市公告书提示性公告")</f>
        <v>开山股份:首次公开发行股票并在创业板上市上市公告书提示性公告</v>
      </c>
    </row>
    <row r="1410" spans="1:3" x14ac:dyDescent="0.15">
      <c r="A1410" s="1">
        <v>40773</v>
      </c>
      <c r="B1410" t="s">
        <v>287</v>
      </c>
      <c r="C1410" s="2" t="str">
        <f>HYPERLINK("http://snap.windin.com/ns/bulletin.php?id=757834&amp;type=1", "仟源制药:首次公开发行股票并在创业板上市上市公告书提示性公告")</f>
        <v>仟源制药:首次公开发行股票并在创业板上市上市公告书提示性公告</v>
      </c>
    </row>
    <row r="1411" spans="1:3" x14ac:dyDescent="0.15">
      <c r="A1411" s="1">
        <v>40773</v>
      </c>
      <c r="B1411" t="s">
        <v>288</v>
      </c>
      <c r="C1411" s="2" t="str">
        <f>HYPERLINK("http://snap.windin.com/ns/bulletin.php?id=733466&amp;type=1", "常山药业:首次公开发行股票并在创业板上市公告书")</f>
        <v>常山药业:首次公开发行股票并在创业板上市公告书</v>
      </c>
    </row>
    <row r="1412" spans="1:3" x14ac:dyDescent="0.15">
      <c r="A1412" s="1">
        <v>40773</v>
      </c>
      <c r="B1412" t="s">
        <v>290</v>
      </c>
      <c r="C1412" s="2" t="str">
        <f>HYPERLINK("http://snap.windin.com/ns/bulletin.php?id=732563&amp;type=1", "星星科技:首次公开发行股票并在创业板上市上市公告书")</f>
        <v>星星科技:首次公开发行股票并在创业板上市上市公告书</v>
      </c>
    </row>
    <row r="1413" spans="1:3" x14ac:dyDescent="0.15">
      <c r="A1413" s="1">
        <v>40773</v>
      </c>
      <c r="B1413" t="s">
        <v>290</v>
      </c>
      <c r="C1413" s="2" t="str">
        <f>HYPERLINK("http://snap.windin.com/ns/bulletin.php?id=412735&amp;type=1", "星星科技:首次公开发行股票并在创业板上市上市公告书提示性公告")</f>
        <v>星星科技:首次公开发行股票并在创业板上市上市公告书提示性公告</v>
      </c>
    </row>
    <row r="1414" spans="1:3" x14ac:dyDescent="0.15">
      <c r="A1414" s="1">
        <v>40772</v>
      </c>
      <c r="B1414" t="s">
        <v>291</v>
      </c>
      <c r="C1414" s="2" t="str">
        <f>HYPERLINK("http://snap.windin.com/ns/bulletin.php?id=2016831&amp;type=1", "江河幕墙:首次公开发行A股股票上市公告书")</f>
        <v>江河幕墙:首次公开发行A股股票上市公告书</v>
      </c>
    </row>
    <row r="1415" spans="1:3" x14ac:dyDescent="0.15">
      <c r="A1415" s="1">
        <v>40772</v>
      </c>
      <c r="B1415" t="s">
        <v>292</v>
      </c>
      <c r="C1415" s="2" t="str">
        <f>HYPERLINK("http://snap.windin.com/ns/bulletin.php?id=1150762&amp;type=1", "金信诺:首次公开发行股票并在创业板上市上市公告书提示性公告")</f>
        <v>金信诺:首次公开发行股票并在创业板上市上市公告书提示性公告</v>
      </c>
    </row>
    <row r="1416" spans="1:3" x14ac:dyDescent="0.15">
      <c r="A1416" s="1">
        <v>40772</v>
      </c>
      <c r="B1416" t="s">
        <v>293</v>
      </c>
      <c r="C1416" s="2" t="str">
        <f>HYPERLINK("http://snap.windin.com/ns/bulletin.php?id=1142277&amp;type=1", "卫宁软件:首次公开发行股票并在创业板上市公告书提示性公告")</f>
        <v>卫宁软件:首次公开发行股票并在创业板上市公告书提示性公告</v>
      </c>
    </row>
    <row r="1417" spans="1:3" x14ac:dyDescent="0.15">
      <c r="A1417" s="1">
        <v>40772</v>
      </c>
      <c r="B1417" t="s">
        <v>284</v>
      </c>
      <c r="C1417" s="2" t="str">
        <f>HYPERLINK("http://snap.windin.com/ns/bulletin.php?id=834511&amp;type=1", "新天科技:首次公开发行股票并在创业板上市招股说明书")</f>
        <v>新天科技:首次公开发行股票并在创业板上市招股说明书</v>
      </c>
    </row>
    <row r="1418" spans="1:3" x14ac:dyDescent="0.15">
      <c r="A1418" s="1">
        <v>40772</v>
      </c>
      <c r="B1418" t="s">
        <v>291</v>
      </c>
      <c r="C1418" s="2" t="str">
        <f>HYPERLINK("http://snap.windin.com/ns/bulletin.php?id=504358&amp;type=1", "江河幕墙:首次公开发行A股股票招股说明书")</f>
        <v>江河幕墙:首次公开发行A股股票招股说明书</v>
      </c>
    </row>
    <row r="1419" spans="1:3" x14ac:dyDescent="0.15">
      <c r="A1419" s="1">
        <v>40772</v>
      </c>
      <c r="B1419" t="s">
        <v>293</v>
      </c>
      <c r="C1419" s="2" t="str">
        <f>HYPERLINK("http://snap.windin.com/ns/bulletin.php?id=479905&amp;type=1", "卫宁软件:首次公开发行股票并在创业板上市之上市公告书")</f>
        <v>卫宁软件:首次公开发行股票并在创业板上市之上市公告书</v>
      </c>
    </row>
    <row r="1420" spans="1:3" x14ac:dyDescent="0.15">
      <c r="A1420" s="1">
        <v>40772</v>
      </c>
      <c r="B1420" t="s">
        <v>292</v>
      </c>
      <c r="C1420" s="2" t="str">
        <f>HYPERLINK("http://snap.windin.com/ns/bulletin.php?id=192868&amp;type=1", "金信诺:首次公开发行股票并在创业板上市公告书")</f>
        <v>金信诺:首次公开发行股票并在创业板上市公告书</v>
      </c>
    </row>
    <row r="1421" spans="1:3" x14ac:dyDescent="0.15">
      <c r="A1421" s="1">
        <v>40771</v>
      </c>
      <c r="B1421" t="s">
        <v>271</v>
      </c>
      <c r="C1421" s="2" t="str">
        <f>HYPERLINK("http://snap.windin.com/ns/bulletin.php?id=1714058&amp;type=1", "东方精工:首次公开发行股票招股说明书摘要")</f>
        <v>东方精工:首次公开发行股票招股说明书摘要</v>
      </c>
    </row>
    <row r="1422" spans="1:3" x14ac:dyDescent="0.15">
      <c r="A1422" s="1">
        <v>40771</v>
      </c>
      <c r="B1422" t="s">
        <v>271</v>
      </c>
      <c r="C1422" s="2" t="str">
        <f>HYPERLINK("http://snap.windin.com/ns/bulletin.php?id=1574061&amp;type=1", "东方精工:首次公开发行股票招股说明书")</f>
        <v>东方精工:首次公开发行股票招股说明书</v>
      </c>
    </row>
    <row r="1423" spans="1:3" x14ac:dyDescent="0.15">
      <c r="A1423" s="1">
        <v>40771</v>
      </c>
      <c r="B1423" t="s">
        <v>286</v>
      </c>
      <c r="C1423" s="2" t="str">
        <f>HYPERLINK("http://snap.windin.com/ns/bulletin.php?id=1553493&amp;type=1", "精锻科技:首次公开发行股票并在创业板上市招股说明书")</f>
        <v>精锻科技:首次公开发行股票并在创业板上市招股说明书</v>
      </c>
    </row>
    <row r="1424" spans="1:3" x14ac:dyDescent="0.15">
      <c r="A1424" s="1">
        <v>40770</v>
      </c>
      <c r="B1424" t="s">
        <v>283</v>
      </c>
      <c r="C1424" s="2" t="str">
        <f>HYPERLINK("http://snap.windin.com/ns/bulletin.php?id=18642594&amp;type=1", "北玻股份:首次公开发行股票招股意向书")</f>
        <v>北玻股份:首次公开发行股票招股意向书</v>
      </c>
    </row>
    <row r="1425" spans="1:3" x14ac:dyDescent="0.15">
      <c r="A1425" s="1">
        <v>40770</v>
      </c>
      <c r="B1425" t="s">
        <v>283</v>
      </c>
      <c r="C1425" s="2" t="str">
        <f>HYPERLINK("http://snap.windin.com/ns/bulletin.php?id=1836843&amp;type=1", "北玻股份:首次公开发行股票招股意向书")</f>
        <v>北玻股份:首次公开发行股票招股意向书</v>
      </c>
    </row>
    <row r="1426" spans="1:3" x14ac:dyDescent="0.15">
      <c r="A1426" s="1">
        <v>40770</v>
      </c>
      <c r="B1426" t="s">
        <v>283</v>
      </c>
      <c r="C1426" s="2" t="str">
        <f>HYPERLINK("http://snap.windin.com/ns/bulletin.php?id=1588546&amp;type=1", "北玻股份:首次公开发行股票招股意向书摘要")</f>
        <v>北玻股份:首次公开发行股票招股意向书摘要</v>
      </c>
    </row>
    <row r="1427" spans="1:3" x14ac:dyDescent="0.15">
      <c r="A1427" s="1">
        <v>40770</v>
      </c>
      <c r="B1427" t="s">
        <v>294</v>
      </c>
      <c r="C1427" s="2" t="str">
        <f>HYPERLINK("http://snap.windin.com/ns/bulletin.php?id=713781&amp;type=1", "宁波建工:首次公开发行A股股票上市公告书")</f>
        <v>宁波建工:首次公开发行A股股票上市公告书</v>
      </c>
    </row>
    <row r="1428" spans="1:3" x14ac:dyDescent="0.15">
      <c r="A1428" s="1">
        <v>40770</v>
      </c>
      <c r="B1428" t="s">
        <v>294</v>
      </c>
      <c r="C1428" s="2" t="str">
        <f>HYPERLINK("http://snap.windin.com/ns/bulletin.php?id=541030&amp;type=1", "宁波建工:首次公开发行股票招股说明书")</f>
        <v>宁波建工:首次公开发行股票招股说明书</v>
      </c>
    </row>
    <row r="1429" spans="1:3" x14ac:dyDescent="0.15">
      <c r="A1429" s="1">
        <v>40767</v>
      </c>
      <c r="B1429" t="s">
        <v>282</v>
      </c>
      <c r="C1429" s="2" t="str">
        <f>HYPERLINK("http://snap.windin.com/ns/bulletin.php?id=18862768&amp;type=1", "新莱应材:首次公开发行股票并在创业板上市招股意向书")</f>
        <v>新莱应材:首次公开发行股票并在创业板上市招股意向书</v>
      </c>
    </row>
    <row r="1430" spans="1:3" x14ac:dyDescent="0.15">
      <c r="A1430" s="1">
        <v>40767</v>
      </c>
      <c r="B1430" t="s">
        <v>295</v>
      </c>
      <c r="C1430" s="2" t="str">
        <f>HYPERLINK("http://snap.windin.com/ns/bulletin.php?id=714899&amp;type=1", "捷顺科技:首次公开发行股票上市公告书")</f>
        <v>捷顺科技:首次公开发行股票上市公告书</v>
      </c>
    </row>
    <row r="1431" spans="1:3" x14ac:dyDescent="0.15">
      <c r="A1431" s="1">
        <v>40767</v>
      </c>
      <c r="B1431" t="s">
        <v>296</v>
      </c>
      <c r="C1431" s="2" t="str">
        <f>HYPERLINK("http://snap.windin.com/ns/bulletin.php?id=207086&amp;type=1", "爱康科技:首次公开发行股票上市公告书")</f>
        <v>爱康科技:首次公开发行股票上市公告书</v>
      </c>
    </row>
    <row r="1432" spans="1:3" x14ac:dyDescent="0.15">
      <c r="A1432" s="1">
        <v>40767</v>
      </c>
      <c r="B1432" t="s">
        <v>282</v>
      </c>
      <c r="C1432" s="2" t="str">
        <f>HYPERLINK("http://snap.windin.com/ns/bulletin.php?id=96084&amp;type=1", "新莱应材:首次公开发行股票并在创业板上市招股意向书")</f>
        <v>新莱应材:首次公开发行股票并在创业板上市招股意向书</v>
      </c>
    </row>
    <row r="1433" spans="1:3" x14ac:dyDescent="0.15">
      <c r="A1433" s="1">
        <v>40766</v>
      </c>
      <c r="B1433" t="s">
        <v>285</v>
      </c>
      <c r="C1433" s="2" t="str">
        <f>HYPERLINK("http://snap.windin.com/ns/bulletin.php?id=19375290&amp;type=1", "朗姿股份:首次公开发行股票招股意向书")</f>
        <v>朗姿股份:首次公开发行股票招股意向书</v>
      </c>
    </row>
    <row r="1434" spans="1:3" x14ac:dyDescent="0.15">
      <c r="A1434" s="1">
        <v>40766</v>
      </c>
      <c r="B1434" t="s">
        <v>297</v>
      </c>
      <c r="C1434" s="2" t="str">
        <f>HYPERLINK("http://snap.windin.com/ns/bulletin.php?id=1499455&amp;type=1", "旗滨集团:首次公开发行A股股票上市公告书")</f>
        <v>旗滨集团:首次公开发行A股股票上市公告书</v>
      </c>
    </row>
    <row r="1435" spans="1:3" x14ac:dyDescent="0.15">
      <c r="A1435" s="1">
        <v>40766</v>
      </c>
      <c r="B1435" t="s">
        <v>285</v>
      </c>
      <c r="C1435" s="2" t="str">
        <f>HYPERLINK("http://snap.windin.com/ns/bulletin.php?id=669958&amp;type=1", "朗姿股份:首次公开发行股票招股意向书摘要")</f>
        <v>朗姿股份:首次公开发行股票招股意向书摘要</v>
      </c>
    </row>
    <row r="1436" spans="1:3" x14ac:dyDescent="0.15">
      <c r="A1436" s="1">
        <v>40766</v>
      </c>
      <c r="B1436" t="s">
        <v>285</v>
      </c>
      <c r="C1436" s="2" t="str">
        <f>HYPERLINK("http://snap.windin.com/ns/bulletin.php?id=497868&amp;type=1", "朗姿股份:首次公开发行股票招股意向书")</f>
        <v>朗姿股份:首次公开发行股票招股意向书</v>
      </c>
    </row>
    <row r="1437" spans="1:3" x14ac:dyDescent="0.15">
      <c r="A1437" s="1">
        <v>40766</v>
      </c>
      <c r="B1437" t="s">
        <v>297</v>
      </c>
      <c r="C1437" s="2" t="str">
        <f>HYPERLINK("http://snap.windin.com/ns/bulletin.php?id=96903&amp;type=1", "旗滨集团:首次公开发行股票招股说明书")</f>
        <v>旗滨集团:首次公开发行股票招股说明书</v>
      </c>
    </row>
    <row r="1438" spans="1:3" x14ac:dyDescent="0.15">
      <c r="A1438" s="1">
        <v>40764</v>
      </c>
      <c r="B1438" t="s">
        <v>298</v>
      </c>
      <c r="C1438" s="2" t="str">
        <f>HYPERLINK("http://snap.windin.com/ns/bulletin.php?id=1300533&amp;type=1", "舜天船舶:首次公开发行股票上市公告书")</f>
        <v>舜天船舶:首次公开发行股票上市公告书</v>
      </c>
    </row>
    <row r="1439" spans="1:3" x14ac:dyDescent="0.15">
      <c r="A1439" s="1">
        <v>40764</v>
      </c>
      <c r="B1439" t="s">
        <v>299</v>
      </c>
      <c r="C1439" s="2" t="str">
        <f>HYPERLINK("http://snap.windin.com/ns/bulletin.php?id=1060328&amp;type=1", "方正证券:首次公开发行A股股票招股说明书")</f>
        <v>方正证券:首次公开发行A股股票招股说明书</v>
      </c>
    </row>
    <row r="1440" spans="1:3" x14ac:dyDescent="0.15">
      <c r="A1440" s="1">
        <v>40764</v>
      </c>
      <c r="B1440" t="s">
        <v>300</v>
      </c>
      <c r="C1440" s="2" t="str">
        <f>HYPERLINK("http://snap.windin.com/ns/bulletin.php?id=1044488&amp;type=1", "亚夏汽车:首次公开发行股票上市公告书")</f>
        <v>亚夏汽车:首次公开发行股票上市公告书</v>
      </c>
    </row>
    <row r="1441" spans="1:3" x14ac:dyDescent="0.15">
      <c r="A1441" s="1">
        <v>40764</v>
      </c>
      <c r="B1441" t="s">
        <v>299</v>
      </c>
      <c r="C1441" s="2" t="str">
        <f>HYPERLINK("http://snap.windin.com/ns/bulletin.php?id=486071&amp;type=1", "方正证券:首次公开发行A股股票上市公告书")</f>
        <v>方正证券:首次公开发行A股股票上市公告书</v>
      </c>
    </row>
    <row r="1442" spans="1:3" x14ac:dyDescent="0.15">
      <c r="A1442" s="1">
        <v>40763</v>
      </c>
      <c r="B1442" t="s">
        <v>289</v>
      </c>
      <c r="C1442" s="2" t="str">
        <f>HYPERLINK("http://snap.windin.com/ns/bulletin.php?id=1273270&amp;type=1", "开山股份:首次公开发行股票并在创业板上市招股说明书")</f>
        <v>开山股份:首次公开发行股票并在创业板上市招股说明书</v>
      </c>
    </row>
    <row r="1443" spans="1:3" x14ac:dyDescent="0.15">
      <c r="A1443" s="1">
        <v>40760</v>
      </c>
      <c r="B1443" t="s">
        <v>271</v>
      </c>
      <c r="C1443" s="2" t="str">
        <f>HYPERLINK("http://snap.windin.com/ns/bulletin.php?id=1884331&amp;type=1", "东方精工:首次公开发行股票招股意向书")</f>
        <v>东方精工:首次公开发行股票招股意向书</v>
      </c>
    </row>
    <row r="1444" spans="1:3" x14ac:dyDescent="0.15">
      <c r="A1444" s="1">
        <v>40760</v>
      </c>
      <c r="B1444" t="s">
        <v>271</v>
      </c>
      <c r="C1444" s="2" t="str">
        <f>HYPERLINK("http://snap.windin.com/ns/bulletin.php?id=1268789&amp;type=1", "东方精工:首次公开发行股票招股意向书摘要")</f>
        <v>东方精工:首次公开发行股票招股意向书摘要</v>
      </c>
    </row>
    <row r="1445" spans="1:3" x14ac:dyDescent="0.15">
      <c r="A1445" s="1">
        <v>40760</v>
      </c>
      <c r="B1445" t="s">
        <v>287</v>
      </c>
      <c r="C1445" s="2" t="str">
        <f>HYPERLINK("http://snap.windin.com/ns/bulletin.php?id=1140891&amp;type=1", "仟源制药:首次公开发行股票并在创业板上市招股说明书")</f>
        <v>仟源制药:首次公开发行股票并在创业板上市招股说明书</v>
      </c>
    </row>
    <row r="1446" spans="1:3" x14ac:dyDescent="0.15">
      <c r="A1446" s="1">
        <v>40760</v>
      </c>
      <c r="B1446" t="s">
        <v>286</v>
      </c>
      <c r="C1446" s="2" t="str">
        <f>HYPERLINK("http://snap.windin.com/ns/bulletin.php?id=929637&amp;type=1", "精锻科技:首次公开发行股票并在创业板上市招股意向书")</f>
        <v>精锻科技:首次公开发行股票并在创业板上市招股意向书</v>
      </c>
    </row>
    <row r="1447" spans="1:3" x14ac:dyDescent="0.15">
      <c r="A1447" s="1">
        <v>40760</v>
      </c>
      <c r="B1447" t="s">
        <v>288</v>
      </c>
      <c r="C1447" s="2" t="str">
        <f>HYPERLINK("http://snap.windin.com/ns/bulletin.php?id=850186&amp;type=1", "常山药业:首次公开发行股票并在创业板上市招股说明书")</f>
        <v>常山药业:首次公开发行股票并在创业板上市招股说明书</v>
      </c>
    </row>
    <row r="1448" spans="1:3" x14ac:dyDescent="0.15">
      <c r="A1448" s="1">
        <v>40760</v>
      </c>
      <c r="B1448" t="s">
        <v>284</v>
      </c>
      <c r="C1448" s="2" t="str">
        <f>HYPERLINK("http://snap.windin.com/ns/bulletin.php?id=605341&amp;type=1", "新天科技:首次公开发行股票并在创业板上市招股意向书")</f>
        <v>新天科技:首次公开发行股票并在创业板上市招股意向书</v>
      </c>
    </row>
    <row r="1449" spans="1:3" x14ac:dyDescent="0.15">
      <c r="A1449" s="1">
        <v>40760</v>
      </c>
      <c r="B1449" t="s">
        <v>301</v>
      </c>
      <c r="C1449" s="2" t="str">
        <f>HYPERLINK("http://snap.windin.com/ns/bulletin.php?id=572488&amp;type=1", "林洋电子:首次公开发行A股股票上市公告书")</f>
        <v>林洋电子:首次公开发行A股股票上市公告书</v>
      </c>
    </row>
    <row r="1450" spans="1:3" x14ac:dyDescent="0.15">
      <c r="A1450" s="1">
        <v>40760</v>
      </c>
      <c r="B1450" t="s">
        <v>290</v>
      </c>
      <c r="C1450" s="2" t="str">
        <f>HYPERLINK("http://snap.windin.com/ns/bulletin.php?id=488897&amp;type=1", "星星科技:首次公开发行股票并在创业板上市招股说明书")</f>
        <v>星星科技:首次公开发行股票并在创业板上市招股说明书</v>
      </c>
    </row>
    <row r="1451" spans="1:3" x14ac:dyDescent="0.15">
      <c r="A1451" s="1">
        <v>40760</v>
      </c>
      <c r="B1451" t="s">
        <v>301</v>
      </c>
      <c r="C1451" s="2" t="str">
        <f>HYPERLINK("http://snap.windin.com/ns/bulletin.php?id=202751&amp;type=1", "林洋电子:首次公开发行股票招股说明书")</f>
        <v>林洋电子:首次公开发行股票招股说明书</v>
      </c>
    </row>
    <row r="1452" spans="1:3" x14ac:dyDescent="0.15">
      <c r="A1452" s="1">
        <v>40759</v>
      </c>
      <c r="B1452" t="s">
        <v>302</v>
      </c>
      <c r="C1452" s="2" t="str">
        <f>HYPERLINK("http://snap.windin.com/ns/bulletin.php?id=2102786&amp;type=1", "姚记扑克:首次公开发行股票上市公告书")</f>
        <v>姚记扑克:首次公开发行股票上市公告书</v>
      </c>
    </row>
    <row r="1453" spans="1:3" x14ac:dyDescent="0.15">
      <c r="A1453" s="1">
        <v>40759</v>
      </c>
      <c r="B1453" t="s">
        <v>293</v>
      </c>
      <c r="C1453" s="2" t="str">
        <f>HYPERLINK("http://snap.windin.com/ns/bulletin.php?id=1001075&amp;type=1", "卫宁软件:首次公开发行股票并在创业板上市招股说明书")</f>
        <v>卫宁软件:首次公开发行股票并在创业板上市招股说明书</v>
      </c>
    </row>
    <row r="1454" spans="1:3" x14ac:dyDescent="0.15">
      <c r="A1454" s="1">
        <v>40759</v>
      </c>
      <c r="B1454" t="s">
        <v>303</v>
      </c>
      <c r="C1454" s="2" t="str">
        <f>HYPERLINK("http://snap.windin.com/ns/bulletin.php?id=120708&amp;type=1", "大连电瓷:首次公开发行股票上市公告书")</f>
        <v>大连电瓷:首次公开发行股票上市公告书</v>
      </c>
    </row>
    <row r="1455" spans="1:3" x14ac:dyDescent="0.15">
      <c r="A1455" s="1">
        <v>40757</v>
      </c>
      <c r="B1455" t="s">
        <v>296</v>
      </c>
      <c r="C1455" s="2" t="str">
        <f>HYPERLINK("http://snap.windin.com/ns/bulletin.php?id=2058050&amp;type=1", "爱康科技:首次公开发行股票招股说明书")</f>
        <v>爱康科技:首次公开发行股票招股说明书</v>
      </c>
    </row>
    <row r="1456" spans="1:3" x14ac:dyDescent="0.15">
      <c r="A1456" s="1">
        <v>40757</v>
      </c>
      <c r="B1456" t="s">
        <v>304</v>
      </c>
      <c r="C1456" s="2" t="str">
        <f>HYPERLINK("http://snap.windin.com/ns/bulletin.php?id=1869753&amp;type=1", "初灵信息:首次公开发行股票并在创业板上市上市公告书提示性公告")</f>
        <v>初灵信息:首次公开发行股票并在创业板上市上市公告书提示性公告</v>
      </c>
    </row>
    <row r="1457" spans="1:3" x14ac:dyDescent="0.15">
      <c r="A1457" s="1">
        <v>40757</v>
      </c>
      <c r="B1457" t="s">
        <v>305</v>
      </c>
      <c r="C1457" s="2" t="str">
        <f>HYPERLINK("http://snap.windin.com/ns/bulletin.php?id=1845971&amp;type=1", "依米康:首次公开发行股票并在创业板上市上市公告书提示性公告")</f>
        <v>依米康:首次公开发行股票并在创业板上市上市公告书提示性公告</v>
      </c>
    </row>
    <row r="1458" spans="1:3" x14ac:dyDescent="0.15">
      <c r="A1458" s="1">
        <v>40757</v>
      </c>
      <c r="B1458" t="s">
        <v>295</v>
      </c>
      <c r="C1458" s="2" t="str">
        <f>HYPERLINK("http://snap.windin.com/ns/bulletin.php?id=1715272&amp;type=1", "捷顺科技:首次公开发行股票招股说明书")</f>
        <v>捷顺科技:首次公开发行股票招股说明书</v>
      </c>
    </row>
    <row r="1459" spans="1:3" x14ac:dyDescent="0.15">
      <c r="A1459" s="1">
        <v>40757</v>
      </c>
      <c r="B1459" t="s">
        <v>306</v>
      </c>
      <c r="C1459" s="2" t="str">
        <f>HYPERLINK("http://snap.windin.com/ns/bulletin.php?id=1276011&amp;type=1", "光线传媒:首次公开发行股票并在创业板上市公告书")</f>
        <v>光线传媒:首次公开发行股票并在创业板上市公告书</v>
      </c>
    </row>
    <row r="1460" spans="1:3" x14ac:dyDescent="0.15">
      <c r="A1460" s="1">
        <v>40757</v>
      </c>
      <c r="B1460" t="s">
        <v>296</v>
      </c>
      <c r="C1460" s="2" t="str">
        <f>HYPERLINK("http://snap.windin.com/ns/bulletin.php?id=1056485&amp;type=1", "爱康科技:首次公开发行股票招股说明书摘要")</f>
        <v>爱康科技:首次公开发行股票招股说明书摘要</v>
      </c>
    </row>
    <row r="1461" spans="1:3" x14ac:dyDescent="0.15">
      <c r="A1461" s="1">
        <v>40757</v>
      </c>
      <c r="B1461" t="s">
        <v>295</v>
      </c>
      <c r="C1461" s="2" t="str">
        <f>HYPERLINK("http://snap.windin.com/ns/bulletin.php?id=597191&amp;type=1", "捷顺科技:首次公开发行股票招股说明书摘要")</f>
        <v>捷顺科技:首次公开发行股票招股说明书摘要</v>
      </c>
    </row>
    <row r="1462" spans="1:3" x14ac:dyDescent="0.15">
      <c r="A1462" s="1">
        <v>40757</v>
      </c>
      <c r="B1462" t="s">
        <v>305</v>
      </c>
      <c r="C1462" s="2" t="str">
        <f>HYPERLINK("http://snap.windin.com/ns/bulletin.php?id=479801&amp;type=1", "依米康:首次公开发行股票并在创业板上市之上市公告书")</f>
        <v>依米康:首次公开发行股票并在创业板上市之上市公告书</v>
      </c>
    </row>
    <row r="1463" spans="1:3" x14ac:dyDescent="0.15">
      <c r="A1463" s="1">
        <v>40757</v>
      </c>
      <c r="B1463" t="s">
        <v>306</v>
      </c>
      <c r="C1463" s="2" t="str">
        <f>HYPERLINK("http://snap.windin.com/ns/bulletin.php?id=459752&amp;type=1", "光线传媒:首次公开发行股票并在创业板上市上市公告书提示性公告")</f>
        <v>光线传媒:首次公开发行股票并在创业板上市上市公告书提示性公告</v>
      </c>
    </row>
    <row r="1464" spans="1:3" x14ac:dyDescent="0.15">
      <c r="A1464" s="1">
        <v>40757</v>
      </c>
      <c r="B1464" t="s">
        <v>304</v>
      </c>
      <c r="C1464" s="2" t="str">
        <f>HYPERLINK("http://snap.windin.com/ns/bulletin.php?id=103760&amp;type=1", "初灵信息:首次公开发行股票并在创业板上市上市公告书")</f>
        <v>初灵信息:首次公开发行股票并在创业板上市上市公告书</v>
      </c>
    </row>
    <row r="1465" spans="1:3" x14ac:dyDescent="0.15">
      <c r="A1465" s="1">
        <v>40756</v>
      </c>
      <c r="B1465" t="s">
        <v>298</v>
      </c>
      <c r="C1465" s="2" t="str">
        <f>HYPERLINK("http://snap.windin.com/ns/bulletin.php?id=414930&amp;type=1", "舜天船舶:首次公开发行股票招股说明书摘要")</f>
        <v>舜天船舶:首次公开发行股票招股说明书摘要</v>
      </c>
    </row>
    <row r="1466" spans="1:3" x14ac:dyDescent="0.15">
      <c r="A1466" s="1">
        <v>40756</v>
      </c>
      <c r="B1466" t="s">
        <v>298</v>
      </c>
      <c r="C1466" s="2" t="str">
        <f>HYPERLINK("http://snap.windin.com/ns/bulletin.php?id=181049&amp;type=1", "舜天船舶:首次公开发行股票招股说明书")</f>
        <v>舜天船舶:首次公开发行股票招股说明书</v>
      </c>
    </row>
    <row r="1467" spans="1:3" x14ac:dyDescent="0.15">
      <c r="A1467" s="1">
        <v>40753</v>
      </c>
      <c r="B1467" t="s">
        <v>290</v>
      </c>
      <c r="C1467" s="2" t="str">
        <f>HYPERLINK("http://snap.windin.com/ns/bulletin.php?id=19289808&amp;type=1", "星星科技:首次公开发行股票并在创业板上市招股意向书")</f>
        <v>星星科技:首次公开发行股票并在创业板上市招股意向书</v>
      </c>
    </row>
    <row r="1468" spans="1:3" x14ac:dyDescent="0.15">
      <c r="A1468" s="1">
        <v>40753</v>
      </c>
      <c r="B1468" t="s">
        <v>288</v>
      </c>
      <c r="C1468" s="2" t="str">
        <f>HYPERLINK("http://snap.windin.com/ns/bulletin.php?id=18594632&amp;type=1", "常山药业:首次公开发行股票并在创业板上市招股意向书")</f>
        <v>常山药业:首次公开发行股票并在创业板上市招股意向书</v>
      </c>
    </row>
    <row r="1469" spans="1:3" x14ac:dyDescent="0.15">
      <c r="A1469" s="1">
        <v>40753</v>
      </c>
      <c r="B1469" t="s">
        <v>289</v>
      </c>
      <c r="C1469" s="2" t="str">
        <f>HYPERLINK("http://snap.windin.com/ns/bulletin.php?id=18569520&amp;type=1", "开山股份:首次公开发行股票并在创业板上市招股意向书")</f>
        <v>开山股份:首次公开发行股票并在创业板上市招股意向书</v>
      </c>
    </row>
    <row r="1470" spans="1:3" x14ac:dyDescent="0.15">
      <c r="A1470" s="1">
        <v>40753</v>
      </c>
      <c r="B1470" t="s">
        <v>289</v>
      </c>
      <c r="C1470" s="2" t="str">
        <f>HYPERLINK("http://snap.windin.com/ns/bulletin.php?id=18553784&amp;type=1", "开山股份:首次公开发行股票并在创业板上市招股意向书")</f>
        <v>开山股份:首次公开发行股票并在创业板上市招股意向书</v>
      </c>
    </row>
    <row r="1471" spans="1:3" x14ac:dyDescent="0.15">
      <c r="A1471" s="1">
        <v>40753</v>
      </c>
      <c r="B1471" t="s">
        <v>287</v>
      </c>
      <c r="C1471" s="2" t="str">
        <f>HYPERLINK("http://snap.windin.com/ns/bulletin.php?id=18546682&amp;type=1", "仟源制药:首次公开发行股票并在创业板上市招股意向书")</f>
        <v>仟源制药:首次公开发行股票并在创业板上市招股意向书</v>
      </c>
    </row>
    <row r="1472" spans="1:3" x14ac:dyDescent="0.15">
      <c r="A1472" s="1">
        <v>40753</v>
      </c>
      <c r="B1472" t="s">
        <v>289</v>
      </c>
      <c r="C1472" s="2" t="str">
        <f>HYPERLINK("http://snap.windin.com/ns/bulletin.php?id=2019206&amp;type=1", "开山股份:首次公开发行股票并在创业板上市招股意向书")</f>
        <v>开山股份:首次公开发行股票并在创业板上市招股意向书</v>
      </c>
    </row>
    <row r="1473" spans="1:3" x14ac:dyDescent="0.15">
      <c r="A1473" s="1">
        <v>40753</v>
      </c>
      <c r="B1473" t="s">
        <v>288</v>
      </c>
      <c r="C1473" s="2" t="str">
        <f>HYPERLINK("http://snap.windin.com/ns/bulletin.php?id=1418790&amp;type=1", "常山药业:首次公开发行股票并在创业板上市招股意向书")</f>
        <v>常山药业:首次公开发行股票并在创业板上市招股意向书</v>
      </c>
    </row>
    <row r="1474" spans="1:3" x14ac:dyDescent="0.15">
      <c r="A1474" s="1">
        <v>40753</v>
      </c>
      <c r="B1474" t="s">
        <v>292</v>
      </c>
      <c r="C1474" s="2" t="str">
        <f>HYPERLINK("http://snap.windin.com/ns/bulletin.php?id=1210201&amp;type=1", "金信诺:首次公开发行股票并在创业板上市招股说明书")</f>
        <v>金信诺:首次公开发行股票并在创业板上市招股说明书</v>
      </c>
    </row>
    <row r="1475" spans="1:3" x14ac:dyDescent="0.15">
      <c r="A1475" s="1">
        <v>40753</v>
      </c>
      <c r="B1475" t="s">
        <v>287</v>
      </c>
      <c r="C1475" s="2" t="str">
        <f>HYPERLINK("http://snap.windin.com/ns/bulletin.php?id=846483&amp;type=1", "仟源制药:首次公开发行股票并在创业板上市招股意向书")</f>
        <v>仟源制药:首次公开发行股票并在创业板上市招股意向书</v>
      </c>
    </row>
    <row r="1476" spans="1:3" x14ac:dyDescent="0.15">
      <c r="A1476" s="1">
        <v>40753</v>
      </c>
      <c r="B1476" t="s">
        <v>290</v>
      </c>
      <c r="C1476" s="2" t="str">
        <f>HYPERLINK("http://snap.windin.com/ns/bulletin.php?id=585067&amp;type=1", "星星科技:首次公开发行股票并在创业板上市招股意向书")</f>
        <v>星星科技:首次公开发行股票并在创业板上市招股意向书</v>
      </c>
    </row>
    <row r="1477" spans="1:3" x14ac:dyDescent="0.15">
      <c r="A1477" s="1">
        <v>40752</v>
      </c>
      <c r="B1477" t="s">
        <v>307</v>
      </c>
      <c r="C1477" s="2" t="str">
        <f>HYPERLINK("http://snap.windin.com/ns/bulletin.php?id=2123644&amp;type=1", "桑乐金:首次公开发行股票并在创业板上市公告书")</f>
        <v>桑乐金:首次公开发行股票并在创业板上市公告书</v>
      </c>
    </row>
    <row r="1478" spans="1:3" x14ac:dyDescent="0.15">
      <c r="A1478" s="1">
        <v>40752</v>
      </c>
      <c r="B1478" t="s">
        <v>291</v>
      </c>
      <c r="C1478" s="2" t="str">
        <f>HYPERLINK("http://snap.windin.com/ns/bulletin.php?id=1812628&amp;type=1", "江河幕墙:首次公开发行股票招股意向书附录一")</f>
        <v>江河幕墙:首次公开发行股票招股意向书附录一</v>
      </c>
    </row>
    <row r="1479" spans="1:3" x14ac:dyDescent="0.15">
      <c r="A1479" s="1">
        <v>40752</v>
      </c>
      <c r="B1479" t="s">
        <v>291</v>
      </c>
      <c r="C1479" s="2" t="str">
        <f>HYPERLINK("http://snap.windin.com/ns/bulletin.php?id=1719973&amp;type=1", "江河幕墙:首次公开发行股票招股意向书附录二")</f>
        <v>江河幕墙:首次公开发行股票招股意向书附录二</v>
      </c>
    </row>
    <row r="1480" spans="1:3" x14ac:dyDescent="0.15">
      <c r="A1480" s="1">
        <v>40752</v>
      </c>
      <c r="B1480" t="s">
        <v>291</v>
      </c>
      <c r="C1480" s="2" t="str">
        <f>HYPERLINK("http://snap.windin.com/ns/bulletin.php?id=1431168&amp;type=1", "江河幕墙:首次公开发行股票招股意向书附录四")</f>
        <v>江河幕墙:首次公开发行股票招股意向书附录四</v>
      </c>
    </row>
    <row r="1481" spans="1:3" x14ac:dyDescent="0.15">
      <c r="A1481" s="1">
        <v>40752</v>
      </c>
      <c r="B1481" t="s">
        <v>291</v>
      </c>
      <c r="C1481" s="2" t="str">
        <f>HYPERLINK("http://snap.windin.com/ns/bulletin.php?id=1320470&amp;type=1", "江河幕墙:首次公开发行A股股票招股意向书摘要")</f>
        <v>江河幕墙:首次公开发行A股股票招股意向书摘要</v>
      </c>
    </row>
    <row r="1482" spans="1:3" x14ac:dyDescent="0.15">
      <c r="A1482" s="1">
        <v>40752</v>
      </c>
      <c r="B1482" t="s">
        <v>308</v>
      </c>
      <c r="C1482" s="2" t="str">
        <f>HYPERLINK("http://snap.windin.com/ns/bulletin.php?id=1301296&amp;type=1", "新开普:首次公开发行股票并在创业板上市公告书提示性公告")</f>
        <v>新开普:首次公开发行股票并在创业板上市公告书提示性公告</v>
      </c>
    </row>
    <row r="1483" spans="1:3" x14ac:dyDescent="0.15">
      <c r="A1483" s="1">
        <v>40752</v>
      </c>
      <c r="B1483" t="s">
        <v>291</v>
      </c>
      <c r="C1483" s="2" t="str">
        <f>HYPERLINK("http://snap.windin.com/ns/bulletin.php?id=1154885&amp;type=1", "江河幕墙:首次公开发行股票招股意向书附录三")</f>
        <v>江河幕墙:首次公开发行股票招股意向书附录三</v>
      </c>
    </row>
    <row r="1484" spans="1:3" x14ac:dyDescent="0.15">
      <c r="A1484" s="1">
        <v>40752</v>
      </c>
      <c r="B1484" t="s">
        <v>308</v>
      </c>
      <c r="C1484" s="2" t="str">
        <f>HYPERLINK("http://snap.windin.com/ns/bulletin.php?id=1136947&amp;type=1", "新开普:首次公开发行股票并在创业板上市之上市公告书")</f>
        <v>新开普:首次公开发行股票并在创业板上市之上市公告书</v>
      </c>
    </row>
    <row r="1485" spans="1:3" x14ac:dyDescent="0.15">
      <c r="A1485" s="1">
        <v>40752</v>
      </c>
      <c r="B1485" t="s">
        <v>300</v>
      </c>
      <c r="C1485" s="2" t="str">
        <f>HYPERLINK("http://snap.windin.com/ns/bulletin.php?id=1136036&amp;type=1", "亚夏汽车:首次公开发行股票招股说明书摘要")</f>
        <v>亚夏汽车:首次公开发行股票招股说明书摘要</v>
      </c>
    </row>
    <row r="1486" spans="1:3" x14ac:dyDescent="0.15">
      <c r="A1486" s="1">
        <v>40752</v>
      </c>
      <c r="B1486" t="s">
        <v>291</v>
      </c>
      <c r="C1486" s="2" t="str">
        <f>HYPERLINK("http://snap.windin.com/ns/bulletin.php?id=579993&amp;type=1", "江河幕墙:首次公开发行A股股票招股意向书")</f>
        <v>江河幕墙:首次公开发行A股股票招股意向书</v>
      </c>
    </row>
    <row r="1487" spans="1:3" x14ac:dyDescent="0.15">
      <c r="A1487" s="1">
        <v>40752</v>
      </c>
      <c r="B1487" t="s">
        <v>300</v>
      </c>
      <c r="C1487" s="2" t="str">
        <f>HYPERLINK("http://snap.windin.com/ns/bulletin.php?id=488527&amp;type=1", "亚夏汽车:首次公开发行股票招股说明书")</f>
        <v>亚夏汽车:首次公开发行股票招股说明书</v>
      </c>
    </row>
    <row r="1488" spans="1:3" x14ac:dyDescent="0.15">
      <c r="A1488" s="1">
        <v>40752</v>
      </c>
      <c r="B1488" t="s">
        <v>307</v>
      </c>
      <c r="C1488" s="2" t="str">
        <f>HYPERLINK("http://snap.windin.com/ns/bulletin.php?id=149384&amp;type=1", "桑乐金:首次公开发行股票并在创业板上市公告书提示性公告")</f>
        <v>桑乐金:首次公开发行股票并在创业板上市公告书提示性公告</v>
      </c>
    </row>
    <row r="1489" spans="1:3" x14ac:dyDescent="0.15">
      <c r="A1489" s="1">
        <v>40751</v>
      </c>
      <c r="B1489" t="s">
        <v>293</v>
      </c>
      <c r="C1489" s="2" t="str">
        <f>HYPERLINK("http://snap.windin.com/ns/bulletin.php?id=18807672&amp;type=1", "卫宁软件:首次公开发行股票并在创业板上市招股意向书")</f>
        <v>卫宁软件:首次公开发行股票并在创业板上市招股意向书</v>
      </c>
    </row>
    <row r="1490" spans="1:3" x14ac:dyDescent="0.15">
      <c r="A1490" s="1">
        <v>40751</v>
      </c>
      <c r="B1490" t="s">
        <v>303</v>
      </c>
      <c r="C1490" s="2" t="str">
        <f>HYPERLINK("http://snap.windin.com/ns/bulletin.php?id=2113685&amp;type=1", "大连电瓷:首次公开发行股票招股说明书")</f>
        <v>大连电瓷:首次公开发行股票招股说明书</v>
      </c>
    </row>
    <row r="1491" spans="1:3" x14ac:dyDescent="0.15">
      <c r="A1491" s="1">
        <v>40751</v>
      </c>
      <c r="B1491" t="s">
        <v>309</v>
      </c>
      <c r="C1491" s="2" t="str">
        <f>HYPERLINK("http://snap.windin.com/ns/bulletin.php?id=1865842&amp;type=1", "以岭药业:首次公开发行股票上市公告书")</f>
        <v>以岭药业:首次公开发行股票上市公告书</v>
      </c>
    </row>
    <row r="1492" spans="1:3" x14ac:dyDescent="0.15">
      <c r="A1492" s="1">
        <v>40751</v>
      </c>
      <c r="B1492" t="s">
        <v>310</v>
      </c>
      <c r="C1492" s="2" t="str">
        <f>HYPERLINK("http://snap.windin.com/ns/bulletin.php?id=1818716&amp;type=1", "世纪华通:首次公开发行股票上市公告书")</f>
        <v>世纪华通:首次公开发行股票上市公告书</v>
      </c>
    </row>
    <row r="1493" spans="1:3" x14ac:dyDescent="0.15">
      <c r="A1493" s="1">
        <v>40751</v>
      </c>
      <c r="B1493" t="s">
        <v>294</v>
      </c>
      <c r="C1493" s="2" t="str">
        <f>HYPERLINK("http://snap.windin.com/ns/bulletin.php?id=1693119&amp;type=1", "宁波建工:首次公开发行A股招股意向书附录一")</f>
        <v>宁波建工:首次公开发行A股招股意向书附录一</v>
      </c>
    </row>
    <row r="1494" spans="1:3" x14ac:dyDescent="0.15">
      <c r="A1494" s="1">
        <v>40751</v>
      </c>
      <c r="B1494" t="s">
        <v>311</v>
      </c>
      <c r="C1494" s="2" t="str">
        <f>HYPERLINK("http://snap.windin.com/ns/bulletin.php?id=1658817&amp;type=1", "龙力生物:首次公开发行股票上市公告书")</f>
        <v>龙力生物:首次公开发行股票上市公告书</v>
      </c>
    </row>
    <row r="1495" spans="1:3" x14ac:dyDescent="0.15">
      <c r="A1495" s="1">
        <v>40751</v>
      </c>
      <c r="B1495" t="s">
        <v>294</v>
      </c>
      <c r="C1495" s="2" t="str">
        <f>HYPERLINK("http://snap.windin.com/ns/bulletin.php?id=1390923&amp;type=1", "宁波建工:首次公开发行A股招股意向书附录二")</f>
        <v>宁波建工:首次公开发行A股招股意向书附录二</v>
      </c>
    </row>
    <row r="1496" spans="1:3" x14ac:dyDescent="0.15">
      <c r="A1496" s="1">
        <v>40751</v>
      </c>
      <c r="B1496" t="s">
        <v>293</v>
      </c>
      <c r="C1496" s="2" t="str">
        <f>HYPERLINK("http://snap.windin.com/ns/bulletin.php?id=962103&amp;type=1", "卫宁软件:首次公开发行股票并在创业板上市招股意向书")</f>
        <v>卫宁软件:首次公开发行股票并在创业板上市招股意向书</v>
      </c>
    </row>
    <row r="1497" spans="1:3" x14ac:dyDescent="0.15">
      <c r="A1497" s="1">
        <v>40751</v>
      </c>
      <c r="B1497" t="s">
        <v>294</v>
      </c>
      <c r="C1497" s="2" t="str">
        <f>HYPERLINK("http://snap.windin.com/ns/bulletin.php?id=658459&amp;type=1", "宁波建工:首次公开发行股票招股意向书")</f>
        <v>宁波建工:首次公开发行股票招股意向书</v>
      </c>
    </row>
    <row r="1498" spans="1:3" x14ac:dyDescent="0.15">
      <c r="A1498" s="1">
        <v>40751</v>
      </c>
      <c r="B1498" t="s">
        <v>303</v>
      </c>
      <c r="C1498" s="2" t="str">
        <f>HYPERLINK("http://snap.windin.com/ns/bulletin.php?id=463564&amp;type=1", "大连电瓷:首次公开发行股票招股说明书摘要")</f>
        <v>大连电瓷:首次公开发行股票招股说明书摘要</v>
      </c>
    </row>
    <row r="1499" spans="1:3" x14ac:dyDescent="0.15">
      <c r="A1499" s="1">
        <v>40751</v>
      </c>
      <c r="B1499" t="s">
        <v>294</v>
      </c>
      <c r="C1499" s="2" t="str">
        <f>HYPERLINK("http://snap.windin.com/ns/bulletin.php?id=436663&amp;type=1", "宁波建工:首次公开发行股票招股意向书摘要")</f>
        <v>宁波建工:首次公开发行股票招股意向书摘要</v>
      </c>
    </row>
    <row r="1500" spans="1:3" x14ac:dyDescent="0.15">
      <c r="A1500" s="1">
        <v>40751</v>
      </c>
      <c r="B1500" t="s">
        <v>294</v>
      </c>
      <c r="C1500" s="2" t="str">
        <f>HYPERLINK("http://snap.windin.com/ns/bulletin.php?id=139219&amp;type=1", "宁波建工:首次公开发行A股招股意向书附录三")</f>
        <v>宁波建工:首次公开发行A股招股意向书附录三</v>
      </c>
    </row>
    <row r="1501" spans="1:3" x14ac:dyDescent="0.15">
      <c r="A1501" s="1">
        <v>40750</v>
      </c>
      <c r="B1501" t="s">
        <v>296</v>
      </c>
      <c r="C1501" s="2" t="str">
        <f>HYPERLINK("http://snap.windin.com/ns/bulletin.php?id=18663600&amp;type=1", "爱康科技:首次公开发行股票招股意向书")</f>
        <v>爱康科技:首次公开发行股票招股意向书</v>
      </c>
    </row>
    <row r="1502" spans="1:3" x14ac:dyDescent="0.15">
      <c r="A1502" s="1">
        <v>40750</v>
      </c>
      <c r="B1502" t="s">
        <v>296</v>
      </c>
      <c r="C1502" s="2" t="str">
        <f>HYPERLINK("http://snap.windin.com/ns/bulletin.php?id=1069847&amp;type=1", "爱康科技:首次公开发行股票招股意向书")</f>
        <v>爱康科技:首次公开发行股票招股意向书</v>
      </c>
    </row>
    <row r="1503" spans="1:3" x14ac:dyDescent="0.15">
      <c r="A1503" s="1">
        <v>40750</v>
      </c>
      <c r="B1503" t="s">
        <v>296</v>
      </c>
      <c r="C1503" s="2" t="str">
        <f>HYPERLINK("http://snap.windin.com/ns/bulletin.php?id=589575&amp;type=1", "爱康科技:首次公开发行股票招股意向书摘要")</f>
        <v>爱康科技:首次公开发行股票招股意向书摘要</v>
      </c>
    </row>
    <row r="1504" spans="1:3" x14ac:dyDescent="0.15">
      <c r="A1504" s="1">
        <v>40749</v>
      </c>
      <c r="B1504" t="s">
        <v>298</v>
      </c>
      <c r="C1504" s="2" t="str">
        <f>HYPERLINK("http://snap.windin.com/ns/bulletin.php?id=19172020&amp;type=1", "舜天船舶:首次公开发行股票招股意向书")</f>
        <v>舜天船舶:首次公开发行股票招股意向书</v>
      </c>
    </row>
    <row r="1505" spans="1:3" x14ac:dyDescent="0.15">
      <c r="A1505" s="1">
        <v>40749</v>
      </c>
      <c r="B1505" t="s">
        <v>295</v>
      </c>
      <c r="C1505" s="2" t="str">
        <f>HYPERLINK("http://snap.windin.com/ns/bulletin.php?id=18694800&amp;type=1", "捷顺科技:首次公开发行股票招股意向书")</f>
        <v>捷顺科技:首次公开发行股票招股意向书</v>
      </c>
    </row>
    <row r="1506" spans="1:3" x14ac:dyDescent="0.15">
      <c r="A1506" s="1">
        <v>40749</v>
      </c>
      <c r="B1506" t="s">
        <v>297</v>
      </c>
      <c r="C1506" s="2" t="str">
        <f>HYPERLINK("http://snap.windin.com/ns/bulletin.php?id=2101087&amp;type=1", "旗滨集团:首次公开发行股票招股意向书摘要")</f>
        <v>旗滨集团:首次公开发行股票招股意向书摘要</v>
      </c>
    </row>
    <row r="1507" spans="1:3" x14ac:dyDescent="0.15">
      <c r="A1507" s="1">
        <v>40749</v>
      </c>
      <c r="B1507" t="s">
        <v>295</v>
      </c>
      <c r="C1507" s="2" t="str">
        <f>HYPERLINK("http://snap.windin.com/ns/bulletin.php?id=2077301&amp;type=1", "捷顺科技:首次公开发行股票招股意向书摘要")</f>
        <v>捷顺科技:首次公开发行股票招股意向书摘要</v>
      </c>
    </row>
    <row r="1508" spans="1:3" x14ac:dyDescent="0.15">
      <c r="A1508" s="1">
        <v>40749</v>
      </c>
      <c r="B1508" t="s">
        <v>298</v>
      </c>
      <c r="C1508" s="2" t="str">
        <f>HYPERLINK("http://snap.windin.com/ns/bulletin.php?id=1708787&amp;type=1", "舜天船舶:首次公开发行股票招股意向书摘要")</f>
        <v>舜天船舶:首次公开发行股票招股意向书摘要</v>
      </c>
    </row>
    <row r="1509" spans="1:3" x14ac:dyDescent="0.15">
      <c r="A1509" s="1">
        <v>40749</v>
      </c>
      <c r="B1509" t="s">
        <v>297</v>
      </c>
      <c r="C1509" s="2" t="str">
        <f>HYPERLINK("http://snap.windin.com/ns/bulletin.php?id=1370662&amp;type=1", "旗滨集团:首次公开发行股票并上市招股意向书附录")</f>
        <v>旗滨集团:首次公开发行股票并上市招股意向书附录</v>
      </c>
    </row>
    <row r="1510" spans="1:3" x14ac:dyDescent="0.15">
      <c r="A1510" s="1">
        <v>40749</v>
      </c>
      <c r="B1510" t="s">
        <v>302</v>
      </c>
      <c r="C1510" s="2" t="str">
        <f>HYPERLINK("http://snap.windin.com/ns/bulletin.php?id=1160669&amp;type=1", "姚记扑克:首次公开发行股票招股说明书")</f>
        <v>姚记扑克:首次公开发行股票招股说明书</v>
      </c>
    </row>
    <row r="1511" spans="1:3" x14ac:dyDescent="0.15">
      <c r="A1511" s="1">
        <v>40749</v>
      </c>
      <c r="B1511" t="s">
        <v>298</v>
      </c>
      <c r="C1511" s="2" t="str">
        <f>HYPERLINK("http://snap.windin.com/ns/bulletin.php?id=927635&amp;type=1", "舜天船舶:首次公开发行股票招股意向书")</f>
        <v>舜天船舶:首次公开发行股票招股意向书</v>
      </c>
    </row>
    <row r="1512" spans="1:3" x14ac:dyDescent="0.15">
      <c r="A1512" s="1">
        <v>40749</v>
      </c>
      <c r="B1512" t="s">
        <v>295</v>
      </c>
      <c r="C1512" s="2" t="str">
        <f>HYPERLINK("http://snap.windin.com/ns/bulletin.php?id=548367&amp;type=1", "捷顺科技:首次公开发行股票招股意向书")</f>
        <v>捷顺科技:首次公开发行股票招股意向书</v>
      </c>
    </row>
    <row r="1513" spans="1:3" x14ac:dyDescent="0.15">
      <c r="A1513" s="1">
        <v>40749</v>
      </c>
      <c r="B1513" t="s">
        <v>306</v>
      </c>
      <c r="C1513" s="2" t="str">
        <f>HYPERLINK("http://snap.windin.com/ns/bulletin.php?id=479594&amp;type=1", "光线传媒:首次公开发行股票并在创业板上市招股说明书")</f>
        <v>光线传媒:首次公开发行股票并在创业板上市招股说明书</v>
      </c>
    </row>
    <row r="1514" spans="1:3" x14ac:dyDescent="0.15">
      <c r="A1514" s="1">
        <v>40749</v>
      </c>
      <c r="B1514" t="s">
        <v>297</v>
      </c>
      <c r="C1514" s="2" t="str">
        <f>HYPERLINK("http://snap.windin.com/ns/bulletin.php?id=468105&amp;type=1", "旗滨集团:首次公开发行股票招股意向书")</f>
        <v>旗滨集团:首次公开发行股票招股意向书</v>
      </c>
    </row>
    <row r="1515" spans="1:3" x14ac:dyDescent="0.15">
      <c r="A1515" s="1">
        <v>40746</v>
      </c>
      <c r="B1515" t="s">
        <v>292</v>
      </c>
      <c r="C1515" s="2" t="str">
        <f>HYPERLINK("http://snap.windin.com/ns/bulletin.php?id=18533640&amp;type=1", "金信诺:首次公开发行股票并在创业板上市招股意向书")</f>
        <v>金信诺:首次公开发行股票并在创业板上市招股意向书</v>
      </c>
    </row>
    <row r="1516" spans="1:3" x14ac:dyDescent="0.15">
      <c r="A1516" s="1">
        <v>40746</v>
      </c>
      <c r="B1516" t="s">
        <v>292</v>
      </c>
      <c r="C1516" s="2" t="str">
        <f>HYPERLINK("http://snap.windin.com/ns/bulletin.php?id=1802323&amp;type=1", "金信诺:首次公开发行股票并在创业板上市招股意向书")</f>
        <v>金信诺:首次公开发行股票并在创业板上市招股意向书</v>
      </c>
    </row>
    <row r="1517" spans="1:3" x14ac:dyDescent="0.15">
      <c r="A1517" s="1">
        <v>40746</v>
      </c>
      <c r="B1517" t="s">
        <v>305</v>
      </c>
      <c r="C1517" s="2" t="str">
        <f>HYPERLINK("http://snap.windin.com/ns/bulletin.php?id=1771394&amp;type=1", "依米康:首次公开发行股票并在创业板上市招股说明书")</f>
        <v>依米康:首次公开发行股票并在创业板上市招股说明书</v>
      </c>
    </row>
    <row r="1518" spans="1:3" x14ac:dyDescent="0.15">
      <c r="A1518" s="1">
        <v>40746</v>
      </c>
      <c r="B1518" t="s">
        <v>304</v>
      </c>
      <c r="C1518" s="2" t="str">
        <f>HYPERLINK("http://snap.windin.com/ns/bulletin.php?id=800070&amp;type=1", "初灵信息:首次公开发行股票并在创业板上市招股说明书")</f>
        <v>初灵信息:首次公开发行股票并在创业板上市招股说明书</v>
      </c>
    </row>
    <row r="1519" spans="1:3" x14ac:dyDescent="0.15">
      <c r="A1519" s="1">
        <v>40745</v>
      </c>
      <c r="B1519" t="s">
        <v>300</v>
      </c>
      <c r="C1519" s="2" t="str">
        <f>HYPERLINK("http://snap.windin.com/ns/bulletin.php?id=1662088&amp;type=1", "亚夏汽车:首次公开发行股票招股意向书摘要")</f>
        <v>亚夏汽车:首次公开发行股票招股意向书摘要</v>
      </c>
    </row>
    <row r="1520" spans="1:3" x14ac:dyDescent="0.15">
      <c r="A1520" s="1">
        <v>40745</v>
      </c>
      <c r="B1520" t="s">
        <v>301</v>
      </c>
      <c r="C1520" s="2" t="str">
        <f>HYPERLINK("http://snap.windin.com/ns/bulletin.php?id=1516834&amp;type=1", "林洋电子:首次公开发行股票招股意向书摘要")</f>
        <v>林洋电子:首次公开发行股票招股意向书摘要</v>
      </c>
    </row>
    <row r="1521" spans="1:3" x14ac:dyDescent="0.15">
      <c r="A1521" s="1">
        <v>40745</v>
      </c>
      <c r="B1521" t="s">
        <v>299</v>
      </c>
      <c r="C1521" s="2" t="str">
        <f>HYPERLINK("http://snap.windin.com/ns/bulletin.php?id=1501852&amp;type=1", "方正证券:首次公开发行股票招股意向书附录三")</f>
        <v>方正证券:首次公开发行股票招股意向书附录三</v>
      </c>
    </row>
    <row r="1522" spans="1:3" x14ac:dyDescent="0.15">
      <c r="A1522" s="1">
        <v>40745</v>
      </c>
      <c r="B1522" t="s">
        <v>299</v>
      </c>
      <c r="C1522" s="2" t="str">
        <f>HYPERLINK("http://snap.windin.com/ns/bulletin.php?id=1461233&amp;type=1", "方正证券:首次公开发行A股股票招股意向书摘要")</f>
        <v>方正证券:首次公开发行A股股票招股意向书摘要</v>
      </c>
    </row>
    <row r="1523" spans="1:3" x14ac:dyDescent="0.15">
      <c r="A1523" s="1">
        <v>40745</v>
      </c>
      <c r="B1523" t="s">
        <v>299</v>
      </c>
      <c r="C1523" s="2" t="str">
        <f>HYPERLINK("http://snap.windin.com/ns/bulletin.php?id=1265060&amp;type=1", "方正证券:首次公开发行A股股票招股意向书")</f>
        <v>方正证券:首次公开发行A股股票招股意向书</v>
      </c>
    </row>
    <row r="1524" spans="1:3" x14ac:dyDescent="0.15">
      <c r="A1524" s="1">
        <v>40745</v>
      </c>
      <c r="B1524" t="s">
        <v>299</v>
      </c>
      <c r="C1524" s="2" t="str">
        <f>HYPERLINK("http://snap.windin.com/ns/bulletin.php?id=1173339&amp;type=1", "方正证券:首次公开发行股票招股意向书附录二")</f>
        <v>方正证券:首次公开发行股票招股意向书附录二</v>
      </c>
    </row>
    <row r="1525" spans="1:3" x14ac:dyDescent="0.15">
      <c r="A1525" s="1">
        <v>40745</v>
      </c>
      <c r="B1525" t="s">
        <v>300</v>
      </c>
      <c r="C1525" s="2" t="str">
        <f>HYPERLINK("http://snap.windin.com/ns/bulletin.php?id=976917&amp;type=1", "亚夏汽车:首次公开发行股票招股意向书")</f>
        <v>亚夏汽车:首次公开发行股票招股意向书</v>
      </c>
    </row>
    <row r="1526" spans="1:3" x14ac:dyDescent="0.15">
      <c r="A1526" s="1">
        <v>40745</v>
      </c>
      <c r="B1526" t="s">
        <v>301</v>
      </c>
      <c r="C1526" s="2" t="str">
        <f>HYPERLINK("http://snap.windin.com/ns/bulletin.php?id=514012&amp;type=1", "林洋电子:首次公开发行股票招股意向书附录")</f>
        <v>林洋电子:首次公开发行股票招股意向书附录</v>
      </c>
    </row>
    <row r="1527" spans="1:3" x14ac:dyDescent="0.15">
      <c r="A1527" s="1">
        <v>40745</v>
      </c>
      <c r="B1527" t="s">
        <v>301</v>
      </c>
      <c r="C1527" s="2" t="str">
        <f>HYPERLINK("http://snap.windin.com/ns/bulletin.php?id=91317&amp;type=1", "林洋电子:首次公开发行股票招股意向书")</f>
        <v>林洋电子:首次公开发行股票招股意向书</v>
      </c>
    </row>
    <row r="1528" spans="1:3" x14ac:dyDescent="0.15">
      <c r="A1528" s="1">
        <v>40745</v>
      </c>
      <c r="B1528" t="s">
        <v>299</v>
      </c>
      <c r="C1528" s="2" t="str">
        <f>HYPERLINK("http://snap.windin.com/ns/bulletin.php?id=85748&amp;type=1", "方正证券:首次公开发行股票招股意向书附录一")</f>
        <v>方正证券:首次公开发行股票招股意向书附录一</v>
      </c>
    </row>
    <row r="1529" spans="1:3" x14ac:dyDescent="0.15">
      <c r="A1529" s="1">
        <v>40743</v>
      </c>
      <c r="B1529" t="s">
        <v>311</v>
      </c>
      <c r="C1529" s="2" t="str">
        <f>HYPERLINK("http://snap.windin.com/ns/bulletin.php?id=2079212&amp;type=1", "龙力生物:首次公开发行股票招股说明书摘要")</f>
        <v>龙力生物:首次公开发行股票招股说明书摘要</v>
      </c>
    </row>
    <row r="1530" spans="1:3" x14ac:dyDescent="0.15">
      <c r="A1530" s="1">
        <v>40743</v>
      </c>
      <c r="B1530" t="s">
        <v>308</v>
      </c>
      <c r="C1530" s="2" t="str">
        <f>HYPERLINK("http://snap.windin.com/ns/bulletin.php?id=1684979&amp;type=1", "新开普:首次公开发行股票并在创业板上市招股说明书")</f>
        <v>新开普:首次公开发行股票并在创业板上市招股说明书</v>
      </c>
    </row>
    <row r="1531" spans="1:3" x14ac:dyDescent="0.15">
      <c r="A1531" s="1">
        <v>40743</v>
      </c>
      <c r="B1531" t="s">
        <v>311</v>
      </c>
      <c r="C1531" s="2" t="str">
        <f>HYPERLINK("http://snap.windin.com/ns/bulletin.php?id=133222&amp;type=1", "龙力生物:首次公开发行股票招股说明书")</f>
        <v>龙力生物:首次公开发行股票招股说明书</v>
      </c>
    </row>
    <row r="1532" spans="1:3" x14ac:dyDescent="0.15">
      <c r="A1532" s="1">
        <v>40742</v>
      </c>
      <c r="B1532" t="s">
        <v>303</v>
      </c>
      <c r="C1532" s="2" t="str">
        <f>HYPERLINK("http://snap.windin.com/ns/bulletin.php?id=18561106&amp;type=1", "大连电瓷:首次公开发行股票招股意向书")</f>
        <v>大连电瓷:首次公开发行股票招股意向书</v>
      </c>
    </row>
    <row r="1533" spans="1:3" x14ac:dyDescent="0.15">
      <c r="A1533" s="1">
        <v>40742</v>
      </c>
      <c r="B1533" t="s">
        <v>303</v>
      </c>
      <c r="C1533" s="2" t="str">
        <f>HYPERLINK("http://snap.windin.com/ns/bulletin.php?id=18494774&amp;type=1", "大连电瓷:首次公开发行股票招股意向书")</f>
        <v>大连电瓷:首次公开发行股票招股意向书</v>
      </c>
    </row>
    <row r="1534" spans="1:3" x14ac:dyDescent="0.15">
      <c r="A1534" s="1">
        <v>40742</v>
      </c>
      <c r="B1534" t="s">
        <v>312</v>
      </c>
      <c r="C1534" s="2" t="str">
        <f>HYPERLINK("http://snap.windin.com/ns/bulletin.php?id=1966035&amp;type=1", "宝莱特:首次公开发行股票并在创业板上市公告书")</f>
        <v>宝莱特:首次公开发行股票并在创业板上市公告书</v>
      </c>
    </row>
    <row r="1535" spans="1:3" x14ac:dyDescent="0.15">
      <c r="A1535" s="1">
        <v>40742</v>
      </c>
      <c r="B1535" t="s">
        <v>309</v>
      </c>
      <c r="C1535" s="2" t="str">
        <f>HYPERLINK("http://snap.windin.com/ns/bulletin.php?id=1627233&amp;type=1", "以岭药业:首次公开发行股票（A股）招股说明书")</f>
        <v>以岭药业:首次公开发行股票（A股）招股说明书</v>
      </c>
    </row>
    <row r="1536" spans="1:3" x14ac:dyDescent="0.15">
      <c r="A1536" s="1">
        <v>40742</v>
      </c>
      <c r="B1536" t="s">
        <v>302</v>
      </c>
      <c r="C1536" s="2" t="str">
        <f>HYPERLINK("http://snap.windin.com/ns/bulletin.php?id=1613556&amp;type=1", "姚记扑克:首次公开发行股票招股意向书")</f>
        <v>姚记扑克:首次公开发行股票招股意向书</v>
      </c>
    </row>
    <row r="1537" spans="1:3" x14ac:dyDescent="0.15">
      <c r="A1537" s="1">
        <v>40742</v>
      </c>
      <c r="B1537" t="s">
        <v>313</v>
      </c>
      <c r="C1537" s="2" t="str">
        <f>HYPERLINK("http://snap.windin.com/ns/bulletin.php?id=1332365&amp;type=1", "天玑科技:首次公开发行股票并在创业板上市上市公告书提示性公告")</f>
        <v>天玑科技:首次公开发行股票并在创业板上市上市公告书提示性公告</v>
      </c>
    </row>
    <row r="1538" spans="1:3" x14ac:dyDescent="0.15">
      <c r="A1538" s="1">
        <v>40742</v>
      </c>
      <c r="B1538" t="s">
        <v>303</v>
      </c>
      <c r="C1538" s="2" t="str">
        <f>HYPERLINK("http://snap.windin.com/ns/bulletin.php?id=1156695&amp;type=1", "大连电瓷:首次公开发行股票招股意向书")</f>
        <v>大连电瓷:首次公开发行股票招股意向书</v>
      </c>
    </row>
    <row r="1539" spans="1:3" x14ac:dyDescent="0.15">
      <c r="A1539" s="1">
        <v>40742</v>
      </c>
      <c r="B1539" t="s">
        <v>303</v>
      </c>
      <c r="C1539" s="2" t="str">
        <f>HYPERLINK("http://snap.windin.com/ns/bulletin.php?id=864667&amp;type=1", "大连电瓷:首次公开发行股票招股意向书摘要")</f>
        <v>大连电瓷:首次公开发行股票招股意向书摘要</v>
      </c>
    </row>
    <row r="1540" spans="1:3" x14ac:dyDescent="0.15">
      <c r="A1540" s="1">
        <v>40742</v>
      </c>
      <c r="B1540" t="s">
        <v>314</v>
      </c>
      <c r="C1540" s="2" t="str">
        <f>HYPERLINK("http://snap.windin.com/ns/bulletin.php?id=566695&amp;type=1", "迪安诊断:首次公开发行股票并在创业板上市公告书提示性公告")</f>
        <v>迪安诊断:首次公开发行股票并在创业板上市公告书提示性公告</v>
      </c>
    </row>
    <row r="1541" spans="1:3" x14ac:dyDescent="0.15">
      <c r="A1541" s="1">
        <v>40742</v>
      </c>
      <c r="B1541" t="s">
        <v>314</v>
      </c>
      <c r="C1541" s="2" t="str">
        <f>HYPERLINK("http://snap.windin.com/ns/bulletin.php?id=459279&amp;type=1", "迪安诊断:首次公开发行股票并在创业板上市上市公告书")</f>
        <v>迪安诊断:首次公开发行股票并在创业板上市上市公告书</v>
      </c>
    </row>
    <row r="1542" spans="1:3" x14ac:dyDescent="0.15">
      <c r="A1542" s="1">
        <v>40742</v>
      </c>
      <c r="B1542" t="s">
        <v>313</v>
      </c>
      <c r="C1542" s="2" t="str">
        <f>HYPERLINK("http://snap.windin.com/ns/bulletin.php?id=431455&amp;type=1", "天玑科技:首次公开发行股票并在创业板上市上市公告书")</f>
        <v>天玑科技:首次公开发行股票并在创业板上市上市公告书</v>
      </c>
    </row>
    <row r="1543" spans="1:3" x14ac:dyDescent="0.15">
      <c r="A1543" s="1">
        <v>40742</v>
      </c>
      <c r="B1543" t="s">
        <v>312</v>
      </c>
      <c r="C1543" s="2" t="str">
        <f>HYPERLINK("http://snap.windin.com/ns/bulletin.php?id=408982&amp;type=1", "宝莱特:首次公开发行股票并在创业板上市公告书提示性公告")</f>
        <v>宝莱特:首次公开发行股票并在创业板上市公告书提示性公告</v>
      </c>
    </row>
    <row r="1544" spans="1:3" x14ac:dyDescent="0.15">
      <c r="A1544" s="1">
        <v>40742</v>
      </c>
      <c r="B1544" t="s">
        <v>302</v>
      </c>
      <c r="C1544" s="2" t="str">
        <f>HYPERLINK("http://snap.windin.com/ns/bulletin.php?id=243284&amp;type=1", "姚记扑克:首次公开发行股票招股意向书摘要")</f>
        <v>姚记扑克:首次公开发行股票招股意向书摘要</v>
      </c>
    </row>
    <row r="1545" spans="1:3" x14ac:dyDescent="0.15">
      <c r="A1545" s="1">
        <v>40742</v>
      </c>
      <c r="B1545" t="s">
        <v>309</v>
      </c>
      <c r="C1545" s="2" t="str">
        <f>HYPERLINK("http://snap.windin.com/ns/bulletin.php?id=186311&amp;type=1", "以岭药业:首次公开发行股票（A股）招股说明书摘要")</f>
        <v>以岭药业:首次公开发行股票（A股）招股说明书摘要</v>
      </c>
    </row>
    <row r="1546" spans="1:3" x14ac:dyDescent="0.15">
      <c r="A1546" s="1">
        <v>40739</v>
      </c>
      <c r="B1546" t="s">
        <v>304</v>
      </c>
      <c r="C1546" s="2" t="str">
        <f>HYPERLINK("http://snap.windin.com/ns/bulletin.php?id=19027610&amp;type=1", "初灵信息:首次公开发行股票并在创业板上市招股意向书")</f>
        <v>初灵信息:首次公开发行股票并在创业板上市招股意向书</v>
      </c>
    </row>
    <row r="1547" spans="1:3" x14ac:dyDescent="0.15">
      <c r="A1547" s="1">
        <v>40739</v>
      </c>
      <c r="B1547" t="s">
        <v>304</v>
      </c>
      <c r="C1547" s="2" t="str">
        <f>HYPERLINK("http://snap.windin.com/ns/bulletin.php?id=18567946&amp;type=1", "初灵信息:首次公开发行股票并在创业板上市招股意向书")</f>
        <v>初灵信息:首次公开发行股票并在创业板上市招股意向书</v>
      </c>
    </row>
    <row r="1548" spans="1:3" x14ac:dyDescent="0.15">
      <c r="A1548" s="1">
        <v>40739</v>
      </c>
      <c r="B1548" t="s">
        <v>306</v>
      </c>
      <c r="C1548" s="2" t="str">
        <f>HYPERLINK("http://snap.windin.com/ns/bulletin.php?id=18409718&amp;type=1", "光线传媒:首次公开发行股票并在创业板上市招股意向书")</f>
        <v>光线传媒:首次公开发行股票并在创业板上市招股意向书</v>
      </c>
    </row>
    <row r="1549" spans="1:3" x14ac:dyDescent="0.15">
      <c r="A1549" s="1">
        <v>40739</v>
      </c>
      <c r="B1549" t="s">
        <v>306</v>
      </c>
      <c r="C1549" s="2" t="str">
        <f>HYPERLINK("http://snap.windin.com/ns/bulletin.php?id=18408030&amp;type=1", "光线传媒:首次公开发行股票并在创业板上市招股意向书")</f>
        <v>光线传媒:首次公开发行股票并在创业板上市招股意向书</v>
      </c>
    </row>
    <row r="1550" spans="1:3" x14ac:dyDescent="0.15">
      <c r="A1550" s="1">
        <v>40739</v>
      </c>
      <c r="B1550" t="s">
        <v>305</v>
      </c>
      <c r="C1550" s="2" t="str">
        <f>HYPERLINK("http://snap.windin.com/ns/bulletin.php?id=18398712&amp;type=1", "依米康:首次公开发行股票并在创业板上市招股意向书")</f>
        <v>依米康:首次公开发行股票并在创业板上市招股意向书</v>
      </c>
    </row>
    <row r="1551" spans="1:3" x14ac:dyDescent="0.15">
      <c r="A1551" s="1">
        <v>40739</v>
      </c>
      <c r="B1551" t="s">
        <v>307</v>
      </c>
      <c r="C1551" s="2" t="str">
        <f>HYPERLINK("http://snap.windin.com/ns/bulletin.php?id=2116583&amp;type=1", "桑乐金:首次公开发行股票并在创业板上市招股说明书")</f>
        <v>桑乐金:首次公开发行股票并在创业板上市招股说明书</v>
      </c>
    </row>
    <row r="1552" spans="1:3" x14ac:dyDescent="0.15">
      <c r="A1552" s="1">
        <v>40739</v>
      </c>
      <c r="B1552" t="s">
        <v>304</v>
      </c>
      <c r="C1552" s="2" t="str">
        <f>HYPERLINK("http://snap.windin.com/ns/bulletin.php?id=1988773&amp;type=1", "初灵信息:首次公开发行股票并在创业板上市招股意向书")</f>
        <v>初灵信息:首次公开发行股票并在创业板上市招股意向书</v>
      </c>
    </row>
    <row r="1553" spans="1:3" x14ac:dyDescent="0.15">
      <c r="A1553" s="1">
        <v>40739</v>
      </c>
      <c r="B1553" t="s">
        <v>305</v>
      </c>
      <c r="C1553" s="2" t="str">
        <f>HYPERLINK("http://snap.windin.com/ns/bulletin.php?id=1382635&amp;type=1", "依米康:首次公开发行股票并在创业板上市招股意向书")</f>
        <v>依米康:首次公开发行股票并在创业板上市招股意向书</v>
      </c>
    </row>
    <row r="1554" spans="1:3" x14ac:dyDescent="0.15">
      <c r="A1554" s="1">
        <v>40739</v>
      </c>
      <c r="B1554" t="s">
        <v>306</v>
      </c>
      <c r="C1554" s="2" t="str">
        <f>HYPERLINK("http://snap.windin.com/ns/bulletin.php?id=1336874&amp;type=1", "光线传媒:首次公开发行股票并在创业板上市招股意向书")</f>
        <v>光线传媒:首次公开发行股票并在创业板上市招股意向书</v>
      </c>
    </row>
    <row r="1555" spans="1:3" x14ac:dyDescent="0.15">
      <c r="A1555" s="1">
        <v>40738</v>
      </c>
      <c r="B1555" t="s">
        <v>315</v>
      </c>
      <c r="C1555" s="2" t="str">
        <f>HYPERLINK("http://snap.windin.com/ns/bulletin.php?id=1448798&amp;type=1", "江粉磁材:首次公开发行股票上市公告书")</f>
        <v>江粉磁材:首次公开发行股票上市公告书</v>
      </c>
    </row>
    <row r="1556" spans="1:3" x14ac:dyDescent="0.15">
      <c r="A1556" s="1">
        <v>40738</v>
      </c>
      <c r="B1556" t="s">
        <v>316</v>
      </c>
      <c r="C1556" s="2" t="str">
        <f>HYPERLINK("http://snap.windin.com/ns/bulletin.php?id=509760&amp;type=1", "佰利联:首次公开发行股票上市公告书")</f>
        <v>佰利联:首次公开发行股票上市公告书</v>
      </c>
    </row>
    <row r="1557" spans="1:3" x14ac:dyDescent="0.15">
      <c r="A1557" s="1">
        <v>40738</v>
      </c>
      <c r="B1557" t="s">
        <v>317</v>
      </c>
      <c r="C1557" s="2" t="str">
        <f>HYPERLINK("http://snap.windin.com/ns/bulletin.php?id=425089&amp;type=1", "盛通股份:首次公开发行股票上市公告书")</f>
        <v>盛通股份:首次公开发行股票上市公告书</v>
      </c>
    </row>
    <row r="1558" spans="1:3" x14ac:dyDescent="0.15">
      <c r="A1558" s="1">
        <v>40736</v>
      </c>
      <c r="B1558" t="s">
        <v>310</v>
      </c>
      <c r="C1558" s="2" t="str">
        <f>HYPERLINK("http://snap.windin.com/ns/bulletin.php?id=2087729&amp;type=1", "世纪华通:首次公开发行股票招股说明书摘要")</f>
        <v>世纪华通:首次公开发行股票招股说明书摘要</v>
      </c>
    </row>
    <row r="1559" spans="1:3" x14ac:dyDescent="0.15">
      <c r="A1559" s="1">
        <v>40736</v>
      </c>
      <c r="B1559" t="s">
        <v>318</v>
      </c>
      <c r="C1559" s="2" t="str">
        <f>HYPERLINK("http://snap.windin.com/ns/bulletin.php?id=2077087&amp;type=1", "N瑞高:关于《山东瑞丰高分子材料股份有限公司首次公开发行股票并在创业板上市公告书》更正公告")</f>
        <v>N瑞高:关于《山东瑞丰高分子材料股份有限公司首次公开发行股票并在创业板上市公告书》更正公告</v>
      </c>
    </row>
    <row r="1560" spans="1:3" x14ac:dyDescent="0.15">
      <c r="A1560" s="1">
        <v>40736</v>
      </c>
      <c r="B1560" t="s">
        <v>318</v>
      </c>
      <c r="C1560" s="2" t="str">
        <f>HYPERLINK("http://snap.windin.com/ns/bulletin.php?id=2029605&amp;type=1", "N瑞高:首次公开发行股票并在创业板上市公告书（更正后）")</f>
        <v>N瑞高:首次公开发行股票并在创业板上市公告书（更正后）</v>
      </c>
    </row>
    <row r="1561" spans="1:3" x14ac:dyDescent="0.15">
      <c r="A1561" s="1">
        <v>40736</v>
      </c>
      <c r="B1561" t="s">
        <v>310</v>
      </c>
      <c r="C1561" s="2" t="str">
        <f>HYPERLINK("http://snap.windin.com/ns/bulletin.php?id=2006246&amp;type=1", "世纪华通:首次公开发行股票招股说明书")</f>
        <v>世纪华通:首次公开发行股票招股说明书</v>
      </c>
    </row>
    <row r="1562" spans="1:3" x14ac:dyDescent="0.15">
      <c r="A1562" s="1">
        <v>40735</v>
      </c>
      <c r="B1562" t="s">
        <v>311</v>
      </c>
      <c r="C1562" s="2" t="str">
        <f>HYPERLINK("http://snap.windin.com/ns/bulletin.php?id=19310568&amp;type=1", "龙力生物:首次公开发行股票招股意向书")</f>
        <v>龙力生物:首次公开发行股票招股意向书</v>
      </c>
    </row>
    <row r="1563" spans="1:3" x14ac:dyDescent="0.15">
      <c r="A1563" s="1">
        <v>40735</v>
      </c>
      <c r="B1563" t="s">
        <v>309</v>
      </c>
      <c r="C1563" s="2" t="str">
        <f>HYPERLINK("http://snap.windin.com/ns/bulletin.php?id=19259332&amp;type=1", "以岭药业:首次公开发行股票招股意向书")</f>
        <v>以岭药业:首次公开发行股票招股意向书</v>
      </c>
    </row>
    <row r="1564" spans="1:3" x14ac:dyDescent="0.15">
      <c r="A1564" s="1">
        <v>40735</v>
      </c>
      <c r="B1564" t="s">
        <v>319</v>
      </c>
      <c r="C1564" s="2" t="str">
        <f>HYPERLINK("http://snap.windin.com/ns/bulletin.php?id=1819521&amp;type=1", "明家科技:首次公开发行股票并在创业板上市之上市公告书")</f>
        <v>明家科技:首次公开发行股票并在创业板上市之上市公告书</v>
      </c>
    </row>
    <row r="1565" spans="1:3" x14ac:dyDescent="0.15">
      <c r="A1565" s="1">
        <v>40735</v>
      </c>
      <c r="B1565" t="s">
        <v>311</v>
      </c>
      <c r="C1565" s="2" t="str">
        <f>HYPERLINK("http://snap.windin.com/ns/bulletin.php?id=1598866&amp;type=1", "龙力生物:首次公开发行股票招股意向书摘要")</f>
        <v>龙力生物:首次公开发行股票招股意向书摘要</v>
      </c>
    </row>
    <row r="1566" spans="1:3" x14ac:dyDescent="0.15">
      <c r="A1566" s="1">
        <v>40735</v>
      </c>
      <c r="B1566" t="s">
        <v>318</v>
      </c>
      <c r="C1566" s="2" t="str">
        <f>HYPERLINK("http://snap.windin.com/ns/bulletin.php?id=1553073&amp;type=1", "瑞丰高材:首次公开发行股票并在创业板上市公告书")</f>
        <v>瑞丰高材:首次公开发行股票并在创业板上市公告书</v>
      </c>
    </row>
    <row r="1567" spans="1:3" x14ac:dyDescent="0.15">
      <c r="A1567" s="1">
        <v>40735</v>
      </c>
      <c r="B1567" t="s">
        <v>318</v>
      </c>
      <c r="C1567" s="2" t="str">
        <f>HYPERLINK("http://snap.windin.com/ns/bulletin.php?id=1382955&amp;type=1", "瑞丰高材:首次公开发行股票并在创业板上市公告书提示性公告")</f>
        <v>瑞丰高材:首次公开发行股票并在创业板上市公告书提示性公告</v>
      </c>
    </row>
    <row r="1568" spans="1:3" x14ac:dyDescent="0.15">
      <c r="A1568" s="1">
        <v>40735</v>
      </c>
      <c r="B1568" t="s">
        <v>309</v>
      </c>
      <c r="C1568" s="2" t="str">
        <f>HYPERLINK("http://snap.windin.com/ns/bulletin.php?id=1260607&amp;type=1", "以岭药业:首次公开发行股票（A股）招股意向书摘要")</f>
        <v>以岭药业:首次公开发行股票（A股）招股意向书摘要</v>
      </c>
    </row>
    <row r="1569" spans="1:3" x14ac:dyDescent="0.15">
      <c r="A1569" s="1">
        <v>40735</v>
      </c>
      <c r="B1569" t="s">
        <v>311</v>
      </c>
      <c r="C1569" s="2" t="str">
        <f>HYPERLINK("http://snap.windin.com/ns/bulletin.php?id=1132480&amp;type=1", "龙力生物:首次公开发行股票招股意向书")</f>
        <v>龙力生物:首次公开发行股票招股意向书</v>
      </c>
    </row>
    <row r="1570" spans="1:3" x14ac:dyDescent="0.15">
      <c r="A1570" s="1">
        <v>40735</v>
      </c>
      <c r="B1570" t="s">
        <v>319</v>
      </c>
      <c r="C1570" s="2" t="str">
        <f>HYPERLINK("http://snap.windin.com/ns/bulletin.php?id=606780&amp;type=1", "明家科技:首次公开发行股票并在创业板上市公告书提示性公告")</f>
        <v>明家科技:首次公开发行股票并在创业板上市公告书提示性公告</v>
      </c>
    </row>
    <row r="1571" spans="1:3" x14ac:dyDescent="0.15">
      <c r="A1571" s="1">
        <v>40735</v>
      </c>
      <c r="B1571" t="s">
        <v>320</v>
      </c>
      <c r="C1571" s="2" t="str">
        <f>HYPERLINK("http://snap.windin.com/ns/bulletin.php?id=583332&amp;type=1", "瑞丰光电:首次公开发行股票并在创业板上市公告书")</f>
        <v>瑞丰光电:首次公开发行股票并在创业板上市公告书</v>
      </c>
    </row>
    <row r="1572" spans="1:3" x14ac:dyDescent="0.15">
      <c r="A1572" s="1">
        <v>40735</v>
      </c>
      <c r="B1572" t="s">
        <v>309</v>
      </c>
      <c r="C1572" s="2" t="str">
        <f>HYPERLINK("http://snap.windin.com/ns/bulletin.php?id=567194&amp;type=1", "以岭药业:首次公开发行股票（A股）招股意向书")</f>
        <v>以岭药业:首次公开发行股票（A股）招股意向书</v>
      </c>
    </row>
    <row r="1573" spans="1:3" x14ac:dyDescent="0.15">
      <c r="A1573" s="1">
        <v>40735</v>
      </c>
      <c r="B1573" t="s">
        <v>320</v>
      </c>
      <c r="C1573" s="2" t="str">
        <f>HYPERLINK("http://snap.windin.com/ns/bulletin.php?id=406216&amp;type=1", "瑞丰光电:首次公开发行股票并在创业板上市公告书提示性公告")</f>
        <v>瑞丰光电:首次公开发行股票并在创业板上市公告书提示性公告</v>
      </c>
    </row>
    <row r="1574" spans="1:3" x14ac:dyDescent="0.15">
      <c r="A1574" s="1">
        <v>40732</v>
      </c>
      <c r="B1574" t="s">
        <v>307</v>
      </c>
      <c r="C1574" s="2" t="str">
        <f>HYPERLINK("http://snap.windin.com/ns/bulletin.php?id=18847344&amp;type=1", "桑乐金:首次公开发行股票并在创业板上市招股意向书")</f>
        <v>桑乐金:首次公开发行股票并在创业板上市招股意向书</v>
      </c>
    </row>
    <row r="1575" spans="1:3" x14ac:dyDescent="0.15">
      <c r="A1575" s="1">
        <v>40732</v>
      </c>
      <c r="B1575" t="s">
        <v>312</v>
      </c>
      <c r="C1575" s="2" t="str">
        <f>HYPERLINK("http://snap.windin.com/ns/bulletin.php?id=1695196&amp;type=1", "宝莱特:首次公开发行股票并在创业板上市招股说明书")</f>
        <v>宝莱特:首次公开发行股票并在创业板上市招股说明书</v>
      </c>
    </row>
    <row r="1576" spans="1:3" x14ac:dyDescent="0.15">
      <c r="A1576" s="1">
        <v>40732</v>
      </c>
      <c r="B1576" t="s">
        <v>307</v>
      </c>
      <c r="C1576" s="2" t="str">
        <f>HYPERLINK("http://snap.windin.com/ns/bulletin.php?id=1576192&amp;type=1", "桑乐金:首次公开发行股票并在创业板上市招股意向书")</f>
        <v>桑乐金:首次公开发行股票并在创业板上市招股意向书</v>
      </c>
    </row>
    <row r="1577" spans="1:3" x14ac:dyDescent="0.15">
      <c r="A1577" s="1">
        <v>40732</v>
      </c>
      <c r="B1577" t="s">
        <v>314</v>
      </c>
      <c r="C1577" s="2" t="str">
        <f>HYPERLINK("http://snap.windin.com/ns/bulletin.php?id=1355562&amp;type=1", "迪安诊断:首次公开发行股票并在创业板上市招股说明书")</f>
        <v>迪安诊断:首次公开发行股票并在创业板上市招股说明书</v>
      </c>
    </row>
    <row r="1578" spans="1:3" x14ac:dyDescent="0.15">
      <c r="A1578" s="1">
        <v>40732</v>
      </c>
      <c r="B1578" t="s">
        <v>308</v>
      </c>
      <c r="C1578" s="2" t="str">
        <f>HYPERLINK("http://snap.windin.com/ns/bulletin.php?id=1202516&amp;type=1", "新开普:首次公开发行股票并在创业板上市招股意向书")</f>
        <v>新开普:首次公开发行股票并在创业板上市招股意向书</v>
      </c>
    </row>
    <row r="1579" spans="1:3" x14ac:dyDescent="0.15">
      <c r="A1579" s="1">
        <v>40732</v>
      </c>
      <c r="B1579" t="s">
        <v>313</v>
      </c>
      <c r="C1579" s="2" t="str">
        <f>HYPERLINK("http://snap.windin.com/ns/bulletin.php?id=406116&amp;type=1", "天玑科技:首次公开发行股票并在创业板上市招股说明书")</f>
        <v>天玑科技:首次公开发行股票并在创业板上市招股说明书</v>
      </c>
    </row>
    <row r="1580" spans="1:3" x14ac:dyDescent="0.15">
      <c r="A1580" s="1">
        <v>40730</v>
      </c>
      <c r="B1580" t="s">
        <v>321</v>
      </c>
      <c r="C1580" s="2" t="str">
        <f>HYPERLINK("http://snap.windin.com/ns/bulletin.php?id=2055177&amp;type=1", "金禾实业:首次公开发行股票上市公告书")</f>
        <v>金禾实业:首次公开发行股票上市公告书</v>
      </c>
    </row>
    <row r="1581" spans="1:3" x14ac:dyDescent="0.15">
      <c r="A1581" s="1">
        <v>40730</v>
      </c>
      <c r="B1581" t="s">
        <v>322</v>
      </c>
      <c r="C1581" s="2" t="str">
        <f>HYPERLINK("http://snap.windin.com/ns/bulletin.php?id=1839669&amp;type=1", "山东章鼓:首次公开发行股票上市公告书")</f>
        <v>山东章鼓:首次公开发行股票上市公告书</v>
      </c>
    </row>
    <row r="1582" spans="1:3" x14ac:dyDescent="0.15">
      <c r="A1582" s="1">
        <v>40730</v>
      </c>
      <c r="B1582" t="s">
        <v>323</v>
      </c>
      <c r="C1582" s="2" t="str">
        <f>HYPERLINK("http://snap.windin.com/ns/bulletin.php?id=186579&amp;type=1", "海南瑞泽:首次公开发行股票上市公告书")</f>
        <v>海南瑞泽:首次公开发行股票上市公告书</v>
      </c>
    </row>
    <row r="1583" spans="1:3" x14ac:dyDescent="0.15">
      <c r="A1583" s="1">
        <v>40729</v>
      </c>
      <c r="B1583" t="s">
        <v>310</v>
      </c>
      <c r="C1583" s="2" t="str">
        <f>HYPERLINK("http://snap.windin.com/ns/bulletin.php?id=19267638&amp;type=1", "世纪华通:首次公开发行股票并上市招股意向书")</f>
        <v>世纪华通:首次公开发行股票并上市招股意向书</v>
      </c>
    </row>
    <row r="1584" spans="1:3" x14ac:dyDescent="0.15">
      <c r="A1584" s="1">
        <v>40729</v>
      </c>
      <c r="B1584" t="s">
        <v>310</v>
      </c>
      <c r="C1584" s="2" t="str">
        <f>HYPERLINK("http://snap.windin.com/ns/bulletin.php?id=18487742&amp;type=1", "世纪华通:首次公开发行股票并上市招股意向书")</f>
        <v>世纪华通:首次公开发行股票并上市招股意向书</v>
      </c>
    </row>
    <row r="1585" spans="1:3" x14ac:dyDescent="0.15">
      <c r="A1585" s="1">
        <v>40729</v>
      </c>
      <c r="B1585" t="s">
        <v>324</v>
      </c>
      <c r="C1585" s="2" t="str">
        <f>HYPERLINK("http://snap.windin.com/ns/bulletin.php?id=2121252&amp;type=1", "冠昊生物:首次公开发行股票并在创业板上市公告书提示性公告")</f>
        <v>冠昊生物:首次公开发行股票并在创业板上市公告书提示性公告</v>
      </c>
    </row>
    <row r="1586" spans="1:3" x14ac:dyDescent="0.15">
      <c r="A1586" s="1">
        <v>40729</v>
      </c>
      <c r="B1586" t="s">
        <v>310</v>
      </c>
      <c r="C1586" s="2" t="str">
        <f>HYPERLINK("http://snap.windin.com/ns/bulletin.php?id=2120970&amp;type=1", "世纪华通:首次公开发行股票招股意向书")</f>
        <v>世纪华通:首次公开发行股票招股意向书</v>
      </c>
    </row>
    <row r="1587" spans="1:3" x14ac:dyDescent="0.15">
      <c r="A1587" s="1">
        <v>40729</v>
      </c>
      <c r="B1587" t="s">
        <v>316</v>
      </c>
      <c r="C1587" s="2" t="str">
        <f>HYPERLINK("http://snap.windin.com/ns/bulletin.php?id=2019338&amp;type=1", "佰利联:首次公开发行股票招股说明书")</f>
        <v>佰利联:首次公开发行股票招股说明书</v>
      </c>
    </row>
    <row r="1588" spans="1:3" x14ac:dyDescent="0.15">
      <c r="A1588" s="1">
        <v>40729</v>
      </c>
      <c r="B1588" t="s">
        <v>324</v>
      </c>
      <c r="C1588" s="2" t="str">
        <f>HYPERLINK("http://snap.windin.com/ns/bulletin.php?id=1954024&amp;type=1", "冠昊生物:首次公开发行股票并在创业板上市上市公告书")</f>
        <v>冠昊生物:首次公开发行股票并在创业板上市上市公告书</v>
      </c>
    </row>
    <row r="1589" spans="1:3" x14ac:dyDescent="0.15">
      <c r="A1589" s="1">
        <v>40729</v>
      </c>
      <c r="B1589" t="s">
        <v>310</v>
      </c>
      <c r="C1589" s="2" t="str">
        <f>HYPERLINK("http://snap.windin.com/ns/bulletin.php?id=1892418&amp;type=1", "世纪华通:首次公开发行股票招股意向书摘要")</f>
        <v>世纪华通:首次公开发行股票招股意向书摘要</v>
      </c>
    </row>
    <row r="1590" spans="1:3" x14ac:dyDescent="0.15">
      <c r="A1590" s="1">
        <v>40729</v>
      </c>
      <c r="B1590" t="s">
        <v>315</v>
      </c>
      <c r="C1590" s="2" t="str">
        <f>HYPERLINK("http://snap.windin.com/ns/bulletin.php?id=1815597&amp;type=1", "江粉磁材:首次公开发行股票招股说明书")</f>
        <v>江粉磁材:首次公开发行股票招股说明书</v>
      </c>
    </row>
    <row r="1591" spans="1:3" x14ac:dyDescent="0.15">
      <c r="A1591" s="1">
        <v>40729</v>
      </c>
      <c r="B1591" t="s">
        <v>317</v>
      </c>
      <c r="C1591" s="2" t="str">
        <f>HYPERLINK("http://snap.windin.com/ns/bulletin.php?id=1652455&amp;type=1", "盛通股份:首次公开发行股票招股说明书摘要")</f>
        <v>盛通股份:首次公开发行股票招股说明书摘要</v>
      </c>
    </row>
    <row r="1592" spans="1:3" x14ac:dyDescent="0.15">
      <c r="A1592" s="1">
        <v>40729</v>
      </c>
      <c r="B1592" t="s">
        <v>325</v>
      </c>
      <c r="C1592" s="2" t="str">
        <f>HYPERLINK("http://snap.windin.com/ns/bulletin.php?id=1632875&amp;type=1", "飞力达:首次公开发行股票并在创业板上市公告书提示性公告")</f>
        <v>飞力达:首次公开发行股票并在创业板上市公告书提示性公告</v>
      </c>
    </row>
    <row r="1593" spans="1:3" x14ac:dyDescent="0.15">
      <c r="A1593" s="1">
        <v>40729</v>
      </c>
      <c r="B1593" t="s">
        <v>326</v>
      </c>
      <c r="C1593" s="2" t="str">
        <f>HYPERLINK("http://snap.windin.com/ns/bulletin.php?id=1585030&amp;type=1", "东宝生物:首次公开发行股票并在创业板上市上市公告书提示性公告")</f>
        <v>东宝生物:首次公开发行股票并在创业板上市上市公告书提示性公告</v>
      </c>
    </row>
    <row r="1594" spans="1:3" x14ac:dyDescent="0.15">
      <c r="A1594" s="1">
        <v>40729</v>
      </c>
      <c r="B1594" t="s">
        <v>316</v>
      </c>
      <c r="C1594" s="2" t="str">
        <f>HYPERLINK("http://snap.windin.com/ns/bulletin.php?id=1110139&amp;type=1", "佰利联:首次公开发行股票招股说明书摘要")</f>
        <v>佰利联:首次公开发行股票招股说明书摘要</v>
      </c>
    </row>
    <row r="1595" spans="1:3" x14ac:dyDescent="0.15">
      <c r="A1595" s="1">
        <v>40729</v>
      </c>
      <c r="B1595" t="s">
        <v>325</v>
      </c>
      <c r="C1595" s="2" t="str">
        <f>HYPERLINK("http://snap.windin.com/ns/bulletin.php?id=600457&amp;type=1", "飞力达:首次公开发行股票并在创业板上市公告书")</f>
        <v>飞力达:首次公开发行股票并在创业板上市公告书</v>
      </c>
    </row>
    <row r="1596" spans="1:3" x14ac:dyDescent="0.15">
      <c r="A1596" s="1">
        <v>40729</v>
      </c>
      <c r="B1596" t="s">
        <v>326</v>
      </c>
      <c r="C1596" s="2" t="str">
        <f>HYPERLINK("http://snap.windin.com/ns/bulletin.php?id=586086&amp;type=1", "东宝生物:首次公开发行股票并在创业板上市之上市公告书")</f>
        <v>东宝生物:首次公开发行股票并在创业板上市之上市公告书</v>
      </c>
    </row>
    <row r="1597" spans="1:3" x14ac:dyDescent="0.15">
      <c r="A1597" s="1">
        <v>40729</v>
      </c>
      <c r="B1597" t="s">
        <v>317</v>
      </c>
      <c r="C1597" s="2" t="str">
        <f>HYPERLINK("http://snap.windin.com/ns/bulletin.php?id=527532&amp;type=1", "盛通股份:首次公开发行股票招股说明书")</f>
        <v>盛通股份:首次公开发行股票招股说明书</v>
      </c>
    </row>
    <row r="1598" spans="1:3" x14ac:dyDescent="0.15">
      <c r="A1598" s="1">
        <v>40729</v>
      </c>
      <c r="B1598" t="s">
        <v>315</v>
      </c>
      <c r="C1598" s="2" t="str">
        <f>HYPERLINK("http://snap.windin.com/ns/bulletin.php?id=197878&amp;type=1", "江粉磁材:首次公开发行股票招股说明书摘要")</f>
        <v>江粉磁材:首次公开发行股票招股说明书摘要</v>
      </c>
    </row>
    <row r="1599" spans="1:3" x14ac:dyDescent="0.15">
      <c r="A1599" s="1">
        <v>40725</v>
      </c>
      <c r="B1599" t="s">
        <v>314</v>
      </c>
      <c r="C1599" s="2" t="str">
        <f>HYPERLINK("http://snap.windin.com/ns/bulletin.php?id=19185208&amp;type=1", "迪安诊断:首次公开发行股票并在创业板上市招股意向书")</f>
        <v>迪安诊断:首次公开发行股票并在创业板上市招股意向书</v>
      </c>
    </row>
    <row r="1600" spans="1:3" x14ac:dyDescent="0.15">
      <c r="A1600" s="1">
        <v>40725</v>
      </c>
      <c r="B1600" t="s">
        <v>312</v>
      </c>
      <c r="C1600" s="2" t="str">
        <f>HYPERLINK("http://snap.windin.com/ns/bulletin.php?id=18846082&amp;type=1", "宝莱特:首次公开发行股票并在创业板上市招股意向书")</f>
        <v>宝莱特:首次公开发行股票并在创业板上市招股意向书</v>
      </c>
    </row>
    <row r="1601" spans="1:3" x14ac:dyDescent="0.15">
      <c r="A1601" s="1">
        <v>40725</v>
      </c>
      <c r="B1601" t="s">
        <v>313</v>
      </c>
      <c r="C1601" s="2" t="str">
        <f>HYPERLINK("http://snap.windin.com/ns/bulletin.php?id=18557752&amp;type=1", "天玑科技:首次公开发行股票并在创业板上市招股意向书")</f>
        <v>天玑科技:首次公开发行股票并在创业板上市招股意向书</v>
      </c>
    </row>
    <row r="1602" spans="1:3" x14ac:dyDescent="0.15">
      <c r="A1602" s="1">
        <v>40725</v>
      </c>
      <c r="B1602" t="s">
        <v>314</v>
      </c>
      <c r="C1602" s="2" t="str">
        <f>HYPERLINK("http://snap.windin.com/ns/bulletin.php?id=18535422&amp;type=1", "迪安诊断:首次公开发行股票并在创业板上市招股意向书")</f>
        <v>迪安诊断:首次公开发行股票并在创业板上市招股意向书</v>
      </c>
    </row>
    <row r="1603" spans="1:3" x14ac:dyDescent="0.15">
      <c r="A1603" s="1">
        <v>40725</v>
      </c>
      <c r="B1603" t="s">
        <v>319</v>
      </c>
      <c r="C1603" s="2" t="str">
        <f>HYPERLINK("http://snap.windin.com/ns/bulletin.php?id=1508990&amp;type=1", "明家科技:首次公开发行股票并在创业板上市招股说明书")</f>
        <v>明家科技:首次公开发行股票并在创业板上市招股说明书</v>
      </c>
    </row>
    <row r="1604" spans="1:3" x14ac:dyDescent="0.15">
      <c r="A1604" s="1">
        <v>40725</v>
      </c>
      <c r="B1604" t="s">
        <v>312</v>
      </c>
      <c r="C1604" s="2" t="str">
        <f>HYPERLINK("http://snap.windin.com/ns/bulletin.php?id=1427607&amp;type=1", "宝莱特:首次公开发行股票并在创业板上市招股意向书")</f>
        <v>宝莱特:首次公开发行股票并在创业板上市招股意向书</v>
      </c>
    </row>
    <row r="1605" spans="1:3" x14ac:dyDescent="0.15">
      <c r="A1605" s="1">
        <v>40725</v>
      </c>
      <c r="B1605" t="s">
        <v>318</v>
      </c>
      <c r="C1605" s="2" t="str">
        <f>HYPERLINK("http://snap.windin.com/ns/bulletin.php?id=1390101&amp;type=1", "瑞丰高材:首次公开发行股票并在创业板上市招股说明书")</f>
        <v>瑞丰高材:首次公开发行股票并在创业板上市招股说明书</v>
      </c>
    </row>
    <row r="1606" spans="1:3" x14ac:dyDescent="0.15">
      <c r="A1606" s="1">
        <v>40725</v>
      </c>
      <c r="B1606" t="s">
        <v>320</v>
      </c>
      <c r="C1606" s="2" t="str">
        <f>HYPERLINK("http://snap.windin.com/ns/bulletin.php?id=1169257&amp;type=1", "瑞丰光电:首次公开发行股票并在创业板上市招股说明书")</f>
        <v>瑞丰光电:首次公开发行股票并在创业板上市招股说明书</v>
      </c>
    </row>
    <row r="1607" spans="1:3" x14ac:dyDescent="0.15">
      <c r="A1607" s="1">
        <v>40725</v>
      </c>
      <c r="B1607" t="s">
        <v>314</v>
      </c>
      <c r="C1607" s="2" t="str">
        <f>HYPERLINK("http://snap.windin.com/ns/bulletin.php?id=922036&amp;type=1", "迪安诊断:首次公开发行股票并在创业板上市招股意向书")</f>
        <v>迪安诊断:首次公开发行股票并在创业板上市招股意向书</v>
      </c>
    </row>
    <row r="1608" spans="1:3" x14ac:dyDescent="0.15">
      <c r="A1608" s="1">
        <v>40725</v>
      </c>
      <c r="B1608" t="s">
        <v>313</v>
      </c>
      <c r="C1608" s="2" t="str">
        <f>HYPERLINK("http://snap.windin.com/ns/bulletin.php?id=522494&amp;type=1", "天玑科技:首次公开发行股票并在创业板上市招股意向书")</f>
        <v>天玑科技:首次公开发行股票并在创业板上市招股意向书</v>
      </c>
    </row>
    <row r="1609" spans="1:3" x14ac:dyDescent="0.15">
      <c r="A1609" s="1">
        <v>40723</v>
      </c>
      <c r="B1609" t="s">
        <v>327</v>
      </c>
      <c r="C1609" s="2" t="str">
        <f>HYPERLINK("http://snap.windin.com/ns/bulletin.php?id=2083826&amp;type=1", "赛轮股份:首次公开发行股票招股说明书")</f>
        <v>赛轮股份:首次公开发行股票招股说明书</v>
      </c>
    </row>
    <row r="1610" spans="1:3" x14ac:dyDescent="0.15">
      <c r="A1610" s="1">
        <v>40723</v>
      </c>
      <c r="B1610" t="s">
        <v>327</v>
      </c>
      <c r="C1610" s="2" t="str">
        <f>HYPERLINK("http://snap.windin.com/ns/bulletin.php?id=1735789&amp;type=1", "赛轮股份:首次公开发行A股股票上市公告书")</f>
        <v>赛轮股份:首次公开发行A股股票上市公告书</v>
      </c>
    </row>
    <row r="1611" spans="1:3" x14ac:dyDescent="0.15">
      <c r="A1611" s="1">
        <v>40723</v>
      </c>
      <c r="B1611" t="s">
        <v>328</v>
      </c>
      <c r="C1611" s="2" t="str">
        <f>HYPERLINK("http://snap.windin.com/ns/bulletin.php?id=542649&amp;type=1", "比亚迪:首次公开发行股票上市公告书")</f>
        <v>比亚迪:首次公开发行股票上市公告书</v>
      </c>
    </row>
    <row r="1612" spans="1:3" x14ac:dyDescent="0.15">
      <c r="A1612" s="1">
        <v>40722</v>
      </c>
      <c r="B1612" t="s">
        <v>317</v>
      </c>
      <c r="C1612" s="2" t="str">
        <f>HYPERLINK("http://snap.windin.com/ns/bulletin.php?id=19282754&amp;type=1", "盛通股份:首次公开发行股票招股意向书")</f>
        <v>盛通股份:首次公开发行股票招股意向书</v>
      </c>
    </row>
    <row r="1613" spans="1:3" x14ac:dyDescent="0.15">
      <c r="A1613" s="1">
        <v>40722</v>
      </c>
      <c r="B1613" t="s">
        <v>315</v>
      </c>
      <c r="C1613" s="2" t="str">
        <f>HYPERLINK("http://snap.windin.com/ns/bulletin.php?id=19138148&amp;type=1", "江粉磁材:首次公开发行股票招股意向书")</f>
        <v>江粉磁材:首次公开发行股票招股意向书</v>
      </c>
    </row>
    <row r="1614" spans="1:3" x14ac:dyDescent="0.15">
      <c r="A1614" s="1">
        <v>40722</v>
      </c>
      <c r="B1614" t="s">
        <v>317</v>
      </c>
      <c r="C1614" s="2" t="str">
        <f>HYPERLINK("http://snap.windin.com/ns/bulletin.php?id=18564364&amp;type=1", "盛通股份:首次公开发行股票招股意向书")</f>
        <v>盛通股份:首次公开发行股票招股意向书</v>
      </c>
    </row>
    <row r="1615" spans="1:3" x14ac:dyDescent="0.15">
      <c r="A1615" s="1">
        <v>40722</v>
      </c>
      <c r="B1615" t="s">
        <v>316</v>
      </c>
      <c r="C1615" s="2" t="str">
        <f>HYPERLINK("http://snap.windin.com/ns/bulletin.php?id=18516138&amp;type=1", "佰利联:首次公开发行股票招股意向书")</f>
        <v>佰利联:首次公开发行股票招股意向书</v>
      </c>
    </row>
    <row r="1616" spans="1:3" x14ac:dyDescent="0.15">
      <c r="A1616" s="1">
        <v>40722</v>
      </c>
      <c r="B1616" t="s">
        <v>316</v>
      </c>
      <c r="C1616" s="2" t="str">
        <f>HYPERLINK("http://snap.windin.com/ns/bulletin.php?id=18428632&amp;type=1", "佰利联:首次公开发行股票招股意向书")</f>
        <v>佰利联:首次公开发行股票招股意向书</v>
      </c>
    </row>
    <row r="1617" spans="1:3" x14ac:dyDescent="0.15">
      <c r="A1617" s="1">
        <v>40722</v>
      </c>
      <c r="B1617" t="s">
        <v>321</v>
      </c>
      <c r="C1617" s="2" t="str">
        <f>HYPERLINK("http://snap.windin.com/ns/bulletin.php?id=1992114&amp;type=1", "金禾实业:首次公开发行股票招股说明书摘要")</f>
        <v>金禾实业:首次公开发行股票招股说明书摘要</v>
      </c>
    </row>
    <row r="1618" spans="1:3" x14ac:dyDescent="0.15">
      <c r="A1618" s="1">
        <v>40722</v>
      </c>
      <c r="B1618" t="s">
        <v>317</v>
      </c>
      <c r="C1618" s="2" t="str">
        <f>HYPERLINK("http://snap.windin.com/ns/bulletin.php?id=1959010&amp;type=1", "盛通股份:首次公开发行股票招股意向书")</f>
        <v>盛通股份:首次公开发行股票招股意向书</v>
      </c>
    </row>
    <row r="1619" spans="1:3" x14ac:dyDescent="0.15">
      <c r="A1619" s="1">
        <v>40722</v>
      </c>
      <c r="B1619" t="s">
        <v>322</v>
      </c>
      <c r="C1619" s="2" t="str">
        <f>HYPERLINK("http://snap.windin.com/ns/bulletin.php?id=1837193&amp;type=1", "山东章鼓:首次公开发行股票招股说明书摘要")</f>
        <v>山东章鼓:首次公开发行股票招股说明书摘要</v>
      </c>
    </row>
    <row r="1620" spans="1:3" x14ac:dyDescent="0.15">
      <c r="A1620" s="1">
        <v>40722</v>
      </c>
      <c r="B1620" t="s">
        <v>316</v>
      </c>
      <c r="C1620" s="2" t="str">
        <f>HYPERLINK("http://snap.windin.com/ns/bulletin.php?id=1658270&amp;type=1", "佰利联:首次公开发行股票招股意向书摘要")</f>
        <v>佰利联:首次公开发行股票招股意向书摘要</v>
      </c>
    </row>
    <row r="1621" spans="1:3" x14ac:dyDescent="0.15">
      <c r="A1621" s="1">
        <v>40722</v>
      </c>
      <c r="B1621" t="s">
        <v>315</v>
      </c>
      <c r="C1621" s="2" t="str">
        <f>HYPERLINK("http://snap.windin.com/ns/bulletin.php?id=1536747&amp;type=1", "江粉磁材:首次公开发行股票招股意向书摘要")</f>
        <v>江粉磁材:首次公开发行股票招股意向书摘要</v>
      </c>
    </row>
    <row r="1622" spans="1:3" x14ac:dyDescent="0.15">
      <c r="A1622" s="1">
        <v>40722</v>
      </c>
      <c r="B1622" t="s">
        <v>317</v>
      </c>
      <c r="C1622" s="2" t="str">
        <f>HYPERLINK("http://snap.windin.com/ns/bulletin.php?id=1478449&amp;type=1", "盛通股份:首次公开发行股票招股意向书摘要")</f>
        <v>盛通股份:首次公开发行股票招股意向书摘要</v>
      </c>
    </row>
    <row r="1623" spans="1:3" x14ac:dyDescent="0.15">
      <c r="A1623" s="1">
        <v>40722</v>
      </c>
      <c r="B1623" t="s">
        <v>316</v>
      </c>
      <c r="C1623" s="2" t="str">
        <f>HYPERLINK("http://snap.windin.com/ns/bulletin.php?id=1427303&amp;type=1", "佰利联:首次公开发行股票招股意向书")</f>
        <v>佰利联:首次公开发行股票招股意向书</v>
      </c>
    </row>
    <row r="1624" spans="1:3" x14ac:dyDescent="0.15">
      <c r="A1624" s="1">
        <v>40722</v>
      </c>
      <c r="B1624" t="s">
        <v>329</v>
      </c>
      <c r="C1624" s="2" t="str">
        <f>HYPERLINK("http://snap.windin.com/ns/bulletin.php?id=1364164&amp;type=1", "上海新阳:首次公开发行股票并在创业板上市公告书提示性公告")</f>
        <v>上海新阳:首次公开发行股票并在创业板上市公告书提示性公告</v>
      </c>
    </row>
    <row r="1625" spans="1:3" x14ac:dyDescent="0.15">
      <c r="A1625" s="1">
        <v>40722</v>
      </c>
      <c r="B1625" t="s">
        <v>330</v>
      </c>
      <c r="C1625" s="2" t="str">
        <f>HYPERLINK("http://snap.windin.com/ns/bulletin.php?id=1206585&amp;type=1", "方直科技:首次公开发行股票并在创业板上市公告书")</f>
        <v>方直科技:首次公开发行股票并在创业板上市公告书</v>
      </c>
    </row>
    <row r="1626" spans="1:3" x14ac:dyDescent="0.15">
      <c r="A1626" s="1">
        <v>40722</v>
      </c>
      <c r="B1626" t="s">
        <v>330</v>
      </c>
      <c r="C1626" s="2" t="str">
        <f>HYPERLINK("http://snap.windin.com/ns/bulletin.php?id=1142714&amp;type=1", "方直科技:首次公开发行股票并在创业板上市公告书提示性公告")</f>
        <v>方直科技:首次公开发行股票并在创业板上市公告书提示性公告</v>
      </c>
    </row>
    <row r="1627" spans="1:3" x14ac:dyDescent="0.15">
      <c r="A1627" s="1">
        <v>40722</v>
      </c>
      <c r="B1627" t="s">
        <v>331</v>
      </c>
      <c r="C1627" s="2" t="str">
        <f>HYPERLINK("http://snap.windin.com/ns/bulletin.php?id=1101578&amp;type=1", "美晨科技:首次公开发行股票并在创业板上市上市公告书提示性公告")</f>
        <v>美晨科技:首次公开发行股票并在创业板上市上市公告书提示性公告</v>
      </c>
    </row>
    <row r="1628" spans="1:3" x14ac:dyDescent="0.15">
      <c r="A1628" s="1">
        <v>40722</v>
      </c>
      <c r="B1628" t="s">
        <v>331</v>
      </c>
      <c r="C1628" s="2" t="str">
        <f>HYPERLINK("http://snap.windin.com/ns/bulletin.php?id=1097160&amp;type=1", "美晨科技:首次公开发行股票并在创业板上市公告书")</f>
        <v>美晨科技:首次公开发行股票并在创业板上市公告书</v>
      </c>
    </row>
    <row r="1629" spans="1:3" x14ac:dyDescent="0.15">
      <c r="A1629" s="1">
        <v>40722</v>
      </c>
      <c r="B1629" t="s">
        <v>329</v>
      </c>
      <c r="C1629" s="2" t="str">
        <f>HYPERLINK("http://snap.windin.com/ns/bulletin.php?id=1044530&amp;type=1", "上海新阳:首次公开发行股票上市公告书")</f>
        <v>上海新阳:首次公开发行股票上市公告书</v>
      </c>
    </row>
    <row r="1630" spans="1:3" x14ac:dyDescent="0.15">
      <c r="A1630" s="1">
        <v>40722</v>
      </c>
      <c r="B1630" t="s">
        <v>322</v>
      </c>
      <c r="C1630" s="2" t="str">
        <f>HYPERLINK("http://snap.windin.com/ns/bulletin.php?id=946238&amp;type=1", "山东章鼓:首次公开发行股票招股说明书")</f>
        <v>山东章鼓:首次公开发行股票招股说明书</v>
      </c>
    </row>
    <row r="1631" spans="1:3" x14ac:dyDescent="0.15">
      <c r="A1631" s="1">
        <v>40722</v>
      </c>
      <c r="B1631" t="s">
        <v>315</v>
      </c>
      <c r="C1631" s="2" t="str">
        <f>HYPERLINK("http://snap.windin.com/ns/bulletin.php?id=160022&amp;type=1", "江粉磁材:首次公开发行股票招股意向书")</f>
        <v>江粉磁材:首次公开发行股票招股意向书</v>
      </c>
    </row>
    <row r="1632" spans="1:3" x14ac:dyDescent="0.15">
      <c r="A1632" s="1">
        <v>40722</v>
      </c>
      <c r="B1632" t="s">
        <v>321</v>
      </c>
      <c r="C1632" s="2" t="str">
        <f>HYPERLINK("http://snap.windin.com/ns/bulletin.php?id=147273&amp;type=1", "金禾实业:首次公开发行股票招股说明书")</f>
        <v>金禾实业:首次公开发行股票招股说明书</v>
      </c>
    </row>
    <row r="1633" spans="1:3" x14ac:dyDescent="0.15">
      <c r="A1633" s="1">
        <v>40721</v>
      </c>
      <c r="B1633" t="s">
        <v>332</v>
      </c>
      <c r="C1633" s="2" t="str">
        <f>HYPERLINK("http://snap.windin.com/ns/bulletin.php?id=1247280&amp;type=1", "豪迈科技:首次公开发行股票上市公告书")</f>
        <v>豪迈科技:首次公开发行股票上市公告书</v>
      </c>
    </row>
    <row r="1634" spans="1:3" x14ac:dyDescent="0.15">
      <c r="A1634" s="1">
        <v>40721</v>
      </c>
      <c r="B1634" t="s">
        <v>333</v>
      </c>
      <c r="C1634" s="2" t="str">
        <f>HYPERLINK("http://snap.windin.com/ns/bulletin.php?id=1090362&amp;type=1", "日上集团:首次公开发行股票上市公告书")</f>
        <v>日上集团:首次公开发行股票上市公告书</v>
      </c>
    </row>
    <row r="1635" spans="1:3" x14ac:dyDescent="0.15">
      <c r="A1635" s="1">
        <v>40718</v>
      </c>
      <c r="B1635" t="s">
        <v>320</v>
      </c>
      <c r="C1635" s="2" t="str">
        <f>HYPERLINK("http://snap.windin.com/ns/bulletin.php?id=18535990&amp;type=1", "瑞丰光电:首次公开发行股票并在创业板上市招股意向书")</f>
        <v>瑞丰光电:首次公开发行股票并在创业板上市招股意向书</v>
      </c>
    </row>
    <row r="1636" spans="1:3" x14ac:dyDescent="0.15">
      <c r="A1636" s="1">
        <v>40718</v>
      </c>
      <c r="B1636" t="s">
        <v>320</v>
      </c>
      <c r="C1636" s="2" t="str">
        <f>HYPERLINK("http://snap.windin.com/ns/bulletin.php?id=2108326&amp;type=1", "瑞丰光电:首次公开发行股票并在创业板上市招股意向书")</f>
        <v>瑞丰光电:首次公开发行股票并在创业板上市招股意向书</v>
      </c>
    </row>
    <row r="1637" spans="1:3" x14ac:dyDescent="0.15">
      <c r="A1637" s="1">
        <v>40718</v>
      </c>
      <c r="B1637" t="s">
        <v>318</v>
      </c>
      <c r="C1637" s="2" t="str">
        <f>HYPERLINK("http://snap.windin.com/ns/bulletin.php?id=2017348&amp;type=1", "瑞丰高材:首次公开发行股票并在创业板上市招股意向书")</f>
        <v>瑞丰高材:首次公开发行股票并在创业板上市招股意向书</v>
      </c>
    </row>
    <row r="1638" spans="1:3" x14ac:dyDescent="0.15">
      <c r="A1638" s="1">
        <v>40718</v>
      </c>
      <c r="B1638" t="s">
        <v>319</v>
      </c>
      <c r="C1638" s="2" t="str">
        <f>HYPERLINK("http://snap.windin.com/ns/bulletin.php?id=1934948&amp;type=1", "明家科技:首次公开发行股票并在创业板上市招股意向书")</f>
        <v>明家科技:首次公开发行股票并在创业板上市招股意向书</v>
      </c>
    </row>
    <row r="1639" spans="1:3" x14ac:dyDescent="0.15">
      <c r="A1639" s="1">
        <v>40718</v>
      </c>
      <c r="B1639" t="s">
        <v>326</v>
      </c>
      <c r="C1639" s="2" t="str">
        <f>HYPERLINK("http://snap.windin.com/ns/bulletin.php?id=1697923&amp;type=1", "东宝生物:首次公开发行股票并在创业板上市招股说明书")</f>
        <v>东宝生物:首次公开发行股票并在创业板上市招股说明书</v>
      </c>
    </row>
    <row r="1640" spans="1:3" x14ac:dyDescent="0.15">
      <c r="A1640" s="1">
        <v>40718</v>
      </c>
      <c r="B1640" t="s">
        <v>325</v>
      </c>
      <c r="C1640" s="2" t="str">
        <f>HYPERLINK("http://snap.windin.com/ns/bulletin.php?id=1556743&amp;type=1", "飞力达:首次公开发行股票并在创业板上市招股说明书")</f>
        <v>飞力达:首次公开发行股票并在创业板上市招股说明书</v>
      </c>
    </row>
    <row r="1641" spans="1:3" x14ac:dyDescent="0.15">
      <c r="A1641" s="1">
        <v>40718</v>
      </c>
      <c r="B1641" t="s">
        <v>324</v>
      </c>
      <c r="C1641" s="2" t="str">
        <f>HYPERLINK("http://snap.windin.com/ns/bulletin.php?id=822610&amp;type=1", "冠昊生物:首次公开发行股票并在创业板上市招股说明书")</f>
        <v>冠昊生物:首次公开发行股票并在创业板上市招股说明书</v>
      </c>
    </row>
    <row r="1642" spans="1:3" x14ac:dyDescent="0.15">
      <c r="A1642" s="1">
        <v>40715</v>
      </c>
      <c r="B1642" t="s">
        <v>321</v>
      </c>
      <c r="C1642" s="2" t="str">
        <f>HYPERLINK("http://snap.windin.com/ns/bulletin.php?id=19376000&amp;type=1", "金禾实业:首次公开发行股票招股意向书")</f>
        <v>金禾实业:首次公开发行股票招股意向书</v>
      </c>
    </row>
    <row r="1643" spans="1:3" x14ac:dyDescent="0.15">
      <c r="A1643" s="1">
        <v>40715</v>
      </c>
      <c r="B1643" t="s">
        <v>322</v>
      </c>
      <c r="C1643" s="2" t="str">
        <f>HYPERLINK("http://snap.windin.com/ns/bulletin.php?id=18963028&amp;type=1", "山东章鼓:首次公开发行股票招股意向书")</f>
        <v>山东章鼓:首次公开发行股票招股意向书</v>
      </c>
    </row>
    <row r="1644" spans="1:3" x14ac:dyDescent="0.15">
      <c r="A1644" s="1">
        <v>40715</v>
      </c>
      <c r="B1644" t="s">
        <v>334</v>
      </c>
      <c r="C1644" s="2" t="str">
        <f>HYPERLINK("http://snap.windin.com/ns/bulletin.php?id=2115011&amp;type=1", "洲明科技:首次公开发行股票并在创业板上市公告书提示性公告")</f>
        <v>洲明科技:首次公开发行股票并在创业板上市公告书提示性公告</v>
      </c>
    </row>
    <row r="1645" spans="1:3" x14ac:dyDescent="0.15">
      <c r="A1645" s="1">
        <v>40715</v>
      </c>
      <c r="B1645" t="s">
        <v>321</v>
      </c>
      <c r="C1645" s="2" t="str">
        <f>HYPERLINK("http://snap.windin.com/ns/bulletin.php?id=1924335&amp;type=1", "金禾实业:首次公开发行股票招股意向书摘要")</f>
        <v>金禾实业:首次公开发行股票招股意向书摘要</v>
      </c>
    </row>
    <row r="1646" spans="1:3" x14ac:dyDescent="0.15">
      <c r="A1646" s="1">
        <v>40715</v>
      </c>
      <c r="B1646" t="s">
        <v>335</v>
      </c>
      <c r="C1646" s="2" t="str">
        <f>HYPERLINK("http://snap.windin.com/ns/bulletin.php?id=1726713&amp;type=1", "开尔新材:首次公开发行股票并在创业板上市之上市公告书")</f>
        <v>开尔新材:首次公开发行股票并在创业板上市之上市公告书</v>
      </c>
    </row>
    <row r="1647" spans="1:3" x14ac:dyDescent="0.15">
      <c r="A1647" s="1">
        <v>40715</v>
      </c>
      <c r="B1647" t="s">
        <v>322</v>
      </c>
      <c r="C1647" s="2" t="str">
        <f>HYPERLINK("http://snap.windin.com/ns/bulletin.php?id=1726210&amp;type=1", "山东章鼓:首次公开发行股票招股意向书")</f>
        <v>山东章鼓:首次公开发行股票招股意向书</v>
      </c>
    </row>
    <row r="1648" spans="1:3" x14ac:dyDescent="0.15">
      <c r="A1648" s="1">
        <v>40715</v>
      </c>
      <c r="B1648" t="s">
        <v>323</v>
      </c>
      <c r="C1648" s="2" t="str">
        <f>HYPERLINK("http://snap.windin.com/ns/bulletin.php?id=1628809&amp;type=1", "海南瑞泽:首次公开发行股票招股说明书")</f>
        <v>海南瑞泽:首次公开发行股票招股说明书</v>
      </c>
    </row>
    <row r="1649" spans="1:3" x14ac:dyDescent="0.15">
      <c r="A1649" s="1">
        <v>40715</v>
      </c>
      <c r="B1649" t="s">
        <v>321</v>
      </c>
      <c r="C1649" s="2" t="str">
        <f>HYPERLINK("http://snap.windin.com/ns/bulletin.php?id=1509130&amp;type=1", "金禾实业:首次公开发行股票招股意向书")</f>
        <v>金禾实业:首次公开发行股票招股意向书</v>
      </c>
    </row>
    <row r="1650" spans="1:3" x14ac:dyDescent="0.15">
      <c r="A1650" s="1">
        <v>40715</v>
      </c>
      <c r="B1650" t="s">
        <v>323</v>
      </c>
      <c r="C1650" s="2" t="str">
        <f>HYPERLINK("http://snap.windin.com/ns/bulletin.php?id=1151915&amp;type=1", "海南瑞泽:首次公开发行股票招股说明书摘要")</f>
        <v>海南瑞泽:首次公开发行股票招股说明书摘要</v>
      </c>
    </row>
    <row r="1651" spans="1:3" x14ac:dyDescent="0.15">
      <c r="A1651" s="1">
        <v>40715</v>
      </c>
      <c r="B1651" t="s">
        <v>322</v>
      </c>
      <c r="C1651" s="2" t="str">
        <f>HYPERLINK("http://snap.windin.com/ns/bulletin.php?id=932434&amp;type=1", "山东章鼓:首次公开发行股票招股意向书摘要")</f>
        <v>山东章鼓:首次公开发行股票招股意向书摘要</v>
      </c>
    </row>
    <row r="1652" spans="1:3" x14ac:dyDescent="0.15">
      <c r="A1652" s="1">
        <v>40715</v>
      </c>
      <c r="B1652" t="s">
        <v>334</v>
      </c>
      <c r="C1652" s="2" t="str">
        <f>HYPERLINK("http://snap.windin.com/ns/bulletin.php?id=760218&amp;type=1", "洲明科技:首次公开发行股票上市公告书")</f>
        <v>洲明科技:首次公开发行股票上市公告书</v>
      </c>
    </row>
    <row r="1653" spans="1:3" x14ac:dyDescent="0.15">
      <c r="A1653" s="1">
        <v>40715</v>
      </c>
      <c r="B1653" t="s">
        <v>336</v>
      </c>
      <c r="C1653" s="2" t="str">
        <f>HYPERLINK("http://snap.windin.com/ns/bulletin.php?id=718731&amp;type=1", "金城医药:首次公开发行股票并在创业板上市之上市公告书提示性公告")</f>
        <v>金城医药:首次公开发行股票并在创业板上市之上市公告书提示性公告</v>
      </c>
    </row>
    <row r="1654" spans="1:3" x14ac:dyDescent="0.15">
      <c r="A1654" s="1">
        <v>40715</v>
      </c>
      <c r="B1654" t="s">
        <v>337</v>
      </c>
      <c r="C1654" s="2" t="str">
        <f>HYPERLINK("http://snap.windin.com/ns/bulletin.php?id=185586&amp;type=1", "蓝科高新:首次公开发行股票招股说明书")</f>
        <v>蓝科高新:首次公开发行股票招股说明书</v>
      </c>
    </row>
    <row r="1655" spans="1:3" x14ac:dyDescent="0.15">
      <c r="A1655" s="1">
        <v>40715</v>
      </c>
      <c r="B1655" t="s">
        <v>337</v>
      </c>
      <c r="C1655" s="2" t="str">
        <f>HYPERLINK("http://snap.windin.com/ns/bulletin.php?id=84360&amp;type=1", "蓝科高新:首次公开发行A股股票上市公告书")</f>
        <v>蓝科高新:首次公开发行A股股票上市公告书</v>
      </c>
    </row>
    <row r="1656" spans="1:3" x14ac:dyDescent="0.15">
      <c r="A1656" s="1">
        <v>40715</v>
      </c>
      <c r="B1656" t="s">
        <v>336</v>
      </c>
      <c r="C1656" s="2" t="str">
        <f>HYPERLINK("http://snap.windin.com/ns/bulletin.php?id=72972&amp;type=1", "金城医药:首次公开发行股票并在创业板上市之上市公告书")</f>
        <v>金城医药:首次公开发行股票并在创业板上市之上市公告书</v>
      </c>
    </row>
    <row r="1657" spans="1:3" x14ac:dyDescent="0.15">
      <c r="A1657" s="1">
        <v>40714</v>
      </c>
      <c r="B1657" t="s">
        <v>338</v>
      </c>
      <c r="C1657" s="2" t="str">
        <f>HYPERLINK("http://snap.windin.com/ns/bulletin.php?id=1070956&amp;type=1", "恒大高新:首次公开发行股票上市公告书")</f>
        <v>恒大高新:首次公开发行股票上市公告书</v>
      </c>
    </row>
    <row r="1658" spans="1:3" x14ac:dyDescent="0.15">
      <c r="A1658" s="1">
        <v>40714</v>
      </c>
      <c r="B1658" t="s">
        <v>328</v>
      </c>
      <c r="C1658" s="2" t="str">
        <f>HYPERLINK("http://snap.windin.com/ns/bulletin.php?id=837078&amp;type=1", "比亚迪:首次公开发行A股股票招股说明书摘要")</f>
        <v>比亚迪:首次公开发行A股股票招股说明书摘要</v>
      </c>
    </row>
    <row r="1659" spans="1:3" x14ac:dyDescent="0.15">
      <c r="A1659" s="1">
        <v>40714</v>
      </c>
      <c r="B1659" t="s">
        <v>328</v>
      </c>
      <c r="C1659" s="2" t="str">
        <f>HYPERLINK("http://snap.windin.com/ns/bulletin.php?id=827024&amp;type=1", "比亚迪:首次公开发行A股股票招股说明书")</f>
        <v>比亚迪:首次公开发行A股股票招股说明书</v>
      </c>
    </row>
    <row r="1660" spans="1:3" x14ac:dyDescent="0.15">
      <c r="A1660" s="1">
        <v>40711</v>
      </c>
      <c r="B1660" t="s">
        <v>326</v>
      </c>
      <c r="C1660" s="2" t="str">
        <f>HYPERLINK("http://snap.windin.com/ns/bulletin.php?id=19458224&amp;type=1", "东宝生物:首次公开发行股票并在创业板上市招股意向书")</f>
        <v>东宝生物:首次公开发行股票并在创业板上市招股意向书</v>
      </c>
    </row>
    <row r="1661" spans="1:3" x14ac:dyDescent="0.15">
      <c r="A1661" s="1">
        <v>40711</v>
      </c>
      <c r="B1661" t="s">
        <v>325</v>
      </c>
      <c r="C1661" s="2" t="str">
        <f>HYPERLINK("http://snap.windin.com/ns/bulletin.php?id=18448490&amp;type=1", "飞力达:首次公开发行股票并在创业板上市招股意向书")</f>
        <v>飞力达:首次公开发行股票并在创业板上市招股意向书</v>
      </c>
    </row>
    <row r="1662" spans="1:3" x14ac:dyDescent="0.15">
      <c r="A1662" s="1">
        <v>40711</v>
      </c>
      <c r="B1662" t="s">
        <v>324</v>
      </c>
      <c r="C1662" s="2" t="str">
        <f>HYPERLINK("http://snap.windin.com/ns/bulletin.php?id=18445460&amp;type=1", "冠昊生物:首次公开发行股票并在创业板上市招股意向书")</f>
        <v>冠昊生物:首次公开发行股票并在创业板上市招股意向书</v>
      </c>
    </row>
    <row r="1663" spans="1:3" x14ac:dyDescent="0.15">
      <c r="A1663" s="1">
        <v>40711</v>
      </c>
      <c r="B1663" t="s">
        <v>326</v>
      </c>
      <c r="C1663" s="2" t="str">
        <f>HYPERLINK("http://snap.windin.com/ns/bulletin.php?id=1955830&amp;type=1", "东宝生物:首次公开发行股票并在创业板上市招股意向书")</f>
        <v>东宝生物:首次公开发行股票并在创业板上市招股意向书</v>
      </c>
    </row>
    <row r="1664" spans="1:3" x14ac:dyDescent="0.15">
      <c r="A1664" s="1">
        <v>40711</v>
      </c>
      <c r="B1664" t="s">
        <v>331</v>
      </c>
      <c r="C1664" s="2" t="str">
        <f>HYPERLINK("http://snap.windin.com/ns/bulletin.php?id=1729975&amp;type=1", "美晨科技:首次公开发行股票并在创业板上市招股说明书")</f>
        <v>美晨科技:首次公开发行股票并在创业板上市招股说明书</v>
      </c>
    </row>
    <row r="1665" spans="1:3" x14ac:dyDescent="0.15">
      <c r="A1665" s="1">
        <v>40711</v>
      </c>
      <c r="B1665" t="s">
        <v>329</v>
      </c>
      <c r="C1665" s="2" t="str">
        <f>HYPERLINK("http://snap.windin.com/ns/bulletin.php?id=1460276&amp;type=1", "上海新阳:首次公开发行股票并在创业板上市招股说明书")</f>
        <v>上海新阳:首次公开发行股票并在创业板上市招股说明书</v>
      </c>
    </row>
    <row r="1666" spans="1:3" x14ac:dyDescent="0.15">
      <c r="A1666" s="1">
        <v>40711</v>
      </c>
      <c r="B1666" t="s">
        <v>330</v>
      </c>
      <c r="C1666" s="2" t="str">
        <f>HYPERLINK("http://snap.windin.com/ns/bulletin.php?id=629806&amp;type=1", "方直科技:首次公开发行股票并在创业板上市招股说明书")</f>
        <v>方直科技:首次公开发行股票并在创业板上市招股说明书</v>
      </c>
    </row>
    <row r="1667" spans="1:3" x14ac:dyDescent="0.15">
      <c r="A1667" s="1">
        <v>40711</v>
      </c>
      <c r="B1667" t="s">
        <v>324</v>
      </c>
      <c r="C1667" s="2" t="str">
        <f>HYPERLINK("http://snap.windin.com/ns/bulletin.php?id=502344&amp;type=1", "冠昊生物:首次公开发行股票并在创业板上市招股意向书")</f>
        <v>冠昊生物:首次公开发行股票并在创业板上市招股意向书</v>
      </c>
    </row>
    <row r="1668" spans="1:3" x14ac:dyDescent="0.15">
      <c r="A1668" s="1">
        <v>40711</v>
      </c>
      <c r="B1668" t="s">
        <v>325</v>
      </c>
      <c r="C1668" s="2" t="str">
        <f>HYPERLINK("http://snap.windin.com/ns/bulletin.php?id=211920&amp;type=1", "飞力达:首次公开发行股票并在创业板上市招股意向书")</f>
        <v>飞力达:首次公开发行股票并在创业板上市招股意向书</v>
      </c>
    </row>
    <row r="1669" spans="1:3" x14ac:dyDescent="0.15">
      <c r="A1669" s="1">
        <v>40709</v>
      </c>
      <c r="B1669" t="s">
        <v>333</v>
      </c>
      <c r="C1669" s="2" t="str">
        <f>HYPERLINK("http://snap.windin.com/ns/bulletin.php?id=2067236&amp;type=1", "日上集团:首次公开发行股票招股说明书摘要")</f>
        <v>日上集团:首次公开发行股票招股说明书摘要</v>
      </c>
    </row>
    <row r="1670" spans="1:3" x14ac:dyDescent="0.15">
      <c r="A1670" s="1">
        <v>40709</v>
      </c>
      <c r="B1670" t="s">
        <v>332</v>
      </c>
      <c r="C1670" s="2" t="str">
        <f>HYPERLINK("http://snap.windin.com/ns/bulletin.php?id=1689746&amp;type=1", "豪迈科技:首次公开发行股票招股说明书")</f>
        <v>豪迈科技:首次公开发行股票招股说明书</v>
      </c>
    </row>
    <row r="1671" spans="1:3" x14ac:dyDescent="0.15">
      <c r="A1671" s="1">
        <v>40709</v>
      </c>
      <c r="B1671" t="s">
        <v>333</v>
      </c>
      <c r="C1671" s="2" t="str">
        <f>HYPERLINK("http://snap.windin.com/ns/bulletin.php?id=436397&amp;type=1", "日上集团:首次公开发行股票招股说明书")</f>
        <v>日上集团:首次公开发行股票招股说明书</v>
      </c>
    </row>
    <row r="1672" spans="1:3" x14ac:dyDescent="0.15">
      <c r="A1672" s="1">
        <v>40709</v>
      </c>
      <c r="B1672" t="s">
        <v>332</v>
      </c>
      <c r="C1672" s="2" t="str">
        <f>HYPERLINK("http://snap.windin.com/ns/bulletin.php?id=113609&amp;type=1", "豪迈科技:首次公开发行股票招股说明书摘要")</f>
        <v>豪迈科技:首次公开发行股票招股说明书摘要</v>
      </c>
    </row>
    <row r="1673" spans="1:3" x14ac:dyDescent="0.15">
      <c r="A1673" s="1">
        <v>40708</v>
      </c>
      <c r="B1673" t="s">
        <v>339</v>
      </c>
      <c r="C1673" s="2" t="str">
        <f>HYPERLINK("http://snap.windin.com/ns/bulletin.php?id=1845919&amp;type=1", "拓尔思:首次公开发行股票并在创业板上市之上市公告书")</f>
        <v>拓尔思:首次公开发行股票并在创业板上市之上市公告书</v>
      </c>
    </row>
    <row r="1674" spans="1:3" x14ac:dyDescent="0.15">
      <c r="A1674" s="1">
        <v>40708</v>
      </c>
      <c r="B1674" t="s">
        <v>340</v>
      </c>
      <c r="C1674" s="2" t="str">
        <f>HYPERLINK("http://snap.windin.com/ns/bulletin.php?id=1816031&amp;type=1", "银信科技:首次公开发行股票并在创业板上市公告书")</f>
        <v>银信科技:首次公开发行股票并在创业板上市公告书</v>
      </c>
    </row>
    <row r="1675" spans="1:3" x14ac:dyDescent="0.15">
      <c r="A1675" s="1">
        <v>40708</v>
      </c>
      <c r="B1675" t="s">
        <v>339</v>
      </c>
      <c r="C1675" s="2" t="str">
        <f>HYPERLINK("http://snap.windin.com/ns/bulletin.php?id=1718760&amp;type=1", "拓尔思:首次公开发行股票并在创业板上市公告书提示性公告")</f>
        <v>拓尔思:首次公开发行股票并在创业板上市公告书提示性公告</v>
      </c>
    </row>
    <row r="1676" spans="1:3" x14ac:dyDescent="0.15">
      <c r="A1676" s="1">
        <v>40708</v>
      </c>
      <c r="B1676" t="s">
        <v>341</v>
      </c>
      <c r="C1676" s="2" t="str">
        <f>HYPERLINK("http://snap.windin.com/ns/bulletin.php?id=1361611&amp;type=1", "永利带业:首次公开发行股票并在创业板上市公告书提示性公告")</f>
        <v>永利带业:首次公开发行股票并在创业板上市公告书提示性公告</v>
      </c>
    </row>
    <row r="1677" spans="1:3" x14ac:dyDescent="0.15">
      <c r="A1677" s="1">
        <v>40708</v>
      </c>
      <c r="B1677" t="s">
        <v>342</v>
      </c>
      <c r="C1677" s="2" t="str">
        <f>HYPERLINK("http://snap.windin.com/ns/bulletin.php?id=1197831&amp;type=1", "三星电气:首次公开发行股票招股说明书")</f>
        <v>三星电气:首次公开发行股票招股说明书</v>
      </c>
    </row>
    <row r="1678" spans="1:3" x14ac:dyDescent="0.15">
      <c r="A1678" s="1">
        <v>40708</v>
      </c>
      <c r="B1678" t="s">
        <v>340</v>
      </c>
      <c r="C1678" s="2" t="str">
        <f>HYPERLINK("http://snap.windin.com/ns/bulletin.php?id=1147338&amp;type=1", "银信科技:首次公开发行股票并在创业板上市公告书提示性公告")</f>
        <v>银信科技:首次公开发行股票并在创业板上市公告书提示性公告</v>
      </c>
    </row>
    <row r="1679" spans="1:3" x14ac:dyDescent="0.15">
      <c r="A1679" s="1">
        <v>40708</v>
      </c>
      <c r="B1679" t="s">
        <v>342</v>
      </c>
      <c r="C1679" s="2" t="str">
        <f>HYPERLINK("http://snap.windin.com/ns/bulletin.php?id=1069197&amp;type=1", "三星电气:首次公开发行A股股票上市公告书")</f>
        <v>三星电气:首次公开发行A股股票上市公告书</v>
      </c>
    </row>
    <row r="1680" spans="1:3" x14ac:dyDescent="0.15">
      <c r="A1680" s="1">
        <v>40708</v>
      </c>
      <c r="B1680" t="s">
        <v>341</v>
      </c>
      <c r="C1680" s="2" t="str">
        <f>HYPERLINK("http://snap.windin.com/ns/bulletin.php?id=1060780&amp;type=1", "永利带业:首次公开发行股票并在创业板上市公告书")</f>
        <v>永利带业:首次公开发行股票并在创业板上市公告书</v>
      </c>
    </row>
    <row r="1681" spans="1:3" x14ac:dyDescent="0.15">
      <c r="A1681" s="1">
        <v>40708</v>
      </c>
      <c r="B1681" t="s">
        <v>327</v>
      </c>
      <c r="C1681" s="2" t="str">
        <f>HYPERLINK("http://snap.windin.com/ns/bulletin.php?id=913609&amp;type=1", "赛轮股份:首次公开发行股票招股意向书附录")</f>
        <v>赛轮股份:首次公开发行股票招股意向书附录</v>
      </c>
    </row>
    <row r="1682" spans="1:3" x14ac:dyDescent="0.15">
      <c r="A1682" s="1">
        <v>40708</v>
      </c>
      <c r="B1682" t="s">
        <v>323</v>
      </c>
      <c r="C1682" s="2" t="str">
        <f>HYPERLINK("http://snap.windin.com/ns/bulletin.php?id=678738&amp;type=1", "海南瑞泽:首次公开发行股票并上市招股意向书摘要")</f>
        <v>海南瑞泽:首次公开发行股票并上市招股意向书摘要</v>
      </c>
    </row>
    <row r="1683" spans="1:3" x14ac:dyDescent="0.15">
      <c r="A1683" s="1">
        <v>40708</v>
      </c>
      <c r="B1683" t="s">
        <v>327</v>
      </c>
      <c r="C1683" s="2" t="str">
        <f>HYPERLINK("http://snap.windin.com/ns/bulletin.php?id=541051&amp;type=1", "赛轮股份:首次公开发行股票招股意向书")</f>
        <v>赛轮股份:首次公开发行股票招股意向书</v>
      </c>
    </row>
    <row r="1684" spans="1:3" x14ac:dyDescent="0.15">
      <c r="A1684" s="1">
        <v>40708</v>
      </c>
      <c r="B1684" t="s">
        <v>323</v>
      </c>
      <c r="C1684" s="2" t="str">
        <f>HYPERLINK("http://snap.windin.com/ns/bulletin.php?id=199794&amp;type=1", "海南瑞泽:首次公开发行股票并上市招股意向书")</f>
        <v>海南瑞泽:首次公开发行股票并上市招股意向书</v>
      </c>
    </row>
    <row r="1685" spans="1:3" x14ac:dyDescent="0.15">
      <c r="A1685" s="1">
        <v>40708</v>
      </c>
      <c r="B1685" t="s">
        <v>327</v>
      </c>
      <c r="C1685" s="2" t="str">
        <f>HYPERLINK("http://snap.windin.com/ns/bulletin.php?id=151447&amp;type=1", "赛轮股份:首次公开发行股票招股意向书摘要")</f>
        <v>赛轮股份:首次公开发行股票招股意向书摘要</v>
      </c>
    </row>
    <row r="1686" spans="1:3" x14ac:dyDescent="0.15">
      <c r="A1686" s="1">
        <v>40707</v>
      </c>
      <c r="B1686" t="s">
        <v>334</v>
      </c>
      <c r="C1686" s="2" t="str">
        <f>HYPERLINK("http://snap.windin.com/ns/bulletin.php?id=2100102&amp;type=1", "洲明科技:首次公开发行股票并在创业板上市招股说明书")</f>
        <v>洲明科技:首次公开发行股票并在创业板上市招股说明书</v>
      </c>
    </row>
    <row r="1687" spans="1:3" x14ac:dyDescent="0.15">
      <c r="A1687" s="1">
        <v>40707</v>
      </c>
      <c r="B1687" t="s">
        <v>335</v>
      </c>
      <c r="C1687" s="2" t="str">
        <f>HYPERLINK("http://snap.windin.com/ns/bulletin.php?id=1809121&amp;type=1", "开尔新材:首次公开发行股票并在创业板上市招股说明书")</f>
        <v>开尔新材:首次公开发行股票并在创业板上市招股说明书</v>
      </c>
    </row>
    <row r="1688" spans="1:3" x14ac:dyDescent="0.15">
      <c r="A1688" s="1">
        <v>40707</v>
      </c>
      <c r="B1688" t="s">
        <v>336</v>
      </c>
      <c r="C1688" s="2" t="str">
        <f>HYPERLINK("http://snap.windin.com/ns/bulletin.php?id=425700&amp;type=1", "金城医药:首次公开发行股票并在创业板上市招股说明书")</f>
        <v>金城医药:首次公开发行股票并在创业板上市招股说明书</v>
      </c>
    </row>
    <row r="1689" spans="1:3" x14ac:dyDescent="0.15">
      <c r="A1689" s="1">
        <v>40704</v>
      </c>
      <c r="B1689" t="s">
        <v>330</v>
      </c>
      <c r="C1689" s="2" t="str">
        <f>HYPERLINK("http://snap.windin.com/ns/bulletin.php?id=1960959&amp;type=1", "方直科技:首次公开发行股票并在创业板上市招股意向书")</f>
        <v>方直科技:首次公开发行股票并在创业板上市招股意向书</v>
      </c>
    </row>
    <row r="1690" spans="1:3" x14ac:dyDescent="0.15">
      <c r="A1690" s="1">
        <v>40704</v>
      </c>
      <c r="B1690" t="s">
        <v>331</v>
      </c>
      <c r="C1690" s="2" t="str">
        <f>HYPERLINK("http://snap.windin.com/ns/bulletin.php?id=1798726&amp;type=1", "美晨科技:首次公开发行股票并在创业板上市招股意向书")</f>
        <v>美晨科技:首次公开发行股票并在创业板上市招股意向书</v>
      </c>
    </row>
    <row r="1691" spans="1:3" x14ac:dyDescent="0.15">
      <c r="A1691" s="1">
        <v>40704</v>
      </c>
      <c r="B1691" t="s">
        <v>329</v>
      </c>
      <c r="C1691" s="2" t="str">
        <f>HYPERLINK("http://snap.windin.com/ns/bulletin.php?id=1577941&amp;type=1", "上海新阳:首次公开发行股票并在创业板上市招股意向书")</f>
        <v>上海新阳:首次公开发行股票并在创业板上市招股意向书</v>
      </c>
    </row>
    <row r="1692" spans="1:3" x14ac:dyDescent="0.15">
      <c r="A1692" s="1">
        <v>40703</v>
      </c>
      <c r="B1692" t="s">
        <v>343</v>
      </c>
      <c r="C1692" s="2" t="str">
        <f>HYPERLINK("http://snap.windin.com/ns/bulletin.php?id=1848525&amp;type=1", "万安科技:首次公开发行股票上市公告书")</f>
        <v>万安科技:首次公开发行股票上市公告书</v>
      </c>
    </row>
    <row r="1693" spans="1:3" x14ac:dyDescent="0.15">
      <c r="A1693" s="1">
        <v>40703</v>
      </c>
      <c r="B1693" t="s">
        <v>344</v>
      </c>
      <c r="C1693" s="2" t="str">
        <f>HYPERLINK("http://snap.windin.com/ns/bulletin.php?id=1686780&amp;type=1", "奥拓电子:首次公开发行股票上市公告书")</f>
        <v>奥拓电子:首次公开发行股票上市公告书</v>
      </c>
    </row>
    <row r="1694" spans="1:3" x14ac:dyDescent="0.15">
      <c r="A1694" s="1">
        <v>40703</v>
      </c>
      <c r="B1694" t="s">
        <v>338</v>
      </c>
      <c r="C1694" s="2" t="str">
        <f>HYPERLINK("http://snap.windin.com/ns/bulletin.php?id=925986&amp;type=1", "恒大高新:首次公开发行股票招股说明书")</f>
        <v>恒大高新:首次公开发行股票招股说明书</v>
      </c>
    </row>
    <row r="1695" spans="1:3" x14ac:dyDescent="0.15">
      <c r="A1695" s="1">
        <v>40703</v>
      </c>
      <c r="B1695" t="s">
        <v>345</v>
      </c>
      <c r="C1695" s="2" t="str">
        <f>HYPERLINK("http://snap.windin.com/ns/bulletin.php?id=717972&amp;type=1", "瑞康医药:首次公开发行股票上市公告书")</f>
        <v>瑞康医药:首次公开发行股票上市公告书</v>
      </c>
    </row>
    <row r="1696" spans="1:3" x14ac:dyDescent="0.15">
      <c r="A1696" s="1">
        <v>40703</v>
      </c>
      <c r="B1696" t="s">
        <v>346</v>
      </c>
      <c r="C1696" s="2" t="str">
        <f>HYPERLINK("http://snap.windin.com/ns/bulletin.php?id=402199&amp;type=1", "史丹利:首次公开发行股票上市公告书")</f>
        <v>史丹利:首次公开发行股票上市公告书</v>
      </c>
    </row>
    <row r="1697" spans="1:3" x14ac:dyDescent="0.15">
      <c r="A1697" s="1">
        <v>40703</v>
      </c>
      <c r="B1697" t="s">
        <v>338</v>
      </c>
      <c r="C1697" s="2" t="str">
        <f>HYPERLINK("http://snap.windin.com/ns/bulletin.php?id=225561&amp;type=1", "恒大高新:首次公开发行股票招股说明书摘要")</f>
        <v>恒大高新:首次公开发行股票招股说明书摘要</v>
      </c>
    </row>
    <row r="1698" spans="1:3" x14ac:dyDescent="0.15">
      <c r="A1698" s="1">
        <v>40702</v>
      </c>
      <c r="B1698" t="s">
        <v>333</v>
      </c>
      <c r="C1698" s="2" t="str">
        <f>HYPERLINK("http://snap.windin.com/ns/bulletin.php?id=1747288&amp;type=1", "日上集团:首次公开发行股票招股意向书摘要")</f>
        <v>日上集团:首次公开发行股票招股意向书摘要</v>
      </c>
    </row>
    <row r="1699" spans="1:3" x14ac:dyDescent="0.15">
      <c r="A1699" s="1">
        <v>40702</v>
      </c>
      <c r="B1699" t="s">
        <v>328</v>
      </c>
      <c r="C1699" s="2" t="str">
        <f>HYPERLINK("http://snap.windin.com/ns/bulletin.php?id=1462830&amp;type=1", "比亚迪:首次公开发行A股股票招股意向书摘要")</f>
        <v>比亚迪:首次公开发行A股股票招股意向书摘要</v>
      </c>
    </row>
    <row r="1700" spans="1:3" x14ac:dyDescent="0.15">
      <c r="A1700" s="1">
        <v>40702</v>
      </c>
      <c r="B1700" t="s">
        <v>328</v>
      </c>
      <c r="C1700" s="2" t="str">
        <f>HYPERLINK("http://snap.windin.com/ns/bulletin.php?id=1199807&amp;type=1", "比亚迪:首次公开发行A股股票招股意向书")</f>
        <v>比亚迪:首次公开发行A股股票招股意向书</v>
      </c>
    </row>
    <row r="1701" spans="1:3" x14ac:dyDescent="0.15">
      <c r="A1701" s="1">
        <v>40702</v>
      </c>
      <c r="B1701" t="s">
        <v>332</v>
      </c>
      <c r="C1701" s="2" t="str">
        <f>HYPERLINK("http://snap.windin.com/ns/bulletin.php?id=809272&amp;type=1", "豪迈科技:首次公开发行股票招股意向书摘要")</f>
        <v>豪迈科技:首次公开发行股票招股意向书摘要</v>
      </c>
    </row>
    <row r="1702" spans="1:3" x14ac:dyDescent="0.15">
      <c r="A1702" s="1">
        <v>40702</v>
      </c>
      <c r="B1702" t="s">
        <v>333</v>
      </c>
      <c r="C1702" s="2" t="str">
        <f>HYPERLINK("http://snap.windin.com/ns/bulletin.php?id=456262&amp;type=1", "日上集团:首次公开发行股票招股意向书")</f>
        <v>日上集团:首次公开发行股票招股意向书</v>
      </c>
    </row>
    <row r="1703" spans="1:3" x14ac:dyDescent="0.15">
      <c r="A1703" s="1">
        <v>40702</v>
      </c>
      <c r="B1703" t="s">
        <v>332</v>
      </c>
      <c r="C1703" s="2" t="str">
        <f>HYPERLINK("http://snap.windin.com/ns/bulletin.php?id=455526&amp;type=1", "豪迈科技:首次公开发行股票招股意向书")</f>
        <v>豪迈科技:首次公开发行股票招股意向书</v>
      </c>
    </row>
    <row r="1704" spans="1:3" x14ac:dyDescent="0.15">
      <c r="A1704" s="1">
        <v>40701</v>
      </c>
      <c r="B1704" t="s">
        <v>347</v>
      </c>
      <c r="C1704" s="2" t="str">
        <f>HYPERLINK("http://snap.windin.com/ns/bulletin.php?id=1970909&amp;type=1", "光韵达:首次公开发行股票并在创业板上市上市公告书提示性公告")</f>
        <v>光韵达:首次公开发行股票并在创业板上市上市公告书提示性公告</v>
      </c>
    </row>
    <row r="1705" spans="1:3" x14ac:dyDescent="0.15">
      <c r="A1705" s="1">
        <v>40701</v>
      </c>
      <c r="B1705" t="s">
        <v>347</v>
      </c>
      <c r="C1705" s="2" t="str">
        <f>HYPERLINK("http://snap.windin.com/ns/bulletin.php?id=1908975&amp;type=1", "光韵达:首次公开发行股票并在创业板上市上市公告书")</f>
        <v>光韵达:首次公开发行股票并在创业板上市上市公告书</v>
      </c>
    </row>
    <row r="1706" spans="1:3" x14ac:dyDescent="0.15">
      <c r="A1706" s="1">
        <v>40701</v>
      </c>
      <c r="B1706" t="s">
        <v>348</v>
      </c>
      <c r="C1706" s="2" t="str">
        <f>HYPERLINK("http://snap.windin.com/ns/bulletin.php?id=1527680&amp;type=1", "富瑞特装:首次公开发行股票并在创业板上市上市公告书")</f>
        <v>富瑞特装:首次公开发行股票并在创业板上市上市公告书</v>
      </c>
    </row>
    <row r="1707" spans="1:3" x14ac:dyDescent="0.15">
      <c r="A1707" s="1">
        <v>40701</v>
      </c>
      <c r="B1707" t="s">
        <v>348</v>
      </c>
      <c r="C1707" s="2" t="str">
        <f>HYPERLINK("http://snap.windin.com/ns/bulletin.php?id=1512404&amp;type=1", "富瑞特装:首次公开发行股票并在创业板上市公告书提示性公告")</f>
        <v>富瑞特装:首次公开发行股票并在创业板上市公告书提示性公告</v>
      </c>
    </row>
    <row r="1708" spans="1:3" x14ac:dyDescent="0.15">
      <c r="A1708" s="1">
        <v>40701</v>
      </c>
      <c r="B1708" t="s">
        <v>349</v>
      </c>
      <c r="C1708" s="2" t="str">
        <f>HYPERLINK("http://snap.windin.com/ns/bulletin.php?id=1387158&amp;type=1", "上海钢联:首次公开发行股票上市公告书")</f>
        <v>上海钢联:首次公开发行股票上市公告书</v>
      </c>
    </row>
    <row r="1709" spans="1:3" x14ac:dyDescent="0.15">
      <c r="A1709" s="1">
        <v>40701</v>
      </c>
      <c r="B1709" t="s">
        <v>349</v>
      </c>
      <c r="C1709" s="2" t="str">
        <f>HYPERLINK("http://snap.windin.com/ns/bulletin.php?id=1134062&amp;type=1", "上海钢联:首次公开发行股票并在创业板上市公告书提示性公告")</f>
        <v>上海钢联:首次公开发行股票并在创业板上市公告书提示性公告</v>
      </c>
    </row>
    <row r="1710" spans="1:3" x14ac:dyDescent="0.15">
      <c r="A1710" s="1">
        <v>40697</v>
      </c>
      <c r="B1710" t="s">
        <v>339</v>
      </c>
      <c r="C1710" s="2" t="str">
        <f>HYPERLINK("http://snap.windin.com/ns/bulletin.php?id=1416081&amp;type=1", "拓尔思:首次公开发行股票并在创业板上市招股说明书")</f>
        <v>拓尔思:首次公开发行股票并在创业板上市招股说明书</v>
      </c>
    </row>
    <row r="1711" spans="1:3" x14ac:dyDescent="0.15">
      <c r="A1711" s="1">
        <v>40697</v>
      </c>
      <c r="B1711" t="s">
        <v>341</v>
      </c>
      <c r="C1711" s="2" t="str">
        <f>HYPERLINK("http://snap.windin.com/ns/bulletin.php?id=1182589&amp;type=1", "永利带业:首次公开发行股票并在创业板上市招股说明书")</f>
        <v>永利带业:首次公开发行股票并在创业板上市招股说明书</v>
      </c>
    </row>
    <row r="1712" spans="1:3" x14ac:dyDescent="0.15">
      <c r="A1712" s="1">
        <v>40697</v>
      </c>
      <c r="B1712" t="s">
        <v>336</v>
      </c>
      <c r="C1712" s="2" t="str">
        <f>HYPERLINK("http://snap.windin.com/ns/bulletin.php?id=1161844&amp;type=1", "金城医药:首次公开发行股票并在创业板上市招股意向书")</f>
        <v>金城医药:首次公开发行股票并在创业板上市招股意向书</v>
      </c>
    </row>
    <row r="1713" spans="1:3" x14ac:dyDescent="0.15">
      <c r="A1713" s="1">
        <v>40697</v>
      </c>
      <c r="B1713" t="s">
        <v>334</v>
      </c>
      <c r="C1713" s="2" t="str">
        <f>HYPERLINK("http://snap.windin.com/ns/bulletin.php?id=840943&amp;type=1", "洲明科技:首次公开发行股票并在创业板上市招股意向书")</f>
        <v>洲明科技:首次公开发行股票并在创业板上市招股意向书</v>
      </c>
    </row>
    <row r="1714" spans="1:3" x14ac:dyDescent="0.15">
      <c r="A1714" s="1">
        <v>40697</v>
      </c>
      <c r="B1714" t="s">
        <v>340</v>
      </c>
      <c r="C1714" s="2" t="str">
        <f>HYPERLINK("http://snap.windin.com/ns/bulletin.php?id=795638&amp;type=1", "银信科技:首次公开发行股票并在创业板上市招股说明书")</f>
        <v>银信科技:首次公开发行股票并在创业板上市招股说明书</v>
      </c>
    </row>
    <row r="1715" spans="1:3" x14ac:dyDescent="0.15">
      <c r="A1715" s="1">
        <v>40697</v>
      </c>
      <c r="B1715" t="s">
        <v>335</v>
      </c>
      <c r="C1715" s="2" t="str">
        <f>HYPERLINK("http://snap.windin.com/ns/bulletin.php?id=578904&amp;type=1", "开尔新材:首次公开发行股票并在创业板上市招股意向书")</f>
        <v>开尔新材:首次公开发行股票并在创业板上市招股意向书</v>
      </c>
    </row>
    <row r="1716" spans="1:3" x14ac:dyDescent="0.15">
      <c r="A1716" s="1">
        <v>40696</v>
      </c>
      <c r="B1716" t="s">
        <v>350</v>
      </c>
      <c r="C1716" s="2" t="str">
        <f>HYPERLINK("http://snap.windin.com/ns/bulletin.php?id=526072&amp;type=1", "文峰股份:首次公开发行股票招股说明书")</f>
        <v>文峰股份:首次公开发行股票招股说明书</v>
      </c>
    </row>
    <row r="1717" spans="1:3" x14ac:dyDescent="0.15">
      <c r="A1717" s="1">
        <v>40696</v>
      </c>
      <c r="B1717" t="s">
        <v>350</v>
      </c>
      <c r="C1717" s="2" t="str">
        <f>HYPERLINK("http://snap.windin.com/ns/bulletin.php?id=217755&amp;type=1", "文峰股份:首次公开发行A股股票上市公告书")</f>
        <v>文峰股份:首次公开发行A股股票上市公告书</v>
      </c>
    </row>
    <row r="1718" spans="1:3" x14ac:dyDescent="0.15">
      <c r="A1718" s="1">
        <v>40695</v>
      </c>
      <c r="B1718" t="s">
        <v>351</v>
      </c>
      <c r="C1718" s="2" t="str">
        <f>HYPERLINK("http://snap.windin.com/ns/bulletin.php?id=2089312&amp;type=1", "西陇化工:首次公开发行股票上市公告书")</f>
        <v>西陇化工:首次公开发行股票上市公告书</v>
      </c>
    </row>
    <row r="1719" spans="1:3" x14ac:dyDescent="0.15">
      <c r="A1719" s="1">
        <v>40695</v>
      </c>
      <c r="B1719" t="s">
        <v>337</v>
      </c>
      <c r="C1719" s="2" t="str">
        <f>HYPERLINK("http://snap.windin.com/ns/bulletin.php?id=2034848&amp;type=1", "蓝科高新:首次公开发行股票并上市招股意向书附录")</f>
        <v>蓝科高新:首次公开发行股票并上市招股意向书附录</v>
      </c>
    </row>
    <row r="1720" spans="1:3" x14ac:dyDescent="0.15">
      <c r="A1720" s="1">
        <v>40695</v>
      </c>
      <c r="B1720" t="s">
        <v>352</v>
      </c>
      <c r="C1720" s="2" t="str">
        <f>HYPERLINK("http://snap.windin.com/ns/bulletin.php?id=2013053&amp;type=1", "骆驼股份:首次公开发行A股股票上市公告书")</f>
        <v>骆驼股份:首次公开发行A股股票上市公告书</v>
      </c>
    </row>
    <row r="1721" spans="1:3" x14ac:dyDescent="0.15">
      <c r="A1721" s="1">
        <v>40695</v>
      </c>
      <c r="B1721" t="s">
        <v>353</v>
      </c>
      <c r="C1721" s="2" t="str">
        <f>HYPERLINK("http://snap.windin.com/ns/bulletin.php?id=1911565&amp;type=1", "围海股份:首次公开发行股票上市公告书")</f>
        <v>围海股份:首次公开发行股票上市公告书</v>
      </c>
    </row>
    <row r="1722" spans="1:3" x14ac:dyDescent="0.15">
      <c r="A1722" s="1">
        <v>40695</v>
      </c>
      <c r="B1722" t="s">
        <v>338</v>
      </c>
      <c r="C1722" s="2" t="str">
        <f>HYPERLINK("http://snap.windin.com/ns/bulletin.php?id=1891894&amp;type=1", "恒大高新:首次公开发行股票招股意向书摘要")</f>
        <v>恒大高新:首次公开发行股票招股意向书摘要</v>
      </c>
    </row>
    <row r="1723" spans="1:3" x14ac:dyDescent="0.15">
      <c r="A1723" s="1">
        <v>40695</v>
      </c>
      <c r="B1723" t="s">
        <v>338</v>
      </c>
      <c r="C1723" s="2" t="str">
        <f>HYPERLINK("http://snap.windin.com/ns/bulletin.php?id=1742165&amp;type=1", "恒大高新:首次公开发行股票招股意向书")</f>
        <v>恒大高新:首次公开发行股票招股意向书</v>
      </c>
    </row>
    <row r="1724" spans="1:3" x14ac:dyDescent="0.15">
      <c r="A1724" s="1">
        <v>40695</v>
      </c>
      <c r="B1724" t="s">
        <v>352</v>
      </c>
      <c r="C1724" s="2" t="str">
        <f>HYPERLINK("http://snap.windin.com/ns/bulletin.php?id=1393299&amp;type=1", "骆驼股份:首次公开发行股票招股说明书")</f>
        <v>骆驼股份:首次公开发行股票招股说明书</v>
      </c>
    </row>
    <row r="1725" spans="1:3" x14ac:dyDescent="0.15">
      <c r="A1725" s="1">
        <v>40695</v>
      </c>
      <c r="B1725" t="s">
        <v>337</v>
      </c>
      <c r="C1725" s="2" t="str">
        <f>HYPERLINK("http://snap.windin.com/ns/bulletin.php?id=1179097&amp;type=1", "蓝科高新:首次公开发行股票招股意向书摘要")</f>
        <v>蓝科高新:首次公开发行股票招股意向书摘要</v>
      </c>
    </row>
    <row r="1726" spans="1:3" x14ac:dyDescent="0.15">
      <c r="A1726" s="1">
        <v>40695</v>
      </c>
      <c r="B1726" t="s">
        <v>241</v>
      </c>
      <c r="C1726" s="2" t="str">
        <f>HYPERLINK("http://snap.windin.com/ns/bulletin.php?id=1088942&amp;type=1", "八菱科技:首次公开发行股票招股意向书")</f>
        <v>八菱科技:首次公开发行股票招股意向书</v>
      </c>
    </row>
    <row r="1727" spans="1:3" x14ac:dyDescent="0.15">
      <c r="A1727" s="1">
        <v>40695</v>
      </c>
      <c r="B1727" t="s">
        <v>241</v>
      </c>
      <c r="C1727" s="2" t="str">
        <f>HYPERLINK("http://snap.windin.com/ns/bulletin.php?id=902932&amp;type=1", "八菱科技:首次公开发行股票招股意向书摘要")</f>
        <v>八菱科技:首次公开发行股票招股意向书摘要</v>
      </c>
    </row>
    <row r="1728" spans="1:3" x14ac:dyDescent="0.15">
      <c r="A1728" s="1">
        <v>40695</v>
      </c>
      <c r="B1728" t="s">
        <v>354</v>
      </c>
      <c r="C1728" s="2" t="str">
        <f>HYPERLINK("http://snap.windin.com/ns/bulletin.php?id=815609&amp;type=1", "双星新材:首次公开发行股票上市公告书")</f>
        <v>双星新材:首次公开发行股票上市公告书</v>
      </c>
    </row>
    <row r="1729" spans="1:3" x14ac:dyDescent="0.15">
      <c r="A1729" s="1">
        <v>40695</v>
      </c>
      <c r="B1729" t="s">
        <v>337</v>
      </c>
      <c r="C1729" s="2" t="str">
        <f>HYPERLINK("http://snap.windin.com/ns/bulletin.php?id=728031&amp;type=1", "蓝科高新:首次公开发行股票招股意向书")</f>
        <v>蓝科高新:首次公开发行股票招股意向书</v>
      </c>
    </row>
    <row r="1730" spans="1:3" x14ac:dyDescent="0.15">
      <c r="A1730" s="1">
        <v>40694</v>
      </c>
      <c r="B1730" t="s">
        <v>345</v>
      </c>
      <c r="C1730" s="2" t="str">
        <f>HYPERLINK("http://snap.windin.com/ns/bulletin.php?id=1992099&amp;type=1", "瑞康医药:首次公开发行股票招股说明书")</f>
        <v>瑞康医药:首次公开发行股票招股说明书</v>
      </c>
    </row>
    <row r="1731" spans="1:3" x14ac:dyDescent="0.15">
      <c r="A1731" s="1">
        <v>40694</v>
      </c>
      <c r="B1731" t="s">
        <v>345</v>
      </c>
      <c r="C1731" s="2" t="str">
        <f>HYPERLINK("http://snap.windin.com/ns/bulletin.php?id=1541665&amp;type=1", "瑞康医药:首次公开发行股票招股说明书摘要")</f>
        <v>瑞康医药:首次公开发行股票招股说明书摘要</v>
      </c>
    </row>
    <row r="1732" spans="1:3" x14ac:dyDescent="0.15">
      <c r="A1732" s="1">
        <v>40694</v>
      </c>
      <c r="B1732" t="s">
        <v>343</v>
      </c>
      <c r="C1732" s="2" t="str">
        <f>HYPERLINK("http://snap.windin.com/ns/bulletin.php?id=1228098&amp;type=1", "万安科技:首次公开发行股票并上市招股说明书摘要")</f>
        <v>万安科技:首次公开发行股票并上市招股说明书摘要</v>
      </c>
    </row>
    <row r="1733" spans="1:3" x14ac:dyDescent="0.15">
      <c r="A1733" s="1">
        <v>40694</v>
      </c>
      <c r="B1733" t="s">
        <v>344</v>
      </c>
      <c r="C1733" s="2" t="str">
        <f>HYPERLINK("http://snap.windin.com/ns/bulletin.php?id=1214600&amp;type=1", "奥拓电子:首次公开发行股票招股说明书摘要")</f>
        <v>奥拓电子:首次公开发行股票招股说明书摘要</v>
      </c>
    </row>
    <row r="1734" spans="1:3" x14ac:dyDescent="0.15">
      <c r="A1734" s="1">
        <v>40694</v>
      </c>
      <c r="B1734" t="s">
        <v>343</v>
      </c>
      <c r="C1734" s="2" t="str">
        <f>HYPERLINK("http://snap.windin.com/ns/bulletin.php?id=1181814&amp;type=1", "万安科技:首次公开发行股票并上市招股说明书")</f>
        <v>万安科技:首次公开发行股票并上市招股说明书</v>
      </c>
    </row>
    <row r="1735" spans="1:3" x14ac:dyDescent="0.15">
      <c r="A1735" s="1">
        <v>40694</v>
      </c>
      <c r="B1735" t="s">
        <v>346</v>
      </c>
      <c r="C1735" s="2" t="str">
        <f>HYPERLINK("http://snap.windin.com/ns/bulletin.php?id=561006&amp;type=1", "史丹利:首次公开发行股票招股说明书")</f>
        <v>史丹利:首次公开发行股票招股说明书</v>
      </c>
    </row>
    <row r="1736" spans="1:3" x14ac:dyDescent="0.15">
      <c r="A1736" s="1">
        <v>40694</v>
      </c>
      <c r="B1736" t="s">
        <v>344</v>
      </c>
      <c r="C1736" s="2" t="str">
        <f>HYPERLINK("http://snap.windin.com/ns/bulletin.php?id=559190&amp;type=1", "奥拓电子:首次公开发行股票招股说明书")</f>
        <v>奥拓电子:首次公开发行股票招股说明书</v>
      </c>
    </row>
    <row r="1737" spans="1:3" x14ac:dyDescent="0.15">
      <c r="A1737" s="1">
        <v>40694</v>
      </c>
      <c r="B1737" t="s">
        <v>346</v>
      </c>
      <c r="C1737" s="2" t="str">
        <f>HYPERLINK("http://snap.windin.com/ns/bulletin.php?id=530804&amp;type=1", "史丹利:首次公开发行股票招股说明书摘要")</f>
        <v>史丹利:首次公开发行股票招股说明书摘要</v>
      </c>
    </row>
    <row r="1738" spans="1:3" x14ac:dyDescent="0.15">
      <c r="A1738" s="1">
        <v>40693</v>
      </c>
      <c r="B1738" t="s">
        <v>355</v>
      </c>
      <c r="C1738" s="2" t="str">
        <f>HYPERLINK("http://snap.windin.com/ns/bulletin.php?id=1847265&amp;type=1", "金力泰:首次公开发行股票并在创业板上市上市公告书")</f>
        <v>金力泰:首次公开发行股票并在创业板上市上市公告书</v>
      </c>
    </row>
    <row r="1739" spans="1:3" x14ac:dyDescent="0.15">
      <c r="A1739" s="1">
        <v>40693</v>
      </c>
      <c r="B1739" t="s">
        <v>356</v>
      </c>
      <c r="C1739" s="2" t="str">
        <f>HYPERLINK("http://snap.windin.com/ns/bulletin.php?id=1715458&amp;type=1", "北京君正:首次公开发行股票并在创业板上市上市公告书提示性公告")</f>
        <v>北京君正:首次公开发行股票并在创业板上市上市公告书提示性公告</v>
      </c>
    </row>
    <row r="1740" spans="1:3" x14ac:dyDescent="0.15">
      <c r="A1740" s="1">
        <v>40693</v>
      </c>
      <c r="B1740" t="s">
        <v>356</v>
      </c>
      <c r="C1740" s="2" t="str">
        <f>HYPERLINK("http://snap.windin.com/ns/bulletin.php?id=1074764&amp;type=1", "北京君正:首次公开发行股票上市公告书")</f>
        <v>北京君正:首次公开发行股票上市公告书</v>
      </c>
    </row>
    <row r="1741" spans="1:3" x14ac:dyDescent="0.15">
      <c r="A1741" s="1">
        <v>40693</v>
      </c>
      <c r="B1741" t="s">
        <v>357</v>
      </c>
      <c r="C1741" s="2" t="str">
        <f>HYPERLINK("http://snap.windin.com/ns/bulletin.php?id=528892&amp;type=1", "正海磁材:首次公开发行股票并在创业板上市上市公告书提示性公告")</f>
        <v>正海磁材:首次公开发行股票并在创业板上市上市公告书提示性公告</v>
      </c>
    </row>
    <row r="1742" spans="1:3" x14ac:dyDescent="0.15">
      <c r="A1742" s="1">
        <v>40693</v>
      </c>
      <c r="B1742" t="s">
        <v>357</v>
      </c>
      <c r="C1742" s="2" t="str">
        <f>HYPERLINK("http://snap.windin.com/ns/bulletin.php?id=491900&amp;type=1", "正海磁材:首次公开发行股票并在创业板上市之上市公告书")</f>
        <v>正海磁材:首次公开发行股票并在创业板上市之上市公告书</v>
      </c>
    </row>
    <row r="1743" spans="1:3" x14ac:dyDescent="0.15">
      <c r="A1743" s="1">
        <v>40693</v>
      </c>
      <c r="B1743" t="s">
        <v>355</v>
      </c>
      <c r="C1743" s="2" t="str">
        <f>HYPERLINK("http://snap.windin.com/ns/bulletin.php?id=129055&amp;type=1", "金力泰:首次公开发行股票并在创业板上市上市公告书提示性公告")</f>
        <v>金力泰:首次公开发行股票并在创业板上市上市公告书提示性公告</v>
      </c>
    </row>
    <row r="1744" spans="1:3" x14ac:dyDescent="0.15">
      <c r="A1744" s="1">
        <v>40690</v>
      </c>
      <c r="B1744" t="s">
        <v>340</v>
      </c>
      <c r="C1744" s="2" t="str">
        <f>HYPERLINK("http://snap.windin.com/ns/bulletin.php?id=18562374&amp;type=1", "银信科技:首次公开发行股票并在创业板上市招股意向书")</f>
        <v>银信科技:首次公开发行股票并在创业板上市招股意向书</v>
      </c>
    </row>
    <row r="1745" spans="1:3" x14ac:dyDescent="0.15">
      <c r="A1745" s="1">
        <v>40690</v>
      </c>
      <c r="B1745" t="s">
        <v>347</v>
      </c>
      <c r="C1745" s="2" t="str">
        <f>HYPERLINK("http://snap.windin.com/ns/bulletin.php?id=1896710&amp;type=1", "光韵达:首次公开发行股票并在创业板上市招股说明书")</f>
        <v>光韵达:首次公开发行股票并在创业板上市招股说明书</v>
      </c>
    </row>
    <row r="1746" spans="1:3" x14ac:dyDescent="0.15">
      <c r="A1746" s="1">
        <v>40690</v>
      </c>
      <c r="B1746" t="s">
        <v>358</v>
      </c>
      <c r="C1746" s="2" t="str">
        <f>HYPERLINK("http://snap.windin.com/ns/bulletin.php?id=1787744&amp;type=1", "九牧王:首次公开发行股票招股说明书")</f>
        <v>九牧王:首次公开发行股票招股说明书</v>
      </c>
    </row>
    <row r="1747" spans="1:3" x14ac:dyDescent="0.15">
      <c r="A1747" s="1">
        <v>40690</v>
      </c>
      <c r="B1747" t="s">
        <v>349</v>
      </c>
      <c r="C1747" s="2" t="str">
        <f>HYPERLINK("http://snap.windin.com/ns/bulletin.php?id=1643645&amp;type=1", "上海钢联:首次公开发行股票并在创业板上市招股说明书")</f>
        <v>上海钢联:首次公开发行股票并在创业板上市招股说明书</v>
      </c>
    </row>
    <row r="1748" spans="1:3" x14ac:dyDescent="0.15">
      <c r="A1748" s="1">
        <v>40690</v>
      </c>
      <c r="B1748" t="s">
        <v>348</v>
      </c>
      <c r="C1748" s="2" t="str">
        <f>HYPERLINK("http://snap.windin.com/ns/bulletin.php?id=1331821&amp;type=1", "富瑞特装:首次公开发行股票并在创业板上市招股说明书")</f>
        <v>富瑞特装:首次公开发行股票并在创业板上市招股说明书</v>
      </c>
    </row>
    <row r="1749" spans="1:3" x14ac:dyDescent="0.15">
      <c r="A1749" s="1">
        <v>40690</v>
      </c>
      <c r="B1749" t="s">
        <v>358</v>
      </c>
      <c r="C1749" s="2" t="str">
        <f>HYPERLINK("http://snap.windin.com/ns/bulletin.php?id=953185&amp;type=1", "九牧王:首次公开发行A股股票上市公告书")</f>
        <v>九牧王:首次公开发行A股股票上市公告书</v>
      </c>
    </row>
    <row r="1750" spans="1:3" x14ac:dyDescent="0.15">
      <c r="A1750" s="1">
        <v>40690</v>
      </c>
      <c r="B1750" t="s">
        <v>341</v>
      </c>
      <c r="C1750" s="2" t="str">
        <f>HYPERLINK("http://snap.windin.com/ns/bulletin.php?id=808835&amp;type=1", "永利带业:首次公开发行股票并在创业板上市招股意向书")</f>
        <v>永利带业:首次公开发行股票并在创业板上市招股意向书</v>
      </c>
    </row>
    <row r="1751" spans="1:3" x14ac:dyDescent="0.15">
      <c r="A1751" s="1">
        <v>40690</v>
      </c>
      <c r="B1751" t="s">
        <v>339</v>
      </c>
      <c r="C1751" s="2" t="str">
        <f>HYPERLINK("http://snap.windin.com/ns/bulletin.php?id=187065&amp;type=1", "拓尔思:首次公开发行股票并在创业板上市招股意向书")</f>
        <v>拓尔思:首次公开发行股票并在创业板上市招股意向书</v>
      </c>
    </row>
    <row r="1752" spans="1:3" x14ac:dyDescent="0.15">
      <c r="A1752" s="1">
        <v>40690</v>
      </c>
      <c r="B1752" t="s">
        <v>340</v>
      </c>
      <c r="C1752" s="2" t="str">
        <f>HYPERLINK("http://snap.windin.com/ns/bulletin.php?id=81394&amp;type=1", "银信科技:首次公开发行股票并在创业板上市招股意向书")</f>
        <v>银信科技:首次公开发行股票并在创业板上市招股意向书</v>
      </c>
    </row>
    <row r="1753" spans="1:3" x14ac:dyDescent="0.15">
      <c r="A1753" s="1">
        <v>40689</v>
      </c>
      <c r="B1753" t="s">
        <v>359</v>
      </c>
      <c r="C1753" s="2" t="str">
        <f>HYPERLINK("http://snap.windin.com/ns/bulletin.php?id=1784883&amp;type=1", "鹿港科技:首次公开发行股票招股说明书")</f>
        <v>鹿港科技:首次公开发行股票招股说明书</v>
      </c>
    </row>
    <row r="1754" spans="1:3" x14ac:dyDescent="0.15">
      <c r="A1754" s="1">
        <v>40689</v>
      </c>
      <c r="B1754" t="s">
        <v>359</v>
      </c>
      <c r="C1754" s="2" t="str">
        <f>HYPERLINK("http://snap.windin.com/ns/bulletin.php?id=1273806&amp;type=1", "鹿港科技:首次公开发行A股股票上市公告书")</f>
        <v>鹿港科技:首次公开发行A股股票上市公告书</v>
      </c>
    </row>
    <row r="1755" spans="1:3" x14ac:dyDescent="0.15">
      <c r="A1755" s="1">
        <v>40689</v>
      </c>
      <c r="B1755" t="s">
        <v>360</v>
      </c>
      <c r="C1755" s="2" t="str">
        <f>HYPERLINK("http://snap.windin.com/ns/bulletin.php?id=808941&amp;type=1", "海能达:首次公开发行股票上市公告书")</f>
        <v>海能达:首次公开发行股票上市公告书</v>
      </c>
    </row>
    <row r="1756" spans="1:3" x14ac:dyDescent="0.15">
      <c r="A1756" s="1">
        <v>40687</v>
      </c>
      <c r="B1756" t="s">
        <v>346</v>
      </c>
      <c r="C1756" s="2" t="str">
        <f>HYPERLINK("http://snap.windin.com/ns/bulletin.php?id=18401412&amp;type=1", "史丹利:首次公开发行股票招股意向书")</f>
        <v>史丹利:首次公开发行股票招股意向书</v>
      </c>
    </row>
    <row r="1757" spans="1:3" x14ac:dyDescent="0.15">
      <c r="A1757" s="1">
        <v>40687</v>
      </c>
      <c r="B1757" t="s">
        <v>361</v>
      </c>
      <c r="C1757" s="2" t="str">
        <f>HYPERLINK("http://snap.windin.com/ns/bulletin.php?id=2020445&amp;type=1", "金运激光:首次公开发行股票并在创业板上市上市公告书")</f>
        <v>金运激光:首次公开发行股票并在创业板上市上市公告书</v>
      </c>
    </row>
    <row r="1758" spans="1:3" x14ac:dyDescent="0.15">
      <c r="A1758" s="1">
        <v>40687</v>
      </c>
      <c r="B1758" t="s">
        <v>346</v>
      </c>
      <c r="C1758" s="2" t="str">
        <f>HYPERLINK("http://snap.windin.com/ns/bulletin.php?id=2004437&amp;type=1", "史丹利:首次公开发行股票招股意向书")</f>
        <v>史丹利:首次公开发行股票招股意向书</v>
      </c>
    </row>
    <row r="1759" spans="1:3" x14ac:dyDescent="0.15">
      <c r="A1759" s="1">
        <v>40687</v>
      </c>
      <c r="B1759" t="s">
        <v>342</v>
      </c>
      <c r="C1759" s="2" t="str">
        <f>HYPERLINK("http://snap.windin.com/ns/bulletin.php?id=1852895&amp;type=1", "三星电气:首次公开发行股票招股意向书附录二")</f>
        <v>三星电气:首次公开发行股票招股意向书附录二</v>
      </c>
    </row>
    <row r="1760" spans="1:3" x14ac:dyDescent="0.15">
      <c r="A1760" s="1">
        <v>40687</v>
      </c>
      <c r="B1760" t="s">
        <v>345</v>
      </c>
      <c r="C1760" s="2" t="str">
        <f>HYPERLINK("http://snap.windin.com/ns/bulletin.php?id=1845554&amp;type=1", "瑞康医药:首次公开发行股票招股意向书")</f>
        <v>瑞康医药:首次公开发行股票招股意向书</v>
      </c>
    </row>
    <row r="1761" spans="1:3" x14ac:dyDescent="0.15">
      <c r="A1761" s="1">
        <v>40687</v>
      </c>
      <c r="B1761" t="s">
        <v>351</v>
      </c>
      <c r="C1761" s="2" t="str">
        <f>HYPERLINK("http://snap.windin.com/ns/bulletin.php?id=1842695&amp;type=1", "西陇化工:首次公开发行股票招股说明书")</f>
        <v>西陇化工:首次公开发行股票招股说明书</v>
      </c>
    </row>
    <row r="1762" spans="1:3" x14ac:dyDescent="0.15">
      <c r="A1762" s="1">
        <v>40687</v>
      </c>
      <c r="B1762" t="s">
        <v>342</v>
      </c>
      <c r="C1762" s="2" t="str">
        <f>HYPERLINK("http://snap.windin.com/ns/bulletin.php?id=1799583&amp;type=1", "三星电气:首次公开发行股票招股意向书摘要")</f>
        <v>三星电气:首次公开发行股票招股意向书摘要</v>
      </c>
    </row>
    <row r="1763" spans="1:3" x14ac:dyDescent="0.15">
      <c r="A1763" s="1">
        <v>40687</v>
      </c>
      <c r="B1763" t="s">
        <v>353</v>
      </c>
      <c r="C1763" s="2" t="str">
        <f>HYPERLINK("http://snap.windin.com/ns/bulletin.php?id=1709824&amp;type=1", "围海股份:首次公开发行股票招股说明书摘要")</f>
        <v>围海股份:首次公开发行股票招股说明书摘要</v>
      </c>
    </row>
    <row r="1764" spans="1:3" x14ac:dyDescent="0.15">
      <c r="A1764" s="1">
        <v>40687</v>
      </c>
      <c r="B1764" t="s">
        <v>362</v>
      </c>
      <c r="C1764" s="2" t="str">
        <f>HYPERLINK("http://snap.windin.com/ns/bulletin.php?id=1697633&amp;type=1", "银禧科技:首次公开发行股票并在创业板上市公告书提示性公告")</f>
        <v>银禧科技:首次公开发行股票并在创业板上市公告书提示性公告</v>
      </c>
    </row>
    <row r="1765" spans="1:3" x14ac:dyDescent="0.15">
      <c r="A1765" s="1">
        <v>40687</v>
      </c>
      <c r="B1765" t="s">
        <v>363</v>
      </c>
      <c r="C1765" s="2" t="str">
        <f>HYPERLINK("http://snap.windin.com/ns/bulletin.php?id=1696198&amp;type=1", "科大智能:首次公开发行股票并在创业板上市之上市公告书提示性公告")</f>
        <v>科大智能:首次公开发行股票并在创业板上市之上市公告书提示性公告</v>
      </c>
    </row>
    <row r="1766" spans="1:3" x14ac:dyDescent="0.15">
      <c r="A1766" s="1">
        <v>40687</v>
      </c>
      <c r="B1766" t="s">
        <v>343</v>
      </c>
      <c r="C1766" s="2" t="str">
        <f>HYPERLINK("http://snap.windin.com/ns/bulletin.php?id=1501608&amp;type=1", "万安科技:首次公开发行股票并上市招股意向书")</f>
        <v>万安科技:首次公开发行股票并上市招股意向书</v>
      </c>
    </row>
    <row r="1767" spans="1:3" x14ac:dyDescent="0.15">
      <c r="A1767" s="1">
        <v>40687</v>
      </c>
      <c r="B1767" t="s">
        <v>342</v>
      </c>
      <c r="C1767" s="2" t="str">
        <f>HYPERLINK("http://snap.windin.com/ns/bulletin.php?id=1387403&amp;type=1", "三星电气:首次公开发行股票招股意向书附录三")</f>
        <v>三星电气:首次公开发行股票招股意向书附录三</v>
      </c>
    </row>
    <row r="1768" spans="1:3" x14ac:dyDescent="0.15">
      <c r="A1768" s="1">
        <v>40687</v>
      </c>
      <c r="B1768" t="s">
        <v>342</v>
      </c>
      <c r="C1768" s="2" t="str">
        <f>HYPERLINK("http://snap.windin.com/ns/bulletin.php?id=1377319&amp;type=1", "三星电气:首次公开发行股票招股意向书附录一")</f>
        <v>三星电气:首次公开发行股票招股意向书附录一</v>
      </c>
    </row>
    <row r="1769" spans="1:3" x14ac:dyDescent="0.15">
      <c r="A1769" s="1">
        <v>40687</v>
      </c>
      <c r="B1769" t="s">
        <v>346</v>
      </c>
      <c r="C1769" s="2" t="str">
        <f>HYPERLINK("http://snap.windin.com/ns/bulletin.php?id=1250344&amp;type=1", "史丹利:首次公开发行股票招股意向书摘要")</f>
        <v>史丹利:首次公开发行股票招股意向书摘要</v>
      </c>
    </row>
    <row r="1770" spans="1:3" x14ac:dyDescent="0.15">
      <c r="A1770" s="1">
        <v>40687</v>
      </c>
      <c r="B1770" t="s">
        <v>353</v>
      </c>
      <c r="C1770" s="2" t="str">
        <f>HYPERLINK("http://snap.windin.com/ns/bulletin.php?id=1150739&amp;type=1", "围海股份:首次公开发行股票招股说明书")</f>
        <v>围海股份:首次公开发行股票招股说明书</v>
      </c>
    </row>
    <row r="1771" spans="1:3" x14ac:dyDescent="0.15">
      <c r="A1771" s="1">
        <v>40687</v>
      </c>
      <c r="B1771" t="s">
        <v>362</v>
      </c>
      <c r="C1771" s="2" t="str">
        <f>HYPERLINK("http://snap.windin.com/ns/bulletin.php?id=1145216&amp;type=1", "银禧科技:首次公开发行股票并在创业板上市上市公告书")</f>
        <v>银禧科技:首次公开发行股票并在创业板上市上市公告书</v>
      </c>
    </row>
    <row r="1772" spans="1:3" x14ac:dyDescent="0.15">
      <c r="A1772" s="1">
        <v>40687</v>
      </c>
      <c r="B1772" t="s">
        <v>351</v>
      </c>
      <c r="C1772" s="2" t="str">
        <f>HYPERLINK("http://snap.windin.com/ns/bulletin.php?id=1087719&amp;type=1", "西陇化工:首次公开发行股票招股说明书摘要")</f>
        <v>西陇化工:首次公开发行股票招股说明书摘要</v>
      </c>
    </row>
    <row r="1773" spans="1:3" x14ac:dyDescent="0.15">
      <c r="A1773" s="1">
        <v>40687</v>
      </c>
      <c r="B1773" t="s">
        <v>354</v>
      </c>
      <c r="C1773" s="2" t="str">
        <f>HYPERLINK("http://snap.windin.com/ns/bulletin.php?id=1014932&amp;type=1", "双星新材:首次公开发行股票招股说明书")</f>
        <v>双星新材:首次公开发行股票招股说明书</v>
      </c>
    </row>
    <row r="1774" spans="1:3" x14ac:dyDescent="0.15">
      <c r="A1774" s="1">
        <v>40687</v>
      </c>
      <c r="B1774" t="s">
        <v>354</v>
      </c>
      <c r="C1774" s="2" t="str">
        <f>HYPERLINK("http://snap.windin.com/ns/bulletin.php?id=946296&amp;type=1", "双星新材:首次公开发行股票招股说明书摘要")</f>
        <v>双星新材:首次公开发行股票招股说明书摘要</v>
      </c>
    </row>
    <row r="1775" spans="1:3" x14ac:dyDescent="0.15">
      <c r="A1775" s="1">
        <v>40687</v>
      </c>
      <c r="B1775" t="s">
        <v>361</v>
      </c>
      <c r="C1775" s="2" t="str">
        <f>HYPERLINK("http://snap.windin.com/ns/bulletin.php?id=895006&amp;type=1", "金运激光:首次公开发行股票并在创业板上市上市公告书提示性公告")</f>
        <v>金运激光:首次公开发行股票并在创业板上市上市公告书提示性公告</v>
      </c>
    </row>
    <row r="1776" spans="1:3" x14ac:dyDescent="0.15">
      <c r="A1776" s="1">
        <v>40687</v>
      </c>
      <c r="B1776" t="s">
        <v>344</v>
      </c>
      <c r="C1776" s="2" t="str">
        <f>HYPERLINK("http://snap.windin.com/ns/bulletin.php?id=894932&amp;type=1", "奥拓电子:首次公开发行股票并上市招股意向书摘要")</f>
        <v>奥拓电子:首次公开发行股票并上市招股意向书摘要</v>
      </c>
    </row>
    <row r="1777" spans="1:3" x14ac:dyDescent="0.15">
      <c r="A1777" s="1">
        <v>40687</v>
      </c>
      <c r="B1777" t="s">
        <v>342</v>
      </c>
      <c r="C1777" s="2" t="str">
        <f>HYPERLINK("http://snap.windin.com/ns/bulletin.php?id=827290&amp;type=1", "三星电气:首次公开发行股票招股意向书")</f>
        <v>三星电气:首次公开发行股票招股意向书</v>
      </c>
    </row>
    <row r="1778" spans="1:3" x14ac:dyDescent="0.15">
      <c r="A1778" s="1">
        <v>40687</v>
      </c>
      <c r="B1778" t="s">
        <v>344</v>
      </c>
      <c r="C1778" s="2" t="str">
        <f>HYPERLINK("http://snap.windin.com/ns/bulletin.php?id=715322&amp;type=1", "奥拓电子:首次公开发行股票并上市招股意向书")</f>
        <v>奥拓电子:首次公开发行股票并上市招股意向书</v>
      </c>
    </row>
    <row r="1779" spans="1:3" x14ac:dyDescent="0.15">
      <c r="A1779" s="1">
        <v>40687</v>
      </c>
      <c r="B1779" t="s">
        <v>345</v>
      </c>
      <c r="C1779" s="2" t="str">
        <f>HYPERLINK("http://snap.windin.com/ns/bulletin.php?id=659662&amp;type=1", "瑞康医药:首次公开发行股票招股意向书摘要")</f>
        <v>瑞康医药:首次公开发行股票招股意向书摘要</v>
      </c>
    </row>
    <row r="1780" spans="1:3" x14ac:dyDescent="0.15">
      <c r="A1780" s="1">
        <v>40687</v>
      </c>
      <c r="B1780" t="s">
        <v>343</v>
      </c>
      <c r="C1780" s="2" t="str">
        <f>HYPERLINK("http://snap.windin.com/ns/bulletin.php?id=633778&amp;type=1", "万安科技:首次公开发行股票并上市招股意向书摘要")</f>
        <v>万安科技:首次公开发行股票并上市招股意向书摘要</v>
      </c>
    </row>
    <row r="1781" spans="1:3" x14ac:dyDescent="0.15">
      <c r="A1781" s="1">
        <v>40687</v>
      </c>
      <c r="B1781" t="s">
        <v>363</v>
      </c>
      <c r="C1781" s="2" t="str">
        <f>HYPERLINK("http://snap.windin.com/ns/bulletin.php?id=475862&amp;type=1", "科大智能:首次公开发行股票并在创业板上市之上市公告书")</f>
        <v>科大智能:首次公开发行股票并在创业板上市之上市公告书</v>
      </c>
    </row>
    <row r="1782" spans="1:3" x14ac:dyDescent="0.15">
      <c r="A1782" s="1">
        <v>40683</v>
      </c>
      <c r="B1782" t="s">
        <v>347</v>
      </c>
      <c r="C1782" s="2" t="str">
        <f>HYPERLINK("http://snap.windin.com/ns/bulletin.php?id=19387662&amp;type=1", "光韵达:首次公开发行股票并在创业板上市招股意向书")</f>
        <v>光韵达:首次公开发行股票并在创业板上市招股意向书</v>
      </c>
    </row>
    <row r="1783" spans="1:3" x14ac:dyDescent="0.15">
      <c r="A1783" s="1">
        <v>40683</v>
      </c>
      <c r="B1783" t="s">
        <v>348</v>
      </c>
      <c r="C1783" s="2" t="str">
        <f>HYPERLINK("http://snap.windin.com/ns/bulletin.php?id=18993544&amp;type=1", "富瑞特装:首次公开发行股票并在创业板上市招股意向书")</f>
        <v>富瑞特装:首次公开发行股票并在创业板上市招股意向书</v>
      </c>
    </row>
    <row r="1784" spans="1:3" x14ac:dyDescent="0.15">
      <c r="A1784" s="1">
        <v>40683</v>
      </c>
      <c r="B1784" t="s">
        <v>349</v>
      </c>
      <c r="C1784" s="2" t="str">
        <f>HYPERLINK("http://snap.windin.com/ns/bulletin.php?id=18913844&amp;type=1", "上海钢联:首次公开发行股票并在创业板上市招股意向书")</f>
        <v>上海钢联:首次公开发行股票并在创业板上市招股意向书</v>
      </c>
    </row>
    <row r="1785" spans="1:3" x14ac:dyDescent="0.15">
      <c r="A1785" s="1">
        <v>40683</v>
      </c>
      <c r="B1785" t="s">
        <v>347</v>
      </c>
      <c r="C1785" s="2" t="str">
        <f>HYPERLINK("http://snap.windin.com/ns/bulletin.php?id=1804896&amp;type=1", "光韵达:首次公开发行股票并在创业板上市招股意向书")</f>
        <v>光韵达:首次公开发行股票并在创业板上市招股意向书</v>
      </c>
    </row>
    <row r="1786" spans="1:3" x14ac:dyDescent="0.15">
      <c r="A1786" s="1">
        <v>40683</v>
      </c>
      <c r="B1786" t="s">
        <v>348</v>
      </c>
      <c r="C1786" s="2" t="str">
        <f>HYPERLINK("http://snap.windin.com/ns/bulletin.php?id=1496092&amp;type=1", "富瑞特装:首次公开发行股票并在创业板上市招股意向书")</f>
        <v>富瑞特装:首次公开发行股票并在创业板上市招股意向书</v>
      </c>
    </row>
    <row r="1787" spans="1:3" x14ac:dyDescent="0.15">
      <c r="A1787" s="1">
        <v>40683</v>
      </c>
      <c r="B1787" t="s">
        <v>356</v>
      </c>
      <c r="C1787" s="2" t="str">
        <f>HYPERLINK("http://snap.windin.com/ns/bulletin.php?id=1423047&amp;type=1", "北京君正:首次公开发行股票并在创业板上市招股说明书")</f>
        <v>北京君正:首次公开发行股票并在创业板上市招股说明书</v>
      </c>
    </row>
    <row r="1788" spans="1:3" x14ac:dyDescent="0.15">
      <c r="A1788" s="1">
        <v>40683</v>
      </c>
      <c r="B1788" t="s">
        <v>357</v>
      </c>
      <c r="C1788" s="2" t="str">
        <f>HYPERLINK("http://snap.windin.com/ns/bulletin.php?id=987096&amp;type=1", "正海磁材:首次公开发行股票并在创业板上市招股说明书")</f>
        <v>正海磁材:首次公开发行股票并在创业板上市招股说明书</v>
      </c>
    </row>
    <row r="1789" spans="1:3" x14ac:dyDescent="0.15">
      <c r="A1789" s="1">
        <v>40683</v>
      </c>
      <c r="B1789" t="s">
        <v>355</v>
      </c>
      <c r="C1789" s="2" t="str">
        <f>HYPERLINK("http://snap.windin.com/ns/bulletin.php?id=791183&amp;type=1", "金力泰:首次公开发行股票并在创业板上市招股说明书")</f>
        <v>金力泰:首次公开发行股票并在创业板上市招股说明书</v>
      </c>
    </row>
    <row r="1790" spans="1:3" x14ac:dyDescent="0.15">
      <c r="A1790" s="1">
        <v>40683</v>
      </c>
      <c r="B1790" t="s">
        <v>349</v>
      </c>
      <c r="C1790" s="2" t="str">
        <f>HYPERLINK("http://snap.windin.com/ns/bulletin.php?id=558255&amp;type=1", "上海钢联:首次公开发行股票并在创业板上市招股意向书")</f>
        <v>上海钢联:首次公开发行股票并在创业板上市招股意向书</v>
      </c>
    </row>
    <row r="1791" spans="1:3" x14ac:dyDescent="0.15">
      <c r="A1791" s="1">
        <v>40682</v>
      </c>
      <c r="B1791" t="s">
        <v>364</v>
      </c>
      <c r="C1791" s="2" t="str">
        <f>HYPERLINK("http://snap.windin.com/ns/bulletin.php?id=1439461&amp;type=1", "东材科技:首次公开发行股票招股说明书")</f>
        <v>东材科技:首次公开发行股票招股说明书</v>
      </c>
    </row>
    <row r="1792" spans="1:3" x14ac:dyDescent="0.15">
      <c r="A1792" s="1">
        <v>40682</v>
      </c>
      <c r="B1792" t="s">
        <v>365</v>
      </c>
      <c r="C1792" s="2" t="str">
        <f>HYPERLINK("http://snap.windin.com/ns/bulletin.php?id=787441&amp;type=1", "好想你:首次公开发行股票上市公告书")</f>
        <v>好想你:首次公开发行股票上市公告书</v>
      </c>
    </row>
    <row r="1793" spans="1:3" x14ac:dyDescent="0.15">
      <c r="A1793" s="1">
        <v>40682</v>
      </c>
      <c r="B1793" t="s">
        <v>366</v>
      </c>
      <c r="C1793" s="2" t="str">
        <f>HYPERLINK("http://snap.windin.com/ns/bulletin.php?id=573339&amp;type=1", "万昌科技:首次公开发行股票上市公告书")</f>
        <v>万昌科技:首次公开发行股票上市公告书</v>
      </c>
    </row>
    <row r="1794" spans="1:3" x14ac:dyDescent="0.15">
      <c r="A1794" s="1">
        <v>40682</v>
      </c>
      <c r="B1794" t="s">
        <v>364</v>
      </c>
      <c r="C1794" s="2" t="str">
        <f>HYPERLINK("http://snap.windin.com/ns/bulletin.php?id=227916&amp;type=1", "东材科技:首次公开发行A股股票上市公告书")</f>
        <v>东材科技:首次公开发行A股股票上市公告书</v>
      </c>
    </row>
    <row r="1795" spans="1:3" x14ac:dyDescent="0.15">
      <c r="A1795" s="1">
        <v>40680</v>
      </c>
      <c r="B1795" t="s">
        <v>353</v>
      </c>
      <c r="C1795" s="2" t="str">
        <f>HYPERLINK("http://snap.windin.com/ns/bulletin.php?id=18534648&amp;type=1", "围海股份:首次公开发行股票招股意向书")</f>
        <v>围海股份:首次公开发行股票招股意向书</v>
      </c>
    </row>
    <row r="1796" spans="1:3" x14ac:dyDescent="0.15">
      <c r="A1796" s="1">
        <v>40680</v>
      </c>
      <c r="B1796" t="s">
        <v>367</v>
      </c>
      <c r="C1796" s="2" t="str">
        <f>HYPERLINK("http://snap.windin.com/ns/bulletin.php?id=2112024&amp;type=1", "安利股份:首次公开发行股票并在创业板上市公告书")</f>
        <v>安利股份:首次公开发行股票并在创业板上市公告书</v>
      </c>
    </row>
    <row r="1797" spans="1:3" x14ac:dyDescent="0.15">
      <c r="A1797" s="1">
        <v>40680</v>
      </c>
      <c r="B1797" t="s">
        <v>350</v>
      </c>
      <c r="C1797" s="2" t="str">
        <f>HYPERLINK("http://snap.windin.com/ns/bulletin.php?id=1926715&amp;type=1", "文峰股份:文峰股份首次公开发行股票招股意向书（摘要）")</f>
        <v>文峰股份:文峰股份首次公开发行股票招股意向书（摘要）</v>
      </c>
    </row>
    <row r="1798" spans="1:3" x14ac:dyDescent="0.15">
      <c r="A1798" s="1">
        <v>40680</v>
      </c>
      <c r="B1798" t="s">
        <v>352</v>
      </c>
      <c r="C1798" s="2" t="str">
        <f>HYPERLINK("http://snap.windin.com/ns/bulletin.php?id=1889919&amp;type=1", "骆驼股份:首次公开发行股票招股意向书摘要")</f>
        <v>骆驼股份:首次公开发行股票招股意向书摘要</v>
      </c>
    </row>
    <row r="1799" spans="1:3" x14ac:dyDescent="0.15">
      <c r="A1799" s="1">
        <v>40680</v>
      </c>
      <c r="B1799" t="s">
        <v>353</v>
      </c>
      <c r="C1799" s="2" t="str">
        <f>HYPERLINK("http://snap.windin.com/ns/bulletin.php?id=1887277&amp;type=1", "围海股份:首次公开发行股票招股意向书")</f>
        <v>围海股份:首次公开发行股票招股意向书</v>
      </c>
    </row>
    <row r="1800" spans="1:3" x14ac:dyDescent="0.15">
      <c r="A1800" s="1">
        <v>40680</v>
      </c>
      <c r="B1800" t="s">
        <v>368</v>
      </c>
      <c r="C1800" s="2" t="str">
        <f>HYPERLINK("http://snap.windin.com/ns/bulletin.php?id=1872668&amp;type=1", "东方电热:首次公开发行股票并在创业板上市公告书提示性公告")</f>
        <v>东方电热:首次公开发行股票并在创业板上市公告书提示性公告</v>
      </c>
    </row>
    <row r="1801" spans="1:3" x14ac:dyDescent="0.15">
      <c r="A1801" s="1">
        <v>40680</v>
      </c>
      <c r="B1801" t="s">
        <v>352</v>
      </c>
      <c r="C1801" s="2" t="str">
        <f>HYPERLINK("http://snap.windin.com/ns/bulletin.php?id=1854296&amp;type=1", "骆驼股份:首次公开发行股票招股意向书附录三")</f>
        <v>骆驼股份:首次公开发行股票招股意向书附录三</v>
      </c>
    </row>
    <row r="1802" spans="1:3" x14ac:dyDescent="0.15">
      <c r="A1802" s="1">
        <v>40680</v>
      </c>
      <c r="B1802" t="s">
        <v>350</v>
      </c>
      <c r="C1802" s="2" t="str">
        <f>HYPERLINK("http://snap.windin.com/ns/bulletin.php?id=1688957&amp;type=1", "文峰股份:文峰股份首次公开发行股票招股意向书附录")</f>
        <v>文峰股份:文峰股份首次公开发行股票招股意向书附录</v>
      </c>
    </row>
    <row r="1803" spans="1:3" x14ac:dyDescent="0.15">
      <c r="A1803" s="1">
        <v>40680</v>
      </c>
      <c r="B1803" t="s">
        <v>369</v>
      </c>
      <c r="C1803" s="2" t="str">
        <f>HYPERLINK("http://snap.windin.com/ns/bulletin.php?id=1350421&amp;type=1", "桐昆股份:首次公开发行A股股票上市公告书")</f>
        <v>桐昆股份:首次公开发行A股股票上市公告书</v>
      </c>
    </row>
    <row r="1804" spans="1:3" x14ac:dyDescent="0.15">
      <c r="A1804" s="1">
        <v>40680</v>
      </c>
      <c r="B1804" t="s">
        <v>352</v>
      </c>
      <c r="C1804" s="2" t="str">
        <f>HYPERLINK("http://snap.windin.com/ns/bulletin.php?id=1346829&amp;type=1", "骆驼股份:首次公开发行股票招股意向书")</f>
        <v>骆驼股份:首次公开发行股票招股意向书</v>
      </c>
    </row>
    <row r="1805" spans="1:3" x14ac:dyDescent="0.15">
      <c r="A1805" s="1">
        <v>40680</v>
      </c>
      <c r="B1805" t="s">
        <v>354</v>
      </c>
      <c r="C1805" s="2" t="str">
        <f>HYPERLINK("http://snap.windin.com/ns/bulletin.php?id=1088745&amp;type=1", "双星新材:首次公开发行股票招股意向书")</f>
        <v>双星新材:首次公开发行股票招股意向书</v>
      </c>
    </row>
    <row r="1806" spans="1:3" x14ac:dyDescent="0.15">
      <c r="A1806" s="1">
        <v>40680</v>
      </c>
      <c r="B1806" t="s">
        <v>350</v>
      </c>
      <c r="C1806" s="2" t="str">
        <f>HYPERLINK("http://snap.windin.com/ns/bulletin.php?id=1041827&amp;type=1", "文峰股份:文峰股份首次公开发行股票招股意向书")</f>
        <v>文峰股份:文峰股份首次公开发行股票招股意向书</v>
      </c>
    </row>
    <row r="1807" spans="1:3" x14ac:dyDescent="0.15">
      <c r="A1807" s="1">
        <v>40680</v>
      </c>
      <c r="B1807" t="s">
        <v>352</v>
      </c>
      <c r="C1807" s="2" t="str">
        <f>HYPERLINK("http://snap.windin.com/ns/bulletin.php?id=1005781&amp;type=1", "骆驼股份:首次公开发行股票招股意向书附录二")</f>
        <v>骆驼股份:首次公开发行股票招股意向书附录二</v>
      </c>
    </row>
    <row r="1808" spans="1:3" x14ac:dyDescent="0.15">
      <c r="A1808" s="1">
        <v>40680</v>
      </c>
      <c r="B1808" t="s">
        <v>367</v>
      </c>
      <c r="C1808" s="2" t="str">
        <f>HYPERLINK("http://snap.windin.com/ns/bulletin.php?id=897682&amp;type=1", "安利股份:首次公开发行股票并在创业板上市公告书提示性公告")</f>
        <v>安利股份:首次公开发行股票并在创业板上市公告书提示性公告</v>
      </c>
    </row>
    <row r="1809" spans="1:3" x14ac:dyDescent="0.15">
      <c r="A1809" s="1">
        <v>40680</v>
      </c>
      <c r="B1809" t="s">
        <v>360</v>
      </c>
      <c r="C1809" s="2" t="str">
        <f>HYPERLINK("http://snap.windin.com/ns/bulletin.php?id=894410&amp;type=1", "海能达:首次公开发行股票招股说明书")</f>
        <v>海能达:首次公开发行股票招股说明书</v>
      </c>
    </row>
    <row r="1810" spans="1:3" x14ac:dyDescent="0.15">
      <c r="A1810" s="1">
        <v>40680</v>
      </c>
      <c r="B1810" t="s">
        <v>353</v>
      </c>
      <c r="C1810" s="2" t="str">
        <f>HYPERLINK("http://snap.windin.com/ns/bulletin.php?id=882491&amp;type=1", "围海股份:首次公开发行股票招股意向书摘要")</f>
        <v>围海股份:首次公开发行股票招股意向书摘要</v>
      </c>
    </row>
    <row r="1811" spans="1:3" x14ac:dyDescent="0.15">
      <c r="A1811" s="1">
        <v>40680</v>
      </c>
      <c r="B1811" t="s">
        <v>360</v>
      </c>
      <c r="C1811" s="2" t="str">
        <f>HYPERLINK("http://snap.windin.com/ns/bulletin.php?id=864381&amp;type=1", "海能达:首次公开发行股票招股说明书摘要")</f>
        <v>海能达:首次公开发行股票招股说明书摘要</v>
      </c>
    </row>
    <row r="1812" spans="1:3" x14ac:dyDescent="0.15">
      <c r="A1812" s="1">
        <v>40680</v>
      </c>
      <c r="B1812" t="s">
        <v>351</v>
      </c>
      <c r="C1812" s="2" t="str">
        <f>HYPERLINK("http://snap.windin.com/ns/bulletin.php?id=770312&amp;type=1", "西陇化工:首次公开发行股票招股意向书摘要")</f>
        <v>西陇化工:首次公开发行股票招股意向书摘要</v>
      </c>
    </row>
    <row r="1813" spans="1:3" x14ac:dyDescent="0.15">
      <c r="A1813" s="1">
        <v>40680</v>
      </c>
      <c r="B1813" t="s">
        <v>351</v>
      </c>
      <c r="C1813" s="2" t="str">
        <f>HYPERLINK("http://snap.windin.com/ns/bulletin.php?id=651614&amp;type=1", "西陇化工:首次公开发行股票招股意向书")</f>
        <v>西陇化工:首次公开发行股票招股意向书</v>
      </c>
    </row>
    <row r="1814" spans="1:3" x14ac:dyDescent="0.15">
      <c r="A1814" s="1">
        <v>40680</v>
      </c>
      <c r="B1814" t="s">
        <v>354</v>
      </c>
      <c r="C1814" s="2" t="str">
        <f>HYPERLINK("http://snap.windin.com/ns/bulletin.php?id=623858&amp;type=1", "双星新材:首次公开发行股票招股意向书摘要")</f>
        <v>双星新材:首次公开发行股票招股意向书摘要</v>
      </c>
    </row>
    <row r="1815" spans="1:3" x14ac:dyDescent="0.15">
      <c r="A1815" s="1">
        <v>40680</v>
      </c>
      <c r="B1815" t="s">
        <v>368</v>
      </c>
      <c r="C1815" s="2" t="str">
        <f>HYPERLINK("http://snap.windin.com/ns/bulletin.php?id=605180&amp;type=1", "东方电热:首次公开发行股票并在创业板上市公告书")</f>
        <v>东方电热:首次公开发行股票并在创业板上市公告书</v>
      </c>
    </row>
    <row r="1816" spans="1:3" x14ac:dyDescent="0.15">
      <c r="A1816" s="1">
        <v>40680</v>
      </c>
      <c r="B1816" t="s">
        <v>352</v>
      </c>
      <c r="C1816" s="2" t="str">
        <f>HYPERLINK("http://snap.windin.com/ns/bulletin.php?id=579740&amp;type=1", "骆驼股份:首次公开发行股票招股意向书附录一")</f>
        <v>骆驼股份:首次公开发行股票招股意向书附录一</v>
      </c>
    </row>
    <row r="1817" spans="1:3" x14ac:dyDescent="0.15">
      <c r="A1817" s="1">
        <v>40680</v>
      </c>
      <c r="B1817" t="s">
        <v>370</v>
      </c>
      <c r="C1817" s="2" t="str">
        <f>HYPERLINK("http://snap.windin.com/ns/bulletin.php?id=577431&amp;type=1", "鸿利光电:首次公开发行股票并在创业板上市上市公告书提示公告")</f>
        <v>鸿利光电:首次公开发行股票并在创业板上市上市公告书提示公告</v>
      </c>
    </row>
    <row r="1818" spans="1:3" x14ac:dyDescent="0.15">
      <c r="A1818" s="1">
        <v>40680</v>
      </c>
      <c r="B1818" t="s">
        <v>370</v>
      </c>
      <c r="C1818" s="2" t="str">
        <f>HYPERLINK("http://snap.windin.com/ns/bulletin.php?id=480083&amp;type=1", "鸿利光电:首次公开发行股票并在创业板上市公告书")</f>
        <v>鸿利光电:首次公开发行股票并在创业板上市公告书</v>
      </c>
    </row>
    <row r="1819" spans="1:3" x14ac:dyDescent="0.15">
      <c r="A1819" s="1">
        <v>40680</v>
      </c>
      <c r="B1819" t="s">
        <v>369</v>
      </c>
      <c r="C1819" s="2" t="str">
        <f>HYPERLINK("http://snap.windin.com/ns/bulletin.php?id=184827&amp;type=1", "桐昆股份:首次公告发行股票并上市招股说明书")</f>
        <v>桐昆股份:首次公告发行股票并上市招股说明书</v>
      </c>
    </row>
    <row r="1820" spans="1:3" x14ac:dyDescent="0.15">
      <c r="A1820" s="1">
        <v>40676</v>
      </c>
      <c r="B1820" t="s">
        <v>355</v>
      </c>
      <c r="C1820" s="2" t="str">
        <f>HYPERLINK("http://snap.windin.com/ns/bulletin.php?id=19221742&amp;type=1", "金力泰:首次公开发行股票并在创业板上市招股意向书")</f>
        <v>金力泰:首次公开发行股票并在创业板上市招股意向书</v>
      </c>
    </row>
    <row r="1821" spans="1:3" x14ac:dyDescent="0.15">
      <c r="A1821" s="1">
        <v>40676</v>
      </c>
      <c r="B1821" t="s">
        <v>356</v>
      </c>
      <c r="C1821" s="2" t="str">
        <f>HYPERLINK("http://snap.windin.com/ns/bulletin.php?id=18662508&amp;type=1", "北京君正:首次公开发行股票并在创业板上市招股意向书")</f>
        <v>北京君正:首次公开发行股票并在创业板上市招股意向书</v>
      </c>
    </row>
    <row r="1822" spans="1:3" x14ac:dyDescent="0.15">
      <c r="A1822" s="1">
        <v>40676</v>
      </c>
      <c r="B1822" t="s">
        <v>357</v>
      </c>
      <c r="C1822" s="2" t="str">
        <f>HYPERLINK("http://snap.windin.com/ns/bulletin.php?id=18534348&amp;type=1", "正海磁材:首次公开发行股票并在创业板上市招股意向书")</f>
        <v>正海磁材:首次公开发行股票并在创业板上市招股意向书</v>
      </c>
    </row>
    <row r="1823" spans="1:3" x14ac:dyDescent="0.15">
      <c r="A1823" s="1">
        <v>40676</v>
      </c>
      <c r="B1823" t="s">
        <v>363</v>
      </c>
      <c r="C1823" s="2" t="str">
        <f>HYPERLINK("http://snap.windin.com/ns/bulletin.php?id=2009870&amp;type=1", "科大智能:首次公开发行股票并在创业板上市招股说明书")</f>
        <v>科大智能:首次公开发行股票并在创业板上市招股说明书</v>
      </c>
    </row>
    <row r="1824" spans="1:3" x14ac:dyDescent="0.15">
      <c r="A1824" s="1">
        <v>40676</v>
      </c>
      <c r="B1824" t="s">
        <v>355</v>
      </c>
      <c r="C1824" s="2" t="str">
        <f>HYPERLINK("http://snap.windin.com/ns/bulletin.php?id=696935&amp;type=1", "金力泰:首次公开发行股票并在创业板上市招股意向书")</f>
        <v>金力泰:首次公开发行股票并在创业板上市招股意向书</v>
      </c>
    </row>
    <row r="1825" spans="1:3" x14ac:dyDescent="0.15">
      <c r="A1825" s="1">
        <v>40676</v>
      </c>
      <c r="B1825" t="s">
        <v>357</v>
      </c>
      <c r="C1825" s="2" t="str">
        <f>HYPERLINK("http://snap.windin.com/ns/bulletin.php?id=587612&amp;type=1", "正海磁材:首次公开发行股票并在创业板上市招股意向书")</f>
        <v>正海磁材:首次公开发行股票并在创业板上市招股意向书</v>
      </c>
    </row>
    <row r="1826" spans="1:3" x14ac:dyDescent="0.15">
      <c r="A1826" s="1">
        <v>40676</v>
      </c>
      <c r="B1826" t="s">
        <v>361</v>
      </c>
      <c r="C1826" s="2" t="str">
        <f>HYPERLINK("http://snap.windin.com/ns/bulletin.php?id=546526&amp;type=1", "金运激光:首次公开发行股票并在创业板上市招股说明书")</f>
        <v>金运激光:首次公开发行股票并在创业板上市招股说明书</v>
      </c>
    </row>
    <row r="1827" spans="1:3" x14ac:dyDescent="0.15">
      <c r="A1827" s="1">
        <v>40676</v>
      </c>
      <c r="B1827" t="s">
        <v>362</v>
      </c>
      <c r="C1827" s="2" t="str">
        <f>HYPERLINK("http://snap.windin.com/ns/bulletin.php?id=406138&amp;type=1", "银禧科技:首次公开发行股票并在创业板上市招股说明书")</f>
        <v>银禧科技:首次公开发行股票并在创业板上市招股说明书</v>
      </c>
    </row>
    <row r="1828" spans="1:3" x14ac:dyDescent="0.15">
      <c r="A1828" s="1">
        <v>40676</v>
      </c>
      <c r="B1828" t="s">
        <v>356</v>
      </c>
      <c r="C1828" s="2" t="str">
        <f>HYPERLINK("http://snap.windin.com/ns/bulletin.php?id=200655&amp;type=1", "北京君正:首次公开发行股票并在创业板上市招股意向书")</f>
        <v>北京君正:首次公开发行股票并在创业板上市招股意向书</v>
      </c>
    </row>
    <row r="1829" spans="1:3" x14ac:dyDescent="0.15">
      <c r="A1829" s="1">
        <v>40674</v>
      </c>
      <c r="B1829" t="s">
        <v>365</v>
      </c>
      <c r="C1829" s="2" t="str">
        <f>HYPERLINK("http://snap.windin.com/ns/bulletin.php?id=989626&amp;type=1", "好想你:首次公开发行股票招股说明书")</f>
        <v>好想你:首次公开发行股票招股说明书</v>
      </c>
    </row>
    <row r="1830" spans="1:3" x14ac:dyDescent="0.15">
      <c r="A1830" s="1">
        <v>40674</v>
      </c>
      <c r="B1830" t="s">
        <v>365</v>
      </c>
      <c r="C1830" s="2" t="str">
        <f>HYPERLINK("http://snap.windin.com/ns/bulletin.php?id=235186&amp;type=1", "好想你:首次公开发行股票招股说明书摘要")</f>
        <v>好想你:首次公开发行股票招股说明书摘要</v>
      </c>
    </row>
    <row r="1831" spans="1:3" x14ac:dyDescent="0.15">
      <c r="A1831" s="1">
        <v>40673</v>
      </c>
      <c r="B1831" t="s">
        <v>371</v>
      </c>
      <c r="C1831" s="2" t="str">
        <f>HYPERLINK("http://snap.windin.com/ns/bulletin.php?id=2089637&amp;type=1", "电科院:首次公开发行股票并在创业板上市公告书")</f>
        <v>电科院:首次公开发行股票并在创业板上市公告书</v>
      </c>
    </row>
    <row r="1832" spans="1:3" x14ac:dyDescent="0.15">
      <c r="A1832" s="1">
        <v>40673</v>
      </c>
      <c r="B1832" t="s">
        <v>358</v>
      </c>
      <c r="C1832" s="2" t="str">
        <f>HYPERLINK("http://snap.windin.com/ns/bulletin.php?id=1954106&amp;type=1", "九牧王:首次公开发行股票招股意向书附录")</f>
        <v>九牧王:首次公开发行股票招股意向书附录</v>
      </c>
    </row>
    <row r="1833" spans="1:3" x14ac:dyDescent="0.15">
      <c r="A1833" s="1">
        <v>40673</v>
      </c>
      <c r="B1833" t="s">
        <v>359</v>
      </c>
      <c r="C1833" s="2" t="str">
        <f>HYPERLINK("http://snap.windin.com/ns/bulletin.php?id=1839425&amp;type=1", "鹿港科技:首次公开发行股票招股意向书摘要")</f>
        <v>鹿港科技:首次公开发行股票招股意向书摘要</v>
      </c>
    </row>
    <row r="1834" spans="1:3" x14ac:dyDescent="0.15">
      <c r="A1834" s="1">
        <v>40673</v>
      </c>
      <c r="B1834" t="s">
        <v>371</v>
      </c>
      <c r="C1834" s="2" t="str">
        <f>HYPERLINK("http://snap.windin.com/ns/bulletin.php?id=1546958&amp;type=1", "电科院:首次公开发行股票并在创业板上市公告书提示性公告")</f>
        <v>电科院:首次公开发行股票并在创业板上市公告书提示性公告</v>
      </c>
    </row>
    <row r="1835" spans="1:3" x14ac:dyDescent="0.15">
      <c r="A1835" s="1">
        <v>40673</v>
      </c>
      <c r="B1835" t="s">
        <v>372</v>
      </c>
      <c r="C1835" s="2" t="str">
        <f>HYPERLINK("http://snap.windin.com/ns/bulletin.php?id=1409751&amp;type=1", "日科化学:首次公开发行股票并在创业板上市之上市公告书")</f>
        <v>日科化学:首次公开发行股票并在创业板上市之上市公告书</v>
      </c>
    </row>
    <row r="1836" spans="1:3" x14ac:dyDescent="0.15">
      <c r="A1836" s="1">
        <v>40673</v>
      </c>
      <c r="B1836" t="s">
        <v>358</v>
      </c>
      <c r="C1836" s="2" t="str">
        <f>HYPERLINK("http://snap.windin.com/ns/bulletin.php?id=1393474&amp;type=1", "九牧王:首次公开发行股票招股意向书")</f>
        <v>九牧王:首次公开发行股票招股意向书</v>
      </c>
    </row>
    <row r="1837" spans="1:3" x14ac:dyDescent="0.15">
      <c r="A1837" s="1">
        <v>40673</v>
      </c>
      <c r="B1837" t="s">
        <v>373</v>
      </c>
      <c r="C1837" s="2" t="str">
        <f>HYPERLINK("http://snap.windin.com/ns/bulletin.php?id=1304821&amp;type=1", "千山药机:首次公开发行股票并在创业板上市上市公告书")</f>
        <v>千山药机:首次公开发行股票并在创业板上市上市公告书</v>
      </c>
    </row>
    <row r="1838" spans="1:3" x14ac:dyDescent="0.15">
      <c r="A1838" s="1">
        <v>40673</v>
      </c>
      <c r="B1838" t="s">
        <v>358</v>
      </c>
      <c r="C1838" s="2" t="str">
        <f>HYPERLINK("http://snap.windin.com/ns/bulletin.php?id=1291371&amp;type=1", "九牧王:首次公开发行股票招股意向书摘要")</f>
        <v>九牧王:首次公开发行股票招股意向书摘要</v>
      </c>
    </row>
    <row r="1839" spans="1:3" x14ac:dyDescent="0.15">
      <c r="A1839" s="1">
        <v>40673</v>
      </c>
      <c r="B1839" t="s">
        <v>359</v>
      </c>
      <c r="C1839" s="2" t="str">
        <f>HYPERLINK("http://snap.windin.com/ns/bulletin.php?id=1159807&amp;type=1", "鹿港科技:首次公开发行股票招股意向书附录二")</f>
        <v>鹿港科技:首次公开发行股票招股意向书附录二</v>
      </c>
    </row>
    <row r="1840" spans="1:3" x14ac:dyDescent="0.15">
      <c r="A1840" s="1">
        <v>40673</v>
      </c>
      <c r="B1840" t="s">
        <v>359</v>
      </c>
      <c r="C1840" s="2" t="str">
        <f>HYPERLINK("http://snap.windin.com/ns/bulletin.php?id=928125&amp;type=1", "鹿港科技:首次公开发行股票招股意向书附录一")</f>
        <v>鹿港科技:首次公开发行股票招股意向书附录一</v>
      </c>
    </row>
    <row r="1841" spans="1:3" x14ac:dyDescent="0.15">
      <c r="A1841" s="1">
        <v>40673</v>
      </c>
      <c r="B1841" t="s">
        <v>359</v>
      </c>
      <c r="C1841" s="2" t="str">
        <f>HYPERLINK("http://snap.windin.com/ns/bulletin.php?id=920736&amp;type=1", "鹿港科技:首次公开发行股票招股意向书")</f>
        <v>鹿港科技:首次公开发行股票招股意向书</v>
      </c>
    </row>
    <row r="1842" spans="1:3" x14ac:dyDescent="0.15">
      <c r="A1842" s="1">
        <v>40673</v>
      </c>
      <c r="B1842" t="s">
        <v>360</v>
      </c>
      <c r="C1842" s="2" t="str">
        <f>HYPERLINK("http://snap.windin.com/ns/bulletin.php?id=548604&amp;type=1", "海能达:首次公开发行股票招股意向书摘要")</f>
        <v>海能达:首次公开发行股票招股意向书摘要</v>
      </c>
    </row>
    <row r="1843" spans="1:3" x14ac:dyDescent="0.15">
      <c r="A1843" s="1">
        <v>40673</v>
      </c>
      <c r="B1843" t="s">
        <v>373</v>
      </c>
      <c r="C1843" s="2" t="str">
        <f>HYPERLINK("http://snap.windin.com/ns/bulletin.php?id=465006&amp;type=1", "千山药机:首次公开发行股票并在创业板上市公告书提示性公告")</f>
        <v>千山药机:首次公开发行股票并在创业板上市公告书提示性公告</v>
      </c>
    </row>
    <row r="1844" spans="1:3" x14ac:dyDescent="0.15">
      <c r="A1844" s="1">
        <v>40673</v>
      </c>
      <c r="B1844" t="s">
        <v>360</v>
      </c>
      <c r="C1844" s="2" t="str">
        <f>HYPERLINK("http://snap.windin.com/ns/bulletin.php?id=417129&amp;type=1", "海能达:首次公开发行股票招股意向书")</f>
        <v>海能达:首次公开发行股票招股意向书</v>
      </c>
    </row>
    <row r="1845" spans="1:3" x14ac:dyDescent="0.15">
      <c r="A1845" s="1">
        <v>40673</v>
      </c>
      <c r="B1845" t="s">
        <v>359</v>
      </c>
      <c r="C1845" s="2" t="str">
        <f>HYPERLINK("http://snap.windin.com/ns/bulletin.php?id=233562&amp;type=1", "鹿港科技:首次公开发行股票招股意向书附录三")</f>
        <v>鹿港科技:首次公开发行股票招股意向书附录三</v>
      </c>
    </row>
    <row r="1846" spans="1:3" x14ac:dyDescent="0.15">
      <c r="A1846" s="1">
        <v>40673</v>
      </c>
      <c r="B1846" t="s">
        <v>372</v>
      </c>
      <c r="C1846" s="2" t="str">
        <f>HYPERLINK("http://snap.windin.com/ns/bulletin.php?id=224666&amp;type=1", "日科化学:首次公开发行股票并在创业板上市之上市公告书提示性公告")</f>
        <v>日科化学:首次公开发行股票并在创业板上市之上市公告书提示性公告</v>
      </c>
    </row>
    <row r="1847" spans="1:3" x14ac:dyDescent="0.15">
      <c r="A1847" s="1">
        <v>40672</v>
      </c>
      <c r="B1847" t="s">
        <v>367</v>
      </c>
      <c r="C1847" s="2" t="str">
        <f>HYPERLINK("http://snap.windin.com/ns/bulletin.php?id=1996398&amp;type=1", "安利股份:首次公开发行股票并在创业板上市招股说明书")</f>
        <v>安利股份:首次公开发行股票并在创业板上市招股说明书</v>
      </c>
    </row>
    <row r="1848" spans="1:3" x14ac:dyDescent="0.15">
      <c r="A1848" s="1">
        <v>40672</v>
      </c>
      <c r="B1848" t="s">
        <v>368</v>
      </c>
      <c r="C1848" s="2" t="str">
        <f>HYPERLINK("http://snap.windin.com/ns/bulletin.php?id=1629037&amp;type=1", "东方电热:首次公开发行股票并在创业板上市招股说明书")</f>
        <v>东方电热:首次公开发行股票并在创业板上市招股说明书</v>
      </c>
    </row>
    <row r="1849" spans="1:3" x14ac:dyDescent="0.15">
      <c r="A1849" s="1">
        <v>40672</v>
      </c>
      <c r="B1849" t="s">
        <v>370</v>
      </c>
      <c r="C1849" s="2" t="str">
        <f>HYPERLINK("http://snap.windin.com/ns/bulletin.php?id=901500&amp;type=1", "鸿利光电:首次公开发行股票并在创业板上市招股说明书")</f>
        <v>鸿利光电:首次公开发行股票并在创业板上市招股说明书</v>
      </c>
    </row>
    <row r="1850" spans="1:3" x14ac:dyDescent="0.15">
      <c r="A1850" s="1">
        <v>40669</v>
      </c>
      <c r="B1850" t="s">
        <v>361</v>
      </c>
      <c r="C1850" s="2" t="str">
        <f>HYPERLINK("http://snap.windin.com/ns/bulletin.php?id=19448058&amp;type=1", "金运激光:首次公开发行股票并在创业板上市招股意向书")</f>
        <v>金运激光:首次公开发行股票并在创业板上市招股意向书</v>
      </c>
    </row>
    <row r="1851" spans="1:3" x14ac:dyDescent="0.15">
      <c r="A1851" s="1">
        <v>40669</v>
      </c>
      <c r="B1851" t="s">
        <v>374</v>
      </c>
      <c r="C1851" s="2" t="str">
        <f>HYPERLINK("http://snap.windin.com/ns/bulletin.php?id=1973229&amp;type=1", "华鼎锦纶:首次公开发行A股股票上市公告书")</f>
        <v>华鼎锦纶:首次公开发行A股股票上市公告书</v>
      </c>
    </row>
    <row r="1852" spans="1:3" x14ac:dyDescent="0.15">
      <c r="A1852" s="1">
        <v>40669</v>
      </c>
      <c r="B1852" t="s">
        <v>361</v>
      </c>
      <c r="C1852" s="2" t="str">
        <f>HYPERLINK("http://snap.windin.com/ns/bulletin.php?id=1344170&amp;type=1", "金运激光:首次公开发行股票并在创业板上市招股意向书")</f>
        <v>金运激光:首次公开发行股票并在创业板上市招股意向书</v>
      </c>
    </row>
    <row r="1853" spans="1:3" x14ac:dyDescent="0.15">
      <c r="A1853" s="1">
        <v>40669</v>
      </c>
      <c r="B1853" t="s">
        <v>362</v>
      </c>
      <c r="C1853" s="2" t="str">
        <f>HYPERLINK("http://snap.windin.com/ns/bulletin.php?id=1010855&amp;type=1", "银禧科技:首次公开发行股票并在创业板上市招股意向书")</f>
        <v>银禧科技:首次公开发行股票并在创业板上市招股意向书</v>
      </c>
    </row>
    <row r="1854" spans="1:3" x14ac:dyDescent="0.15">
      <c r="A1854" s="1">
        <v>40669</v>
      </c>
      <c r="B1854" t="s">
        <v>375</v>
      </c>
      <c r="C1854" s="2" t="str">
        <f>HYPERLINK("http://snap.windin.com/ns/bulletin.php?id=803555&amp;type=1", "上海医药:关于刊发H股招股说明书、H股发行价格区间及H股香港公开发售等相关事宜的公告")</f>
        <v>上海医药:关于刊发H股招股说明书、H股发行价格区间及H股香港公开发售等相关事宜的公告</v>
      </c>
    </row>
    <row r="1855" spans="1:3" x14ac:dyDescent="0.15">
      <c r="A1855" s="1">
        <v>40669</v>
      </c>
      <c r="B1855" t="s">
        <v>363</v>
      </c>
      <c r="C1855" s="2" t="str">
        <f>HYPERLINK("http://snap.windin.com/ns/bulletin.php?id=752607&amp;type=1", "科大智能:首次公开发行股票并在创业板上市招股意向书")</f>
        <v>科大智能:首次公开发行股票并在创业板上市招股意向书</v>
      </c>
    </row>
    <row r="1856" spans="1:3" x14ac:dyDescent="0.15">
      <c r="A1856" s="1">
        <v>40669</v>
      </c>
      <c r="B1856" t="s">
        <v>374</v>
      </c>
      <c r="C1856" s="2" t="str">
        <f>HYPERLINK("http://snap.windin.com/ns/bulletin.php?id=439291&amp;type=1", "华鼎锦纶:首次公开发行股票招股说明书")</f>
        <v>华鼎锦纶:首次公开发行股票招股说明书</v>
      </c>
    </row>
    <row r="1857" spans="1:3" x14ac:dyDescent="0.15">
      <c r="A1857" s="1">
        <v>40668</v>
      </c>
      <c r="B1857" t="s">
        <v>376</v>
      </c>
      <c r="C1857" s="2" t="str">
        <f>HYPERLINK("http://snap.windin.com/ns/bulletin.php?id=1859080&amp;type=1", "圣阳股份:首次公开发行股票上市公告书")</f>
        <v>圣阳股份:首次公开发行股票上市公告书</v>
      </c>
    </row>
    <row r="1858" spans="1:3" x14ac:dyDescent="0.15">
      <c r="A1858" s="1">
        <v>40668</v>
      </c>
      <c r="B1858" t="s">
        <v>377</v>
      </c>
      <c r="C1858" s="2" t="str">
        <f>HYPERLINK("http://snap.windin.com/ns/bulletin.php?id=1597808&amp;type=1", "中京电子:首次公开发行股票上市公告书")</f>
        <v>中京电子:首次公开发行股票上市公告书</v>
      </c>
    </row>
    <row r="1859" spans="1:3" x14ac:dyDescent="0.15">
      <c r="A1859" s="1">
        <v>40668</v>
      </c>
      <c r="B1859" t="s">
        <v>378</v>
      </c>
      <c r="C1859" s="2" t="str">
        <f>HYPERLINK("http://snap.windin.com/ns/bulletin.php?id=1586262&amp;type=1", "吉鑫科技:首次公开发行股票招股说明书")</f>
        <v>吉鑫科技:首次公开发行股票招股说明书</v>
      </c>
    </row>
    <row r="1860" spans="1:3" x14ac:dyDescent="0.15">
      <c r="A1860" s="1">
        <v>40668</v>
      </c>
      <c r="B1860" t="s">
        <v>378</v>
      </c>
      <c r="C1860" s="2" t="str">
        <f>HYPERLINK("http://snap.windin.com/ns/bulletin.php?id=599801&amp;type=1", "吉鑫科技:首次公开发行股票上市公告书")</f>
        <v>吉鑫科技:首次公开发行股票上市公告书</v>
      </c>
    </row>
    <row r="1861" spans="1:3" x14ac:dyDescent="0.15">
      <c r="A1861" s="1">
        <v>40667</v>
      </c>
      <c r="B1861" t="s">
        <v>365</v>
      </c>
      <c r="C1861" s="2" t="str">
        <f>HYPERLINK("http://snap.windin.com/ns/bulletin.php?id=19147684&amp;type=1", "好想你:首次公开发行股票招股意向书")</f>
        <v>好想你:首次公开发行股票招股意向书</v>
      </c>
    </row>
    <row r="1862" spans="1:3" x14ac:dyDescent="0.15">
      <c r="A1862" s="1">
        <v>40667</v>
      </c>
      <c r="B1862" t="s">
        <v>365</v>
      </c>
      <c r="C1862" s="2" t="str">
        <f>HYPERLINK("http://snap.windin.com/ns/bulletin.php?id=18539682&amp;type=1", "好想你:首次公开发行股票招股意向书")</f>
        <v>好想你:首次公开发行股票招股意向书</v>
      </c>
    </row>
    <row r="1863" spans="1:3" x14ac:dyDescent="0.15">
      <c r="A1863" s="1">
        <v>40667</v>
      </c>
      <c r="B1863" t="s">
        <v>364</v>
      </c>
      <c r="C1863" s="2" t="str">
        <f>HYPERLINK("http://snap.windin.com/ns/bulletin.php?id=2075745&amp;type=1", "东材科技:首次公开发行股票招股意向书")</f>
        <v>东材科技:首次公开发行股票招股意向书</v>
      </c>
    </row>
    <row r="1864" spans="1:3" x14ac:dyDescent="0.15">
      <c r="A1864" s="1">
        <v>40667</v>
      </c>
      <c r="B1864" t="s">
        <v>379</v>
      </c>
      <c r="C1864" s="2" t="str">
        <f>HYPERLINK("http://snap.windin.com/ns/bulletin.php?id=2007314&amp;type=1", "佳讯飞鸿:首次公开发行股票并在创业板上市公告书提示性公告")</f>
        <v>佳讯飞鸿:首次公开发行股票并在创业板上市公告书提示性公告</v>
      </c>
    </row>
    <row r="1865" spans="1:3" x14ac:dyDescent="0.15">
      <c r="A1865" s="1">
        <v>40667</v>
      </c>
      <c r="B1865" t="s">
        <v>365</v>
      </c>
      <c r="C1865" s="2" t="str">
        <f>HYPERLINK("http://snap.windin.com/ns/bulletin.php?id=1966384&amp;type=1", "好想你:首次公开发行股票招股意向书")</f>
        <v>好想你:首次公开发行股票招股意向书</v>
      </c>
    </row>
    <row r="1866" spans="1:3" x14ac:dyDescent="0.15">
      <c r="A1866" s="1">
        <v>40667</v>
      </c>
      <c r="B1866" t="s">
        <v>364</v>
      </c>
      <c r="C1866" s="2" t="str">
        <f>HYPERLINK("http://snap.windin.com/ns/bulletin.php?id=1928308&amp;type=1", "东材科技:首次公开发行股票招股意向书摘要")</f>
        <v>东材科技:首次公开发行股票招股意向书摘要</v>
      </c>
    </row>
    <row r="1867" spans="1:3" x14ac:dyDescent="0.15">
      <c r="A1867" s="1">
        <v>40667</v>
      </c>
      <c r="B1867" t="s">
        <v>380</v>
      </c>
      <c r="C1867" s="2" t="str">
        <f>HYPERLINK("http://snap.windin.com/ns/bulletin.php?id=1702797&amp;type=1", "易华录:首次公开发行股票并在创业板上市之上市公告书")</f>
        <v>易华录:首次公开发行股票并在创业板上市之上市公告书</v>
      </c>
    </row>
    <row r="1868" spans="1:3" x14ac:dyDescent="0.15">
      <c r="A1868" s="1">
        <v>40667</v>
      </c>
      <c r="B1868" t="s">
        <v>364</v>
      </c>
      <c r="C1868" s="2" t="str">
        <f>HYPERLINK("http://snap.windin.com/ns/bulletin.php?id=1458223&amp;type=1", "东材科技:首次公开发行股票招股意向书附录")</f>
        <v>东材科技:首次公开发行股票招股意向书附录</v>
      </c>
    </row>
    <row r="1869" spans="1:3" x14ac:dyDescent="0.15">
      <c r="A1869" s="1">
        <v>40667</v>
      </c>
      <c r="B1869" t="s">
        <v>381</v>
      </c>
      <c r="C1869" s="2" t="str">
        <f>HYPERLINK("http://snap.windin.com/ns/bulletin.php?id=1452790&amp;type=1", "亿通科技:首次公开发行股票并在创业板上市上市公告书提示性公告")</f>
        <v>亿通科技:首次公开发行股票并在创业板上市上市公告书提示性公告</v>
      </c>
    </row>
    <row r="1870" spans="1:3" x14ac:dyDescent="0.15">
      <c r="A1870" s="1">
        <v>40667</v>
      </c>
      <c r="B1870" t="s">
        <v>381</v>
      </c>
      <c r="C1870" s="2" t="str">
        <f>HYPERLINK("http://snap.windin.com/ns/bulletin.php?id=1055757&amp;type=1", "亿通科技:首次公开发行股票并在创业板上市公告书")</f>
        <v>亿通科技:首次公开发行股票并在创业板上市公告书</v>
      </c>
    </row>
    <row r="1871" spans="1:3" x14ac:dyDescent="0.15">
      <c r="A1871" s="1">
        <v>40667</v>
      </c>
      <c r="B1871" t="s">
        <v>366</v>
      </c>
      <c r="C1871" s="2" t="str">
        <f>HYPERLINK("http://snap.windin.com/ns/bulletin.php?id=852180&amp;type=1", "万昌科技:首次公开发行股票招股说明书")</f>
        <v>万昌科技:首次公开发行股票招股说明书</v>
      </c>
    </row>
    <row r="1872" spans="1:3" x14ac:dyDescent="0.15">
      <c r="A1872" s="1">
        <v>40667</v>
      </c>
      <c r="B1872" t="s">
        <v>365</v>
      </c>
      <c r="C1872" s="2" t="str">
        <f>HYPERLINK("http://snap.windin.com/ns/bulletin.php?id=786860&amp;type=1", "好想你:首次公开发行股票招股意向书摘要")</f>
        <v>好想你:首次公开发行股票招股意向书摘要</v>
      </c>
    </row>
    <row r="1873" spans="1:3" x14ac:dyDescent="0.15">
      <c r="A1873" s="1">
        <v>40667</v>
      </c>
      <c r="B1873" t="s">
        <v>366</v>
      </c>
      <c r="C1873" s="2" t="str">
        <f>HYPERLINK("http://snap.windin.com/ns/bulletin.php?id=479183&amp;type=1", "万昌科技:首次公开发行股票招股说明书摘要")</f>
        <v>万昌科技:首次公开发行股票招股说明书摘要</v>
      </c>
    </row>
    <row r="1874" spans="1:3" x14ac:dyDescent="0.15">
      <c r="A1874" s="1">
        <v>40667</v>
      </c>
      <c r="B1874" t="s">
        <v>379</v>
      </c>
      <c r="C1874" s="2" t="str">
        <f>HYPERLINK("http://snap.windin.com/ns/bulletin.php?id=202024&amp;type=1", "佳讯飞鸿:首次公开发行股票并在创业板上市上市公告书")</f>
        <v>佳讯飞鸿:首次公开发行股票并在创业板上市上市公告书</v>
      </c>
    </row>
    <row r="1875" spans="1:3" x14ac:dyDescent="0.15">
      <c r="A1875" s="1">
        <v>40667</v>
      </c>
      <c r="B1875" t="s">
        <v>380</v>
      </c>
      <c r="C1875" s="2" t="str">
        <f>HYPERLINK("http://snap.windin.com/ns/bulletin.php?id=172818&amp;type=1", "易华录:首次公开发行股票并在创业板上市上市公告书提示性公告")</f>
        <v>易华录:首次公开发行股票并在创业板上市上市公告书提示性公告</v>
      </c>
    </row>
    <row r="1876" spans="1:3" x14ac:dyDescent="0.15">
      <c r="A1876" s="1">
        <v>40662</v>
      </c>
      <c r="B1876" t="s">
        <v>367</v>
      </c>
      <c r="C1876" s="2" t="str">
        <f>HYPERLINK("http://snap.windin.com/ns/bulletin.php?id=18482076&amp;type=1", "安利股份:首次公开发行股票并在创业板上市招股意向书")</f>
        <v>安利股份:首次公开发行股票并在创业板上市招股意向书</v>
      </c>
    </row>
    <row r="1877" spans="1:3" x14ac:dyDescent="0.15">
      <c r="A1877" s="1">
        <v>40662</v>
      </c>
      <c r="B1877" t="s">
        <v>371</v>
      </c>
      <c r="C1877" s="2" t="str">
        <f>HYPERLINK("http://snap.windin.com/ns/bulletin.php?id=2030801&amp;type=1", "电科院:首次公开发行股票并在创业板上市招股说明书")</f>
        <v>电科院:首次公开发行股票并在创业板上市招股说明书</v>
      </c>
    </row>
    <row r="3003" spans="1:1" x14ac:dyDescent="0.15">
      <c r="A3003" t="s">
        <v>3</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3324"/>
  <sheetViews>
    <sheetView tabSelected="1" workbookViewId="0">
      <selection activeCell="D1" sqref="D1:D1048576"/>
    </sheetView>
  </sheetViews>
  <sheetFormatPr defaultRowHeight="12" x14ac:dyDescent="0.15"/>
  <cols>
    <col min="1" max="1" width="11.85546875" bestFit="1" customWidth="1"/>
    <col min="2" max="2" width="11.85546875" customWidth="1"/>
    <col min="3" max="3" width="93.140625" customWidth="1"/>
    <col min="4" max="4" width="58.85546875" customWidth="1"/>
    <col min="5" max="5" width="14.140625" customWidth="1"/>
  </cols>
  <sheetData>
    <row r="1" spans="1:6" x14ac:dyDescent="0.15">
      <c r="A1" t="s">
        <v>0</v>
      </c>
      <c r="B1" t="s">
        <v>1</v>
      </c>
      <c r="C1" t="s">
        <v>2</v>
      </c>
      <c r="D1" t="s">
        <v>6755</v>
      </c>
      <c r="E1" t="s">
        <v>4606</v>
      </c>
      <c r="F1" t="s">
        <v>6754</v>
      </c>
    </row>
    <row r="2" spans="1:6" x14ac:dyDescent="0.15">
      <c r="A2" s="1">
        <v>41873</v>
      </c>
      <c r="B2" t="s">
        <v>2760</v>
      </c>
      <c r="C2" s="2" t="str">
        <f>HYPERLINK("http://snap.windin.com/ns/bulletin.php?id=68053616&amp;type=1", "宏辉果蔬:首次公开发行股票招股说明书(申报稿2014年8月11日报送)")</f>
        <v>宏辉果蔬:首次公开发行股票招股说明书(申报稿2014年8月11日报送)</v>
      </c>
      <c r="D2" t="s">
        <v>6756</v>
      </c>
      <c r="E2" t="s">
        <v>4607</v>
      </c>
      <c r="F2" t="s">
        <v>4608</v>
      </c>
    </row>
    <row r="3" spans="1:6" x14ac:dyDescent="0.15">
      <c r="A3" s="1">
        <v>41873</v>
      </c>
      <c r="B3" t="s">
        <v>2761</v>
      </c>
      <c r="C3" s="2" t="str">
        <f>HYPERLINK("http://snap.windin.com/ns/bulletin.php?id=68053702&amp;type=1", "华强文化:创业板首次公开发行股票招股说明书(申报稿2014年8月21日报送)")</f>
        <v>华强文化:创业板首次公开发行股票招股说明书(申报稿2014年8月21日报送)</v>
      </c>
      <c r="D3" t="s">
        <v>6757</v>
      </c>
      <c r="E3" t="s">
        <v>4609</v>
      </c>
      <c r="F3" t="s">
        <v>4610</v>
      </c>
    </row>
    <row r="4" spans="1:6" x14ac:dyDescent="0.15">
      <c r="A4" s="1">
        <v>41873</v>
      </c>
      <c r="B4" t="s">
        <v>2762</v>
      </c>
      <c r="C4" s="2" t="str">
        <f>HYPERLINK("http://snap.windin.com/ns/bulletin.php?id=68053700&amp;type=1", "迦南科技:创业板首次公开发行股票招股说明书(申报稿2014年8月21日报送)")</f>
        <v>迦南科技:创业板首次公开发行股票招股说明书(申报稿2014年8月21日报送)</v>
      </c>
      <c r="D4" t="s">
        <v>6758</v>
      </c>
      <c r="E4" t="s">
        <v>4611</v>
      </c>
      <c r="F4" t="s">
        <v>4610</v>
      </c>
    </row>
    <row r="5" spans="1:6" x14ac:dyDescent="0.15">
      <c r="A5" s="1">
        <v>41873</v>
      </c>
      <c r="B5" t="s">
        <v>2763</v>
      </c>
      <c r="C5" s="2" t="str">
        <f>HYPERLINK("http://snap.windin.com/ns/bulletin.php?id=68053690&amp;type=1", "萃华股份:首次公开发行股票招股说明书(申报稿2014年8月22日报送)")</f>
        <v>萃华股份:首次公开发行股票招股说明书(申报稿2014年8月22日报送)</v>
      </c>
      <c r="D5" t="s">
        <v>6759</v>
      </c>
      <c r="E5" t="s">
        <v>4612</v>
      </c>
      <c r="F5" t="s">
        <v>4613</v>
      </c>
    </row>
    <row r="6" spans="1:6" x14ac:dyDescent="0.15">
      <c r="A6" s="1">
        <v>41871</v>
      </c>
      <c r="B6" t="s">
        <v>2768</v>
      </c>
      <c r="C6" s="2" t="str">
        <f>HYPERLINK("http://snap.windin.com/ns/bulletin.php?id=68029878&amp;type=1", "三环集团:创业板首次公开发行股票招股说明书(申报稿2014年8月19日报送)")</f>
        <v>三环集团:创业板首次公开发行股票招股说明书(申报稿2014年8月19日报送)</v>
      </c>
      <c r="D6" t="s">
        <v>6760</v>
      </c>
      <c r="E6" t="s">
        <v>4617</v>
      </c>
      <c r="F6" t="s">
        <v>4618</v>
      </c>
    </row>
    <row r="7" spans="1:6" x14ac:dyDescent="0.15">
      <c r="A7" s="1">
        <v>41871</v>
      </c>
      <c r="B7" t="s">
        <v>2769</v>
      </c>
      <c r="C7" s="2" t="str">
        <f>HYPERLINK("http://snap.windin.com/ns/bulletin.php?id=68029880&amp;type=1", "广州酒家:首次公开发行股票招股说明书(申报稿2014年8月19日报送)")</f>
        <v>广州酒家:首次公开发行股票招股说明书(申报稿2014年8月19日报送)</v>
      </c>
      <c r="D7" t="s">
        <v>6761</v>
      </c>
      <c r="E7" t="s">
        <v>4619</v>
      </c>
      <c r="F7" t="s">
        <v>4620</v>
      </c>
    </row>
    <row r="8" spans="1:6" x14ac:dyDescent="0.15">
      <c r="A8" s="1">
        <v>41865</v>
      </c>
      <c r="B8" t="s">
        <v>2770</v>
      </c>
      <c r="C8" s="2" t="str">
        <f>HYPERLINK("http://snap.windin.com/ns/bulletin.php?id=67201572&amp;type=1", "石大胜华:首次公开发行股票招股说明书(申报稿2014年8月13日报送)")</f>
        <v>石大胜华:首次公开发行股票招股说明书(申报稿2014年8月13日报送)</v>
      </c>
      <c r="D8" t="s">
        <v>6762</v>
      </c>
      <c r="E8" t="s">
        <v>4621</v>
      </c>
      <c r="F8" t="s">
        <v>4622</v>
      </c>
    </row>
    <row r="9" spans="1:6" x14ac:dyDescent="0.15">
      <c r="A9" s="1">
        <v>41864</v>
      </c>
      <c r="B9" t="s">
        <v>2771</v>
      </c>
      <c r="C9" s="2" t="str">
        <f>HYPERLINK("http://snap.windin.com/ns/bulletin.php?id=67192508&amp;type=1", "凯发电气:创业板首次公开发行股票招股说明书(申报稿2014年8月11日报送)")</f>
        <v>凯发电气:创业板首次公开发行股票招股说明书(申报稿2014年8月11日报送)</v>
      </c>
      <c r="D9" t="s">
        <v>6763</v>
      </c>
      <c r="E9" t="s">
        <v>4623</v>
      </c>
      <c r="F9" t="s">
        <v>4624</v>
      </c>
    </row>
    <row r="10" spans="1:6" x14ac:dyDescent="0.15">
      <c r="A10" s="1">
        <v>41864</v>
      </c>
      <c r="B10" t="s">
        <v>2772</v>
      </c>
      <c r="C10" s="2" t="str">
        <f>HYPERLINK("http://snap.windin.com/ns/bulletin.php?id=67189402&amp;type=1", "柳州医药:首次公开发行股票招股说明书(申报稿2014年8月11日报送)")</f>
        <v>柳州医药:首次公开发行股票招股说明书(申报稿2014年8月11日报送)</v>
      </c>
      <c r="D10" t="s">
        <v>6764</v>
      </c>
      <c r="E10" t="s">
        <v>4625</v>
      </c>
      <c r="F10" t="s">
        <v>4608</v>
      </c>
    </row>
    <row r="11" spans="1:6" x14ac:dyDescent="0.15">
      <c r="A11" s="1">
        <v>41864</v>
      </c>
      <c r="B11" t="s">
        <v>2773</v>
      </c>
      <c r="C11" s="2" t="str">
        <f>HYPERLINK("http://snap.windin.com/ns/bulletin.php?id=67192572&amp;type=1", "黑猫焦化:首次公开发行股票招股说明书(申报稿2014年8月11日报送)")</f>
        <v>黑猫焦化:首次公开发行股票招股说明书(申报稿2014年8月11日报送)</v>
      </c>
      <c r="D11" t="s">
        <v>6765</v>
      </c>
      <c r="E11" t="s">
        <v>4626</v>
      </c>
      <c r="F11" t="s">
        <v>4608</v>
      </c>
    </row>
    <row r="12" spans="1:6" x14ac:dyDescent="0.15">
      <c r="A12" s="1">
        <v>41864</v>
      </c>
      <c r="B12" t="s">
        <v>2774</v>
      </c>
      <c r="C12" s="2" t="str">
        <f>HYPERLINK("http://snap.windin.com/ns/bulletin.php?id=67192552&amp;type=1", "新澳股份:首次公开发行股票招股说明书(申报稿2014年8月12日报送)")</f>
        <v>新澳股份:首次公开发行股票招股说明书(申报稿2014年8月12日报送)</v>
      </c>
      <c r="D12" t="s">
        <v>6766</v>
      </c>
      <c r="E12" t="s">
        <v>4627</v>
      </c>
      <c r="F12" t="s">
        <v>4628</v>
      </c>
    </row>
    <row r="13" spans="1:6" x14ac:dyDescent="0.15">
      <c r="A13" s="1">
        <v>41859</v>
      </c>
      <c r="B13" t="s">
        <v>2775</v>
      </c>
      <c r="C13" s="2" t="str">
        <f>HYPERLINK("http://snap.windin.com/ns/bulletin.php?id=67149414&amp;type=1", "中科创新:创业板首次公开发行股票招股说明书(申报稿2014年7月30日报送)")</f>
        <v>中科创新:创业板首次公开发行股票招股说明书(申报稿2014年7月30日报送)</v>
      </c>
      <c r="D13" t="s">
        <v>6767</v>
      </c>
      <c r="E13" t="s">
        <v>4629</v>
      </c>
      <c r="F13" t="s">
        <v>4630</v>
      </c>
    </row>
    <row r="14" spans="1:6" x14ac:dyDescent="0.15">
      <c r="A14" s="1">
        <v>41859</v>
      </c>
      <c r="B14" t="s">
        <v>2776</v>
      </c>
      <c r="C14" s="2" t="str">
        <f>HYPERLINK("http://snap.windin.com/ns/bulletin.php?id=67149412&amp;type=1", "理工光科:创业板首次公开发行股票招股说明书(申报稿2014年7月30日报送)")</f>
        <v>理工光科:创业板首次公开发行股票招股说明书(申报稿2014年7月30日报送)</v>
      </c>
      <c r="D14" t="s">
        <v>6768</v>
      </c>
      <c r="E14" t="s">
        <v>4631</v>
      </c>
      <c r="F14" t="s">
        <v>4630</v>
      </c>
    </row>
    <row r="15" spans="1:6" x14ac:dyDescent="0.15">
      <c r="A15" s="1">
        <v>41856</v>
      </c>
      <c r="B15" t="s">
        <v>2777</v>
      </c>
      <c r="C15" s="2" t="str">
        <f>HYPERLINK("http://snap.windin.com/ns/bulletin.php?id=67108246&amp;type=1", "九洲药业:首次公开发行股票招股说明书(申报稿2014年8月1日报送)")</f>
        <v>九洲药业:首次公开发行股票招股说明书(申报稿2014年8月1日报送)</v>
      </c>
      <c r="D15" t="s">
        <v>6769</v>
      </c>
      <c r="E15" t="s">
        <v>4632</v>
      </c>
      <c r="F15" t="s">
        <v>4633</v>
      </c>
    </row>
    <row r="16" spans="1:6" x14ac:dyDescent="0.15">
      <c r="A16" s="1">
        <v>41852</v>
      </c>
      <c r="B16" t="s">
        <v>2778</v>
      </c>
      <c r="C16" s="2" t="str">
        <f>HYPERLINK("http://snap.windin.com/ns/bulletin.php?id=67079172&amp;type=1", "英飞特:创业板首次公开发行股票招股说明书(申报稿2014年7月17日报送)")</f>
        <v>英飞特:创业板首次公开发行股票招股说明书(申报稿2014年7月17日报送)</v>
      </c>
      <c r="D16" t="s">
        <v>6770</v>
      </c>
      <c r="E16" t="s">
        <v>4634</v>
      </c>
      <c r="F16" t="s">
        <v>4635</v>
      </c>
    </row>
    <row r="17" spans="1:6" x14ac:dyDescent="0.15">
      <c r="A17" s="1">
        <v>41852</v>
      </c>
      <c r="B17" t="s">
        <v>2779</v>
      </c>
      <c r="C17" s="2" t="str">
        <f>HYPERLINK("http://snap.windin.com/ns/bulletin.php?id=67079174&amp;type=1", "交通股份:首次公开发行股票招股说明书(申报稿2014年7月29日报送)")</f>
        <v>交通股份:首次公开发行股票招股说明书(申报稿2014年7月29日报送)</v>
      </c>
      <c r="D17" t="s">
        <v>6771</v>
      </c>
      <c r="E17" t="s">
        <v>4636</v>
      </c>
      <c r="F17" t="s">
        <v>4637</v>
      </c>
    </row>
    <row r="18" spans="1:6" x14ac:dyDescent="0.15">
      <c r="A18" s="1">
        <v>41852</v>
      </c>
      <c r="B18" t="s">
        <v>2780</v>
      </c>
      <c r="C18" s="2" t="str">
        <f>HYPERLINK("http://snap.windin.com/ns/bulletin.php?id=67079176&amp;type=1", "万盛股份:首次公开发行股票招股说明书(申报稿2014年7月31日报送)")</f>
        <v>万盛股份:首次公开发行股票招股说明书(申报稿2014年7月31日报送)</v>
      </c>
      <c r="D18" t="s">
        <v>6772</v>
      </c>
      <c r="E18" t="s">
        <v>4638</v>
      </c>
      <c r="F18" t="s">
        <v>4639</v>
      </c>
    </row>
    <row r="19" spans="1:6" x14ac:dyDescent="0.15">
      <c r="A19" s="1">
        <v>41849</v>
      </c>
      <c r="B19" t="s">
        <v>2781</v>
      </c>
      <c r="C19" s="2" t="str">
        <f>HYPERLINK("http://snap.windin.com/ns/bulletin.php?id=66692758&amp;type=1", "禾丰牧业:首次公开发行股票招股说明书")</f>
        <v>禾丰牧业:首次公开发行股票招股说明书</v>
      </c>
      <c r="D19" t="s">
        <v>6773</v>
      </c>
      <c r="E19" t="s">
        <v>4640</v>
      </c>
      <c r="F19" t="s">
        <v>399</v>
      </c>
    </row>
    <row r="20" spans="1:6" x14ac:dyDescent="0.15">
      <c r="A20" s="1">
        <v>41849</v>
      </c>
      <c r="B20" t="s">
        <v>2782</v>
      </c>
      <c r="C20" s="2" t="str">
        <f>HYPERLINK("http://snap.windin.com/ns/bulletin.php?id=67027754&amp;type=1", "飞凯股份:创业板首次公开发行股票招股说明书(申报稿2014年7月28日报送)")</f>
        <v>飞凯股份:创业板首次公开发行股票招股说明书(申报稿2014年7月28日报送)</v>
      </c>
      <c r="D20" t="s">
        <v>6774</v>
      </c>
      <c r="E20" t="s">
        <v>4641</v>
      </c>
      <c r="F20" t="s">
        <v>4642</v>
      </c>
    </row>
    <row r="21" spans="1:6" x14ac:dyDescent="0.15">
      <c r="A21" s="1">
        <v>41848</v>
      </c>
      <c r="B21" t="s">
        <v>2783</v>
      </c>
      <c r="C21" s="2" t="str">
        <f>HYPERLINK("http://snap.windin.com/ns/bulletin.php?id=66496618&amp;type=1", "兰石重型:首次公开发行股票招股说明书(申报稿2014年7月25日报送)")</f>
        <v>兰石重型:首次公开发行股票招股说明书(申报稿2014年7月25日报送)</v>
      </c>
      <c r="D21" t="s">
        <v>6775</v>
      </c>
      <c r="E21" t="s">
        <v>4643</v>
      </c>
      <c r="F21" t="s">
        <v>4644</v>
      </c>
    </row>
    <row r="22" spans="1:6" x14ac:dyDescent="0.15">
      <c r="A22" s="1">
        <v>41844</v>
      </c>
      <c r="B22" t="s">
        <v>2784</v>
      </c>
      <c r="C22" s="2" t="str">
        <f>HYPERLINK("http://snap.windin.com/ns/bulletin.php?id=66201586&amp;type=1", "国祯环保:首次公开发行股票并在创业板上市招股说明书(更新后)")</f>
        <v>国祯环保:首次公开发行股票并在创业板上市招股说明书(更新后)</v>
      </c>
      <c r="D22" t="s">
        <v>6776</v>
      </c>
      <c r="E22" t="s">
        <v>4645</v>
      </c>
      <c r="F22" t="s">
        <v>459</v>
      </c>
    </row>
    <row r="23" spans="1:6" x14ac:dyDescent="0.15">
      <c r="A23" s="1">
        <v>41844</v>
      </c>
      <c r="B23" t="s">
        <v>2784</v>
      </c>
      <c r="C23" s="2" t="str">
        <f>HYPERLINK("http://snap.windin.com/ns/bulletin.php?id=66202036&amp;type=1", "国祯环保:关于《安徽国祯环保节能科技股份有限公司首次公开发行股票并在创业板上市招股说明书》的更正公告")</f>
        <v>国祯环保:关于《安徽国祯环保节能科技股份有限公司首次公开发行股票并在创业板上市招股说明书》的更正公告</v>
      </c>
      <c r="D23" t="s">
        <v>6777</v>
      </c>
      <c r="E23" t="s">
        <v>4645</v>
      </c>
      <c r="F23" t="s">
        <v>4646</v>
      </c>
    </row>
    <row r="24" spans="1:6" x14ac:dyDescent="0.15">
      <c r="A24" s="1">
        <v>41843</v>
      </c>
      <c r="B24" t="s">
        <v>2785</v>
      </c>
      <c r="C24" s="2" t="str">
        <f>HYPERLINK("http://snap.windin.com/ns/bulletin.php?id=66193868&amp;type=1", "三联虹普:首次公开发行股票并在创业板上市招股说明书")</f>
        <v>三联虹普:首次公开发行股票并在创业板上市招股说明书</v>
      </c>
      <c r="D24" t="s">
        <v>6778</v>
      </c>
      <c r="E24" t="s">
        <v>4647</v>
      </c>
      <c r="F24" t="s">
        <v>455</v>
      </c>
    </row>
    <row r="25" spans="1:6" x14ac:dyDescent="0.15">
      <c r="A25" s="1">
        <v>41843</v>
      </c>
      <c r="B25" t="s">
        <v>2786</v>
      </c>
      <c r="C25" s="2" t="str">
        <f>HYPERLINK("http://snap.windin.com/ns/bulletin.php?id=66193870&amp;type=1", "艾比森:首次公开发行股票并在创业板上市招股说明书")</f>
        <v>艾比森:首次公开发行股票并在创业板上市招股说明书</v>
      </c>
      <c r="D25" t="s">
        <v>6779</v>
      </c>
      <c r="E25" t="s">
        <v>4648</v>
      </c>
      <c r="F25" t="s">
        <v>455</v>
      </c>
    </row>
    <row r="26" spans="1:6" x14ac:dyDescent="0.15">
      <c r="A26" s="1">
        <v>41843</v>
      </c>
      <c r="B26" t="s">
        <v>2784</v>
      </c>
      <c r="C26" s="2" t="str">
        <f>HYPERLINK("http://snap.windin.com/ns/bulletin.php?id=66193872&amp;type=1", "国祯环保:首次公开发行股票并在创业板上市招股说明书")</f>
        <v>国祯环保:首次公开发行股票并在创业板上市招股说明书</v>
      </c>
      <c r="D26" t="s">
        <v>6780</v>
      </c>
      <c r="E26" t="s">
        <v>4645</v>
      </c>
      <c r="F26" t="s">
        <v>455</v>
      </c>
    </row>
    <row r="27" spans="1:6" x14ac:dyDescent="0.15">
      <c r="A27" s="1">
        <v>41843</v>
      </c>
      <c r="B27" t="s">
        <v>2787</v>
      </c>
      <c r="C27" s="2" t="str">
        <f>HYPERLINK("http://snap.windin.com/ns/bulletin.php?id=66193874&amp;type=1", "康跃科技:首次公开发行股票并在创业板上市招股说明书")</f>
        <v>康跃科技:首次公开发行股票并在创业板上市招股说明书</v>
      </c>
      <c r="D27" t="s">
        <v>6781</v>
      </c>
      <c r="E27" t="s">
        <v>4649</v>
      </c>
      <c r="F27" t="s">
        <v>455</v>
      </c>
    </row>
    <row r="28" spans="1:6" x14ac:dyDescent="0.15">
      <c r="A28" s="1">
        <v>41843</v>
      </c>
      <c r="B28" t="s">
        <v>2788</v>
      </c>
      <c r="C28" s="2" t="str">
        <f>HYPERLINK("http://snap.windin.com/ns/bulletin.php?id=66193890&amp;type=1", "会稽山:首次公开发行股票招股说明书")</f>
        <v>会稽山:首次公开发行股票招股说明书</v>
      </c>
      <c r="D28" t="s">
        <v>6782</v>
      </c>
      <c r="E28" t="s">
        <v>4650</v>
      </c>
      <c r="F28" t="s">
        <v>399</v>
      </c>
    </row>
    <row r="29" spans="1:6" x14ac:dyDescent="0.15">
      <c r="A29" s="1">
        <v>41842</v>
      </c>
      <c r="B29" t="s">
        <v>2789</v>
      </c>
      <c r="C29" s="2" t="str">
        <f>HYPERLINK("http://snap.windin.com/ns/bulletin.php?id=66184938&amp;type=1", "天华超净:首次公开发行股票并在创业板上市招股说明书")</f>
        <v>天华超净:首次公开发行股票并在创业板上市招股说明书</v>
      </c>
      <c r="D29" t="s">
        <v>6783</v>
      </c>
      <c r="E29" t="s">
        <v>4651</v>
      </c>
      <c r="F29" t="s">
        <v>455</v>
      </c>
    </row>
    <row r="30" spans="1:6" x14ac:dyDescent="0.15">
      <c r="A30" s="1">
        <v>41842</v>
      </c>
      <c r="B30" t="s">
        <v>2790</v>
      </c>
      <c r="C30" s="2" t="str">
        <f>HYPERLINK("http://snap.windin.com/ns/bulletin.php?id=66184940&amp;type=1", "台城制药:首次公开发行股票招股说明书")</f>
        <v>台城制药:首次公开发行股票招股说明书</v>
      </c>
      <c r="D30" t="s">
        <v>6784</v>
      </c>
      <c r="E30" t="s">
        <v>4652</v>
      </c>
      <c r="F30" t="s">
        <v>399</v>
      </c>
    </row>
    <row r="31" spans="1:6" x14ac:dyDescent="0.15">
      <c r="A31" s="1">
        <v>41842</v>
      </c>
      <c r="B31" t="s">
        <v>2791</v>
      </c>
      <c r="C31" s="2" t="str">
        <f>HYPERLINK("http://snap.windin.com/ns/bulletin.php?id=66184988&amp;type=1", "中材节能:首次公开发行股票招股说明书")</f>
        <v>中材节能:首次公开发行股票招股说明书</v>
      </c>
      <c r="D31" t="s">
        <v>6785</v>
      </c>
      <c r="E31" t="s">
        <v>4653</v>
      </c>
      <c r="F31" t="s">
        <v>399</v>
      </c>
    </row>
    <row r="32" spans="1:6" x14ac:dyDescent="0.15">
      <c r="A32" s="1">
        <v>41842</v>
      </c>
      <c r="B32" t="s">
        <v>2792</v>
      </c>
      <c r="C32" s="2" t="str">
        <f>HYPERLINK("http://snap.windin.com/ns/bulletin.php?id=66184970&amp;type=1", "长白山:首次公开发行股票招股说明书")</f>
        <v>长白山:首次公开发行股票招股说明书</v>
      </c>
      <c r="D32" t="s">
        <v>6786</v>
      </c>
      <c r="E32" t="s">
        <v>4654</v>
      </c>
      <c r="F32" t="s">
        <v>399</v>
      </c>
    </row>
    <row r="33" spans="1:6" x14ac:dyDescent="0.15">
      <c r="A33" s="1">
        <v>41842</v>
      </c>
      <c r="B33" t="s">
        <v>2793</v>
      </c>
      <c r="C33" s="2" t="str">
        <f>HYPERLINK("http://snap.windin.com/ns/bulletin.php?id=66184984&amp;type=1", "康尼机电:首次公开发行股票招股说明书")</f>
        <v>康尼机电:首次公开发行股票招股说明书</v>
      </c>
      <c r="D33" t="s">
        <v>6787</v>
      </c>
      <c r="E33" t="s">
        <v>4655</v>
      </c>
      <c r="F33" t="s">
        <v>399</v>
      </c>
    </row>
    <row r="34" spans="1:6" x14ac:dyDescent="0.15">
      <c r="A34" s="1">
        <v>41842</v>
      </c>
      <c r="B34" t="s">
        <v>2794</v>
      </c>
      <c r="C34" s="2" t="str">
        <f>HYPERLINK("http://snap.windin.com/ns/bulletin.php?id=66184986&amp;type=1", "川仪股份:首次公开发行股票招股说明书")</f>
        <v>川仪股份:首次公开发行股票招股说明书</v>
      </c>
      <c r="D34" t="s">
        <v>6788</v>
      </c>
      <c r="E34" t="s">
        <v>4656</v>
      </c>
      <c r="F34" t="s">
        <v>399</v>
      </c>
    </row>
    <row r="35" spans="1:6" x14ac:dyDescent="0.15">
      <c r="A35" s="1">
        <v>41838</v>
      </c>
      <c r="B35" t="s">
        <v>2795</v>
      </c>
      <c r="C35" s="2" t="str">
        <f>HYPERLINK("http://snap.windin.com/ns/bulletin.php?id=66167918&amp;type=1", "华懋新材:首次公开发行股票招股说明书(申报稿2014年7月17日报送)")</f>
        <v>华懋新材:首次公开发行股票招股说明书(申报稿2014年7月17日报送)</v>
      </c>
      <c r="D35" t="s">
        <v>6789</v>
      </c>
      <c r="E35" t="s">
        <v>4657</v>
      </c>
      <c r="F35" t="s">
        <v>4658</v>
      </c>
    </row>
    <row r="36" spans="1:6" x14ac:dyDescent="0.15">
      <c r="A36" s="1">
        <v>41820</v>
      </c>
      <c r="B36" t="s">
        <v>2796</v>
      </c>
      <c r="C36" s="2" t="str">
        <f>HYPERLINK("http://snap.windin.com/ns/bulletin.php?id=64450112&amp;type=1", "新丽传媒:首次公开发行股票招股说明书(申报稿2014年6月17日报送)")</f>
        <v>新丽传媒:首次公开发行股票招股说明书(申报稿2014年6月17日报送)</v>
      </c>
      <c r="D36" t="s">
        <v>6790</v>
      </c>
      <c r="E36" t="s">
        <v>4659</v>
      </c>
      <c r="F36" t="s">
        <v>4660</v>
      </c>
    </row>
    <row r="37" spans="1:6" x14ac:dyDescent="0.15">
      <c r="A37" s="1">
        <v>41820</v>
      </c>
      <c r="B37" t="s">
        <v>2797</v>
      </c>
      <c r="C37" s="2" t="str">
        <f>HYPERLINK("http://snap.windin.com/ns/bulletin.php?id=64450078&amp;type=1", "杭州银行:首次公开发行股票招股说明书(申报稿2014年6月26日报送)")</f>
        <v>杭州银行:首次公开发行股票招股说明书(申报稿2014年6月26日报送)</v>
      </c>
      <c r="D37" t="s">
        <v>6791</v>
      </c>
      <c r="E37" t="s">
        <v>4661</v>
      </c>
      <c r="F37" t="s">
        <v>4662</v>
      </c>
    </row>
    <row r="38" spans="1:6" x14ac:dyDescent="0.15">
      <c r="A38" s="1">
        <v>41820</v>
      </c>
      <c r="B38" t="s">
        <v>2798</v>
      </c>
      <c r="C38" s="2" t="str">
        <f>HYPERLINK("http://snap.windin.com/ns/bulletin.php?id=64450092&amp;type=1", "成都银行:首次公开发行股票招股说明书(申报稿2014年6月23日报送)")</f>
        <v>成都银行:首次公开发行股票招股说明书(申报稿2014年6月23日报送)</v>
      </c>
      <c r="D38" t="s">
        <v>6792</v>
      </c>
      <c r="E38" t="s">
        <v>4663</v>
      </c>
      <c r="F38" t="s">
        <v>4664</v>
      </c>
    </row>
    <row r="39" spans="1:6" x14ac:dyDescent="0.15">
      <c r="A39" s="1">
        <v>41820</v>
      </c>
      <c r="B39" t="s">
        <v>2799</v>
      </c>
      <c r="C39" s="2" t="str">
        <f>HYPERLINK("http://snap.windin.com/ns/bulletin.php?id=64450048&amp;type=1", "江苏银行:首次公开发行股票招股说明书(申报稿2014年4月29日报送)")</f>
        <v>江苏银行:首次公开发行股票招股说明书(申报稿2014年4月29日报送)</v>
      </c>
      <c r="D39" t="s">
        <v>6793</v>
      </c>
      <c r="E39" t="s">
        <v>4665</v>
      </c>
      <c r="F39" t="s">
        <v>4666</v>
      </c>
    </row>
    <row r="40" spans="1:6" x14ac:dyDescent="0.15">
      <c r="A40" s="1">
        <v>41820</v>
      </c>
      <c r="B40" t="s">
        <v>2800</v>
      </c>
      <c r="C40" s="2" t="str">
        <f>HYPERLINK("http://snap.windin.com/ns/bulletin.php?id=64450020&amp;type=1", "濮阳惠成:创业板首次公开发行股票招股说明书(申报稿2014年6月24日报送)")</f>
        <v>濮阳惠成:创业板首次公开发行股票招股说明书(申报稿2014年6月24日报送)</v>
      </c>
      <c r="D40" t="s">
        <v>6794</v>
      </c>
      <c r="E40" t="s">
        <v>4667</v>
      </c>
      <c r="F40" t="s">
        <v>4668</v>
      </c>
    </row>
    <row r="41" spans="1:6" x14ac:dyDescent="0.15">
      <c r="A41" s="1">
        <v>41820</v>
      </c>
      <c r="B41" t="s">
        <v>2801</v>
      </c>
      <c r="C41" s="2" t="str">
        <f>HYPERLINK("http://snap.windin.com/ns/bulletin.php?id=64450034&amp;type=1", "盛京银行:首次公开发行股票招股说明书(申报稿2014年6月30日报送)")</f>
        <v>盛京银行:首次公开发行股票招股说明书(申报稿2014年6月30日报送)</v>
      </c>
      <c r="D41" t="s">
        <v>6795</v>
      </c>
      <c r="E41" t="s">
        <v>4669</v>
      </c>
      <c r="F41" t="s">
        <v>4670</v>
      </c>
    </row>
    <row r="42" spans="1:6" x14ac:dyDescent="0.15">
      <c r="A42" s="1">
        <v>41820</v>
      </c>
      <c r="B42" t="s">
        <v>2802</v>
      </c>
      <c r="C42" s="2" t="str">
        <f>HYPERLINK("http://snap.windin.com/ns/bulletin.php?id=64450026&amp;type=1", "天波信息:创业板首次公开发行股票招股说明书(申报稿2014年6月27日报送)")</f>
        <v>天波信息:创业板首次公开发行股票招股说明书(申报稿2014年6月27日报送)</v>
      </c>
      <c r="D42" t="s">
        <v>6796</v>
      </c>
      <c r="E42" t="s">
        <v>4671</v>
      </c>
      <c r="F42" t="s">
        <v>4672</v>
      </c>
    </row>
    <row r="43" spans="1:6" x14ac:dyDescent="0.15">
      <c r="A43" s="1">
        <v>41820</v>
      </c>
      <c r="B43" t="s">
        <v>2803</v>
      </c>
      <c r="C43" s="2" t="str">
        <f>HYPERLINK("http://snap.windin.com/ns/bulletin.php?id=64450064&amp;type=1", "贵阳银行:首次公开发行股票招股说明书(申报稿2014年6月20日报送)")</f>
        <v>贵阳银行:首次公开发行股票招股说明书(申报稿2014年6月20日报送)</v>
      </c>
      <c r="D43" t="s">
        <v>6797</v>
      </c>
      <c r="E43" t="s">
        <v>4673</v>
      </c>
      <c r="F43" t="s">
        <v>4674</v>
      </c>
    </row>
    <row r="44" spans="1:6" x14ac:dyDescent="0.15">
      <c r="A44" s="1">
        <v>41820</v>
      </c>
      <c r="B44" t="s">
        <v>2768</v>
      </c>
      <c r="C44" s="2" t="str">
        <f>HYPERLINK("http://snap.windin.com/ns/bulletin.php?id=64450030&amp;type=1", "三环集团:创业板首次公开发行股票招股说明书(申报稿2014年6月30日报送)")</f>
        <v>三环集团:创业板首次公开发行股票招股说明书(申报稿2014年6月30日报送)</v>
      </c>
      <c r="D44" t="s">
        <v>6798</v>
      </c>
      <c r="E44" t="s">
        <v>4617</v>
      </c>
      <c r="F44" t="s">
        <v>4675</v>
      </c>
    </row>
    <row r="45" spans="1:6" x14ac:dyDescent="0.15">
      <c r="A45" s="1">
        <v>41820</v>
      </c>
      <c r="B45" t="s">
        <v>2804</v>
      </c>
      <c r="C45" s="2" t="str">
        <f>HYPERLINK("http://snap.windin.com/ns/bulletin.php?id=64449992&amp;type=1", "快乐购:创业板首次公开发行股票招股说明书(申报稿2014年6月30日报送)")</f>
        <v>快乐购:创业板首次公开发行股票招股说明书(申报稿2014年6月30日报送)</v>
      </c>
      <c r="D45" t="s">
        <v>6799</v>
      </c>
      <c r="E45" t="s">
        <v>4676</v>
      </c>
      <c r="F45" t="s">
        <v>4675</v>
      </c>
    </row>
    <row r="46" spans="1:6" x14ac:dyDescent="0.15">
      <c r="A46" s="1">
        <v>41820</v>
      </c>
      <c r="B46" t="s">
        <v>2805</v>
      </c>
      <c r="C46" s="2" t="str">
        <f>HYPERLINK("http://snap.windin.com/ns/bulletin.php?id=64449982&amp;type=1", "全志科技:创业板首次公开发行股票招股说明书(申报稿2014年6月24日报送)")</f>
        <v>全志科技:创业板首次公开发行股票招股说明书(申报稿2014年6月24日报送)</v>
      </c>
      <c r="D46" t="s">
        <v>6800</v>
      </c>
      <c r="E46" t="s">
        <v>4677</v>
      </c>
      <c r="F46" t="s">
        <v>4668</v>
      </c>
    </row>
    <row r="47" spans="1:6" x14ac:dyDescent="0.15">
      <c r="A47" s="1">
        <v>41820</v>
      </c>
      <c r="B47" t="s">
        <v>2806</v>
      </c>
      <c r="C47" s="2" t="str">
        <f>HYPERLINK("http://snap.windin.com/ns/bulletin.php?id=64548098&amp;type=1", "普莱柯:首次公开发行股票招股说明书(申报稿2014年6月16日报送)")</f>
        <v>普莱柯:首次公开发行股票招股说明书(申报稿2014年6月16日报送)</v>
      </c>
      <c r="D47" t="s">
        <v>6801</v>
      </c>
      <c r="E47" t="s">
        <v>4678</v>
      </c>
      <c r="F47" t="s">
        <v>4679</v>
      </c>
    </row>
    <row r="48" spans="1:6" x14ac:dyDescent="0.15">
      <c r="A48" s="1">
        <v>41820</v>
      </c>
      <c r="B48" t="s">
        <v>2807</v>
      </c>
      <c r="C48" s="2" t="str">
        <f>HYPERLINK("http://snap.windin.com/ns/bulletin.php?id=64548084&amp;type=1", "海南矿业:首次公开发行股票招股说明书(申报稿2014年6月27日报送)")</f>
        <v>海南矿业:首次公开发行股票招股说明书(申报稿2014年6月27日报送)</v>
      </c>
      <c r="D48" t="s">
        <v>6802</v>
      </c>
      <c r="E48" t="s">
        <v>4680</v>
      </c>
      <c r="F48" t="s">
        <v>4681</v>
      </c>
    </row>
    <row r="49" spans="1:6" x14ac:dyDescent="0.15">
      <c r="A49" s="1">
        <v>41820</v>
      </c>
      <c r="B49" t="s">
        <v>2808</v>
      </c>
      <c r="C49" s="2" t="str">
        <f>HYPERLINK("http://snap.windin.com/ns/bulletin.php?id=64548070&amp;type=1", "永兴特钢:首次公开发行股票招股说明书(申报稿2014年6月10日报送)")</f>
        <v>永兴特钢:首次公开发行股票招股说明书(申报稿2014年6月10日报送)</v>
      </c>
      <c r="D49" t="s">
        <v>6803</v>
      </c>
      <c r="E49" t="s">
        <v>4682</v>
      </c>
      <c r="F49" t="s">
        <v>4683</v>
      </c>
    </row>
    <row r="50" spans="1:6" x14ac:dyDescent="0.15">
      <c r="A50" s="1">
        <v>41820</v>
      </c>
      <c r="B50" t="s">
        <v>2809</v>
      </c>
      <c r="C50" s="2" t="str">
        <f>HYPERLINK("http://snap.windin.com/ns/bulletin.php?id=64548090&amp;type=1", "艾华集团:首次公开发行股票招股说明书(申报稿2014年6月16日报送)")</f>
        <v>艾华集团:首次公开发行股票招股说明书(申报稿2014年6月16日报送)</v>
      </c>
      <c r="D50" t="s">
        <v>6804</v>
      </c>
      <c r="E50" t="s">
        <v>4684</v>
      </c>
      <c r="F50" t="s">
        <v>4679</v>
      </c>
    </row>
    <row r="51" spans="1:6" x14ac:dyDescent="0.15">
      <c r="A51" s="1">
        <v>41820</v>
      </c>
      <c r="B51" t="s">
        <v>2810</v>
      </c>
      <c r="C51" s="2" t="str">
        <f>HYPERLINK("http://snap.windin.com/ns/bulletin.php?id=64450140&amp;type=1", "超讯通信:首次公开发行股票招股说明书(申报稿2014年6月27日报送)")</f>
        <v>超讯通信:首次公开发行股票招股说明书(申报稿2014年6月27日报送)</v>
      </c>
      <c r="D51" t="s">
        <v>6805</v>
      </c>
      <c r="E51" t="s">
        <v>4685</v>
      </c>
      <c r="F51" t="s">
        <v>4681</v>
      </c>
    </row>
    <row r="52" spans="1:6" x14ac:dyDescent="0.15">
      <c r="A52" s="1">
        <v>41820</v>
      </c>
      <c r="B52" t="s">
        <v>2811</v>
      </c>
      <c r="C52" s="2" t="str">
        <f>HYPERLINK("http://snap.windin.com/ns/bulletin.php?id=64450106&amp;type=1", "普德药业:首次公开发行股票招股说明书(申报稿2014年6月23日报送)")</f>
        <v>普德药业:首次公开发行股票招股说明书(申报稿2014年6月23日报送)</v>
      </c>
      <c r="D52" t="s">
        <v>6806</v>
      </c>
      <c r="E52" t="s">
        <v>4686</v>
      </c>
      <c r="F52" t="s">
        <v>4664</v>
      </c>
    </row>
    <row r="53" spans="1:6" x14ac:dyDescent="0.15">
      <c r="A53" s="1">
        <v>41820</v>
      </c>
      <c r="B53" t="s">
        <v>2812</v>
      </c>
      <c r="C53" s="2" t="str">
        <f>HYPERLINK("http://snap.windin.com/ns/bulletin.php?id=64450038&amp;type=1", "上海银行:首次公开发行股票招股说明书(申报稿2014年5月27日报送)")</f>
        <v>上海银行:首次公开发行股票招股说明书(申报稿2014年5月27日报送)</v>
      </c>
      <c r="D53" t="s">
        <v>6807</v>
      </c>
      <c r="E53" t="s">
        <v>4687</v>
      </c>
      <c r="F53" t="s">
        <v>4688</v>
      </c>
    </row>
    <row r="54" spans="1:6" x14ac:dyDescent="0.15">
      <c r="A54" s="1">
        <v>41820</v>
      </c>
      <c r="B54" t="s">
        <v>2813</v>
      </c>
      <c r="C54" s="2" t="str">
        <f>HYPERLINK("http://snap.windin.com/ns/bulletin.php?id=64450042&amp;type=1", "吴江农商行:首次公开发行股票招股说明书(申报稿2014年4月24日报送)")</f>
        <v>吴江农商行:首次公开发行股票招股说明书(申报稿2014年4月24日报送)</v>
      </c>
      <c r="D54" t="s">
        <v>6808</v>
      </c>
      <c r="E54" t="s">
        <v>4689</v>
      </c>
      <c r="F54" t="s">
        <v>4690</v>
      </c>
    </row>
    <row r="55" spans="1:6" x14ac:dyDescent="0.15">
      <c r="A55" s="1">
        <v>41820</v>
      </c>
      <c r="B55" t="s">
        <v>2814</v>
      </c>
      <c r="C55" s="2" t="str">
        <f>HYPERLINK("http://snap.windin.com/ns/bulletin.php?id=64450036&amp;type=1", "张家港农商行:首次公开发行股票招股说明书(申报稿2014年6月27日报送)")</f>
        <v>张家港农商行:首次公开发行股票招股说明书(申报稿2014年6月27日报送)</v>
      </c>
      <c r="D55" t="s">
        <v>6809</v>
      </c>
      <c r="E55" t="s">
        <v>4691</v>
      </c>
      <c r="F55" t="s">
        <v>4681</v>
      </c>
    </row>
    <row r="56" spans="1:6" x14ac:dyDescent="0.15">
      <c r="A56" s="1">
        <v>41820</v>
      </c>
      <c r="B56" t="s">
        <v>2815</v>
      </c>
      <c r="C56" s="2" t="str">
        <f>HYPERLINK("http://snap.windin.com/ns/bulletin.php?id=64450052&amp;type=1", "江阴农商行:首次公开发行股票招股说明书(申报稿2014年4月10日报送)")</f>
        <v>江阴农商行:首次公开发行股票招股说明书(申报稿2014年4月10日报送)</v>
      </c>
      <c r="D56" t="s">
        <v>6810</v>
      </c>
      <c r="E56" t="s">
        <v>4692</v>
      </c>
      <c r="F56" t="s">
        <v>4693</v>
      </c>
    </row>
    <row r="57" spans="1:6" x14ac:dyDescent="0.15">
      <c r="A57" s="1">
        <v>41820</v>
      </c>
      <c r="B57" t="s">
        <v>2816</v>
      </c>
      <c r="C57" s="2" t="str">
        <f>HYPERLINK("http://snap.windin.com/ns/bulletin.php?id=64450028&amp;type=1", "无锡农商行:首次公开发行股票招股说明书(申报稿2014年6月27日报送)")</f>
        <v>无锡农商行:首次公开发行股票招股说明书(申报稿2014年6月27日报送)</v>
      </c>
      <c r="D57" t="s">
        <v>6811</v>
      </c>
      <c r="E57" t="s">
        <v>4694</v>
      </c>
      <c r="F57" t="s">
        <v>4681</v>
      </c>
    </row>
    <row r="58" spans="1:6" x14ac:dyDescent="0.15">
      <c r="A58" s="1">
        <v>41820</v>
      </c>
      <c r="B58" t="s">
        <v>2817</v>
      </c>
      <c r="C58" s="2" t="str">
        <f>HYPERLINK("http://snap.windin.com/ns/bulletin.php?id=64450058&amp;type=1", "常熟银行:首次公开发行股票招股说明书(申报稿2014年6月27日报送)")</f>
        <v>常熟银行:首次公开发行股票招股说明书(申报稿2014年6月27日报送)</v>
      </c>
      <c r="D58" t="s">
        <v>6812</v>
      </c>
      <c r="E58" t="s">
        <v>4695</v>
      </c>
      <c r="F58" t="s">
        <v>4681</v>
      </c>
    </row>
    <row r="59" spans="1:6" x14ac:dyDescent="0.15">
      <c r="A59" s="1">
        <v>41817</v>
      </c>
      <c r="B59" t="s">
        <v>2818</v>
      </c>
      <c r="C59" s="2" t="str">
        <f>HYPERLINK("http://snap.windin.com/ns/bulletin.php?id=63045474&amp;type=1", "创业软件:创业板首次公开发行股票招股说明书(申报稿2014年6月24日报送)")</f>
        <v>创业软件:创业板首次公开发行股票招股说明书(申报稿2014年6月24日报送)</v>
      </c>
      <c r="D59" t="s">
        <v>6813</v>
      </c>
      <c r="E59" t="s">
        <v>4696</v>
      </c>
      <c r="F59" t="s">
        <v>4668</v>
      </c>
    </row>
    <row r="60" spans="1:6" x14ac:dyDescent="0.15">
      <c r="A60" s="1">
        <v>41817</v>
      </c>
      <c r="B60" t="s">
        <v>2819</v>
      </c>
      <c r="C60" s="2" t="str">
        <f>HYPERLINK("http://snap.windin.com/ns/bulletin.php?id=63045518&amp;type=1", "伟岸测器:创业板首次公开发行股票招股说明书(申报稿2014年6月25日报送)")</f>
        <v>伟岸测器:创业板首次公开发行股票招股说明书(申报稿2014年6月25日报送)</v>
      </c>
      <c r="D60" t="s">
        <v>6814</v>
      </c>
      <c r="E60" t="s">
        <v>4697</v>
      </c>
      <c r="F60" t="s">
        <v>4698</v>
      </c>
    </row>
    <row r="61" spans="1:6" x14ac:dyDescent="0.15">
      <c r="A61" s="1">
        <v>41817</v>
      </c>
      <c r="B61" t="s">
        <v>2820</v>
      </c>
      <c r="C61" s="2" t="str">
        <f>HYPERLINK("http://snap.windin.com/ns/bulletin.php?id=63045396&amp;type=1", "赢合科技:创业板首次公开发行股票招股说明书(申报稿2014年6月25日报送)")</f>
        <v>赢合科技:创业板首次公开发行股票招股说明书(申报稿2014年6月25日报送)</v>
      </c>
      <c r="D61" t="s">
        <v>6815</v>
      </c>
      <c r="E61" t="s">
        <v>4699</v>
      </c>
      <c r="F61" t="s">
        <v>4698</v>
      </c>
    </row>
    <row r="62" spans="1:6" x14ac:dyDescent="0.15">
      <c r="A62" s="1">
        <v>41817</v>
      </c>
      <c r="B62" t="s">
        <v>2821</v>
      </c>
      <c r="C62" s="2" t="str">
        <f>HYPERLINK("http://snap.windin.com/ns/bulletin.php?id=63045528&amp;type=1", "醋酸化工:首次公开发行股票招股说明书(申报稿2014年5月28日报送)")</f>
        <v>醋酸化工:首次公开发行股票招股说明书(申报稿2014年5月28日报送)</v>
      </c>
      <c r="D62" t="s">
        <v>6816</v>
      </c>
      <c r="E62" t="s">
        <v>4700</v>
      </c>
      <c r="F62" t="s">
        <v>4701</v>
      </c>
    </row>
    <row r="63" spans="1:6" x14ac:dyDescent="0.15">
      <c r="A63" s="1">
        <v>41817</v>
      </c>
      <c r="B63" t="s">
        <v>2822</v>
      </c>
      <c r="C63" s="2" t="str">
        <f>HYPERLINK("http://snap.windin.com/ns/bulletin.php?id=63045490&amp;type=1", "汇金科技:创业板首次公开发行股票招股说明书(申报稿2014年6月23日报送)")</f>
        <v>汇金科技:创业板首次公开发行股票招股说明书(申报稿2014年6月23日报送)</v>
      </c>
      <c r="D63" t="s">
        <v>6817</v>
      </c>
      <c r="E63" t="s">
        <v>4702</v>
      </c>
      <c r="F63" t="s">
        <v>4703</v>
      </c>
    </row>
    <row r="64" spans="1:6" x14ac:dyDescent="0.15">
      <c r="A64" s="1">
        <v>41817</v>
      </c>
      <c r="B64" t="s">
        <v>2823</v>
      </c>
      <c r="C64" s="2" t="str">
        <f>HYPERLINK("http://snap.windin.com/ns/bulletin.php?id=63045508&amp;type=1", "大通物流:首次公开发行股票招股说明书(申报稿2014年6月26日报送)")</f>
        <v>大通物流:首次公开发行股票招股说明书(申报稿2014年6月26日报送)</v>
      </c>
      <c r="D64" t="s">
        <v>6818</v>
      </c>
      <c r="E64" t="s">
        <v>4704</v>
      </c>
      <c r="F64" t="s">
        <v>4662</v>
      </c>
    </row>
    <row r="65" spans="1:6" x14ac:dyDescent="0.15">
      <c r="A65" s="1">
        <v>41817</v>
      </c>
      <c r="B65" t="s">
        <v>2824</v>
      </c>
      <c r="C65" s="2" t="str">
        <f>HYPERLINK("http://snap.windin.com/ns/bulletin.php?id=63045450&amp;type=1", "中富通:创业板首次公开发行股票招股说明书(申报稿2014年6月13日报送)")</f>
        <v>中富通:创业板首次公开发行股票招股说明书(申报稿2014年6月13日报送)</v>
      </c>
      <c r="D65" t="s">
        <v>6819</v>
      </c>
      <c r="E65" t="s">
        <v>4705</v>
      </c>
      <c r="F65" t="s">
        <v>4706</v>
      </c>
    </row>
    <row r="66" spans="1:6" x14ac:dyDescent="0.15">
      <c r="A66" s="1">
        <v>41817</v>
      </c>
      <c r="B66" t="s">
        <v>2825</v>
      </c>
      <c r="C66" s="2" t="str">
        <f>HYPERLINK("http://snap.windin.com/ns/bulletin.php?id=63045378&amp;type=1", "博创科技:创业板首次公开发行股票招股说明书(申报稿2014年6月27日报送)")</f>
        <v>博创科技:创业板首次公开发行股票招股说明书(申报稿2014年6月27日报送)</v>
      </c>
      <c r="D66" t="s">
        <v>6820</v>
      </c>
      <c r="E66" t="s">
        <v>4707</v>
      </c>
      <c r="F66" t="s">
        <v>4672</v>
      </c>
    </row>
    <row r="67" spans="1:6" x14ac:dyDescent="0.15">
      <c r="A67" s="1">
        <v>41817</v>
      </c>
      <c r="B67" t="s">
        <v>2826</v>
      </c>
      <c r="C67" s="2" t="str">
        <f>HYPERLINK("http://snap.windin.com/ns/bulletin.php?id=63045370&amp;type=1", "金科股份:创业板首次公开发行股票招股说明书(申报稿2014年6月24日报送)")</f>
        <v>金科股份:创业板首次公开发行股票招股说明书(申报稿2014年6月24日报送)</v>
      </c>
      <c r="D67" t="s">
        <v>6821</v>
      </c>
      <c r="E67" t="s">
        <v>4708</v>
      </c>
      <c r="F67" t="s">
        <v>4668</v>
      </c>
    </row>
    <row r="68" spans="1:6" x14ac:dyDescent="0.15">
      <c r="A68" s="1">
        <v>41817</v>
      </c>
      <c r="B68" t="s">
        <v>2827</v>
      </c>
      <c r="C68" s="2" t="str">
        <f>HYPERLINK("http://snap.windin.com/ns/bulletin.php?id=63045372&amp;type=1", "远大股份:首次公开发行股票招股说明书(申报稿2014年6月19日报送)")</f>
        <v>远大股份:首次公开发行股票招股说明书(申报稿2014年6月19日报送)</v>
      </c>
      <c r="D68" t="s">
        <v>6822</v>
      </c>
      <c r="E68" t="s">
        <v>4709</v>
      </c>
      <c r="F68" t="s">
        <v>4710</v>
      </c>
    </row>
    <row r="69" spans="1:6" x14ac:dyDescent="0.15">
      <c r="A69" s="1">
        <v>41817</v>
      </c>
      <c r="B69" t="s">
        <v>2828</v>
      </c>
      <c r="C69" s="2" t="str">
        <f>HYPERLINK("http://snap.windin.com/ns/bulletin.php?id=63045368&amp;type=1", "蓝晓科技:创业板首次公开发行股票招股说明书(申报稿2014年6月24日报送)")</f>
        <v>蓝晓科技:创业板首次公开发行股票招股说明书(申报稿2014年6月24日报送)</v>
      </c>
      <c r="D69" t="s">
        <v>6823</v>
      </c>
      <c r="E69" t="s">
        <v>4711</v>
      </c>
      <c r="F69" t="s">
        <v>4668</v>
      </c>
    </row>
    <row r="70" spans="1:6" x14ac:dyDescent="0.15">
      <c r="A70" s="1">
        <v>41817</v>
      </c>
      <c r="B70" t="s">
        <v>2829</v>
      </c>
      <c r="C70" s="2" t="str">
        <f>HYPERLINK("http://snap.windin.com/ns/bulletin.php?id=63134806&amp;type=1", "家家悦:首次公开发行股票招股说明书（申报稿2014年6月20日报送）")</f>
        <v>家家悦:首次公开发行股票招股说明书（申报稿2014年6月20日报送）</v>
      </c>
      <c r="D70" t="s">
        <v>6824</v>
      </c>
      <c r="E70" t="s">
        <v>4712</v>
      </c>
      <c r="F70" t="s">
        <v>4713</v>
      </c>
    </row>
    <row r="71" spans="1:6" x14ac:dyDescent="0.15">
      <c r="A71" s="1">
        <v>41817</v>
      </c>
      <c r="B71" t="s">
        <v>2830</v>
      </c>
      <c r="C71" s="2" t="str">
        <f>HYPERLINK("http://snap.windin.com/ns/bulletin.php?id=63134928&amp;type=1", "灵康药业:首次公开发行股票招股说明书（申报稿2014年6月16日报送）")</f>
        <v>灵康药业:首次公开发行股票招股说明书（申报稿2014年6月16日报送）</v>
      </c>
      <c r="D71" t="s">
        <v>6825</v>
      </c>
      <c r="E71" t="s">
        <v>4714</v>
      </c>
      <c r="F71" t="s">
        <v>4715</v>
      </c>
    </row>
    <row r="72" spans="1:6" x14ac:dyDescent="0.15">
      <c r="A72" s="1">
        <v>41817</v>
      </c>
      <c r="B72" t="s">
        <v>2831</v>
      </c>
      <c r="C72" s="2" t="str">
        <f>HYPERLINK("http://snap.windin.com/ns/bulletin.php?id=63134934&amp;type=1", "卓越新能:创业板首次公开发行股票招股说明书（申报稿2014年6月23日报送）")</f>
        <v>卓越新能:创业板首次公开发行股票招股说明书（申报稿2014年6月23日报送）</v>
      </c>
      <c r="D72" t="s">
        <v>6826</v>
      </c>
      <c r="E72" t="s">
        <v>4716</v>
      </c>
      <c r="F72" t="s">
        <v>4717</v>
      </c>
    </row>
    <row r="73" spans="1:6" x14ac:dyDescent="0.15">
      <c r="A73" s="1">
        <v>41817</v>
      </c>
      <c r="B73" t="s">
        <v>2832</v>
      </c>
      <c r="C73" s="2" t="str">
        <f>HYPERLINK("http://snap.windin.com/ns/bulletin.php?id=63134978&amp;type=1", "三角股份:首次公开发行股票招股说明书（申报稿2014年6月24日报送）")</f>
        <v>三角股份:首次公开发行股票招股说明书（申报稿2014年6月24日报送）</v>
      </c>
      <c r="D73" t="s">
        <v>6827</v>
      </c>
      <c r="E73" t="s">
        <v>4718</v>
      </c>
      <c r="F73" t="s">
        <v>4719</v>
      </c>
    </row>
    <row r="74" spans="1:6" x14ac:dyDescent="0.15">
      <c r="A74" s="1">
        <v>41817</v>
      </c>
      <c r="B74" t="s">
        <v>2833</v>
      </c>
      <c r="C74" s="2" t="str">
        <f>HYPERLINK("http://snap.windin.com/ns/bulletin.php?id=63134616&amp;type=1", "和胜铝材:首次公开发行股票招股说明书（申报稿2014年6月20日报送）")</f>
        <v>和胜铝材:首次公开发行股票招股说明书（申报稿2014年6月20日报送）</v>
      </c>
      <c r="D74" t="s">
        <v>6828</v>
      </c>
      <c r="E74" t="s">
        <v>4720</v>
      </c>
      <c r="F74" t="s">
        <v>4713</v>
      </c>
    </row>
    <row r="75" spans="1:6" x14ac:dyDescent="0.15">
      <c r="A75" s="1">
        <v>41817</v>
      </c>
      <c r="B75" t="s">
        <v>2834</v>
      </c>
      <c r="C75" s="2" t="str">
        <f>HYPERLINK("http://snap.windin.com/ns/bulletin.php?id=63135496&amp;type=1", "科学出版:首次公开发行股票招股说明书(申报稿2014年6月27日报送)")</f>
        <v>科学出版:首次公开发行股票招股说明书(申报稿2014年6月27日报送)</v>
      </c>
      <c r="D75" t="s">
        <v>6829</v>
      </c>
      <c r="E75" t="s">
        <v>4721</v>
      </c>
      <c r="F75" t="s">
        <v>4681</v>
      </c>
    </row>
    <row r="76" spans="1:6" x14ac:dyDescent="0.15">
      <c r="A76" s="1">
        <v>41817</v>
      </c>
      <c r="B76" t="s">
        <v>2835</v>
      </c>
      <c r="C76" s="2" t="str">
        <f>HYPERLINK("http://snap.windin.com/ns/bulletin.php?id=63134622&amp;type=1", "广东科茂:创业板首次公开发行股票招股说明书（申报稿2014年6月11日报送）")</f>
        <v>广东科茂:创业板首次公开发行股票招股说明书（申报稿2014年6月11日报送）</v>
      </c>
      <c r="D76" t="s">
        <v>6830</v>
      </c>
      <c r="E76" t="s">
        <v>4722</v>
      </c>
      <c r="F76" t="s">
        <v>4723</v>
      </c>
    </row>
    <row r="77" spans="1:6" x14ac:dyDescent="0.15">
      <c r="A77" s="1">
        <v>41817</v>
      </c>
      <c r="B77" t="s">
        <v>2836</v>
      </c>
      <c r="C77" s="2" t="str">
        <f>HYPERLINK("http://snap.windin.com/ns/bulletin.php?id=63134668&amp;type=1", "丸美股份:首次公开发行股票招股说明书（申报稿2014年06月19日报送）")</f>
        <v>丸美股份:首次公开发行股票招股说明书（申报稿2014年06月19日报送）</v>
      </c>
      <c r="D77" t="s">
        <v>6831</v>
      </c>
      <c r="E77" t="s">
        <v>4724</v>
      </c>
      <c r="F77" t="s">
        <v>4725</v>
      </c>
    </row>
    <row r="78" spans="1:6" x14ac:dyDescent="0.15">
      <c r="A78" s="1">
        <v>41817</v>
      </c>
      <c r="B78" t="s">
        <v>2837</v>
      </c>
      <c r="C78" s="2" t="str">
        <f>HYPERLINK("http://snap.windin.com/ns/bulletin.php?id=63135522&amp;type=1", "中通国脉:首次公开发行股票招股说明书（申报稿2014年6月13日报送）")</f>
        <v>中通国脉:首次公开发行股票招股说明书（申报稿2014年6月13日报送）</v>
      </c>
      <c r="D78" t="s">
        <v>6832</v>
      </c>
      <c r="E78" t="s">
        <v>4726</v>
      </c>
      <c r="F78" t="s">
        <v>4727</v>
      </c>
    </row>
    <row r="79" spans="1:6" x14ac:dyDescent="0.15">
      <c r="A79" s="1">
        <v>41817</v>
      </c>
      <c r="B79" t="s">
        <v>2838</v>
      </c>
      <c r="C79" s="2" t="str">
        <f>HYPERLINK("http://snap.windin.com/ns/bulletin.php?id=63135480&amp;type=1", "仙通股份:首次公开发行股票招股说明书（申报稿2014年6月23日报送）")</f>
        <v>仙通股份:首次公开发行股票招股说明书（申报稿2014年6月23日报送）</v>
      </c>
      <c r="D79" t="s">
        <v>6833</v>
      </c>
      <c r="E79" t="s">
        <v>4728</v>
      </c>
      <c r="F79" t="s">
        <v>4729</v>
      </c>
    </row>
    <row r="80" spans="1:6" x14ac:dyDescent="0.15">
      <c r="A80" s="1">
        <v>41817</v>
      </c>
      <c r="B80" t="s">
        <v>2839</v>
      </c>
      <c r="C80" s="2" t="str">
        <f>HYPERLINK("http://snap.windin.com/ns/bulletin.php?id=63134686&amp;type=1", "翔鹭钨业:首次公开发行股票招股说明书（申报稿2014年06月20日报送）")</f>
        <v>翔鹭钨业:首次公开发行股票招股说明书（申报稿2014年06月20日报送）</v>
      </c>
      <c r="D80" t="s">
        <v>6834</v>
      </c>
      <c r="E80" t="s">
        <v>4730</v>
      </c>
      <c r="F80" t="s">
        <v>4731</v>
      </c>
    </row>
    <row r="81" spans="1:6" x14ac:dyDescent="0.15">
      <c r="A81" s="1">
        <v>41817</v>
      </c>
      <c r="B81" t="s">
        <v>2840</v>
      </c>
      <c r="C81" s="2" t="str">
        <f>HYPERLINK("http://snap.windin.com/ns/bulletin.php?id=63134992&amp;type=1", "森特士兴:首次公开发行股票招股说明书（申报稿2014年6月23日报送）")</f>
        <v>森特士兴:首次公开发行股票招股说明书（申报稿2014年6月23日报送）</v>
      </c>
      <c r="D81" t="s">
        <v>6835</v>
      </c>
      <c r="E81" t="s">
        <v>4732</v>
      </c>
      <c r="F81" t="s">
        <v>4729</v>
      </c>
    </row>
    <row r="82" spans="1:6" x14ac:dyDescent="0.15">
      <c r="A82" s="1">
        <v>41817</v>
      </c>
      <c r="B82" t="s">
        <v>2841</v>
      </c>
      <c r="C82" s="2" t="str">
        <f>HYPERLINK("http://snap.windin.com/ns/bulletin.php?id=63135080&amp;type=1", "古鳌电子:创业板首次公开发行股票招股说明书（申报稿2014年6月9日报送）")</f>
        <v>古鳌电子:创业板首次公开发行股票招股说明书（申报稿2014年6月9日报送）</v>
      </c>
      <c r="D82" t="s">
        <v>6836</v>
      </c>
      <c r="E82" t="s">
        <v>4733</v>
      </c>
      <c r="F82" t="s">
        <v>4734</v>
      </c>
    </row>
    <row r="83" spans="1:6" x14ac:dyDescent="0.15">
      <c r="A83" s="1">
        <v>41817</v>
      </c>
      <c r="B83" t="s">
        <v>2842</v>
      </c>
      <c r="C83" s="2" t="str">
        <f>HYPERLINK("http://snap.windin.com/ns/bulletin.php?id=63135064&amp;type=1", "徕木电子:首次公开发行股票招股说明书（申报稿2014年6月16日报送）")</f>
        <v>徕木电子:首次公开发行股票招股说明书（申报稿2014年6月16日报送）</v>
      </c>
      <c r="D83" t="s">
        <v>6837</v>
      </c>
      <c r="E83" t="s">
        <v>4735</v>
      </c>
      <c r="F83" t="s">
        <v>4715</v>
      </c>
    </row>
    <row r="84" spans="1:6" x14ac:dyDescent="0.15">
      <c r="A84" s="1">
        <v>41817</v>
      </c>
      <c r="B84" t="s">
        <v>2843</v>
      </c>
      <c r="C84" s="2" t="str">
        <f>HYPERLINK("http://snap.windin.com/ns/bulletin.php?id=63135414&amp;type=1", "信捷电气:首次公开发行股票招股说明书（申报稿2014年6月18日报送）")</f>
        <v>信捷电气:首次公开发行股票招股说明书（申报稿2014年6月18日报送）</v>
      </c>
      <c r="D84" t="s">
        <v>6838</v>
      </c>
      <c r="E84" t="s">
        <v>4736</v>
      </c>
      <c r="F84" t="s">
        <v>4737</v>
      </c>
    </row>
    <row r="85" spans="1:6" x14ac:dyDescent="0.15">
      <c r="A85" s="1">
        <v>41817</v>
      </c>
      <c r="B85" t="s">
        <v>2844</v>
      </c>
      <c r="C85" s="2" t="str">
        <f>HYPERLINK("http://snap.windin.com/ns/bulletin.php?id=63135428&amp;type=1", "塞力斯:首次公开发行股票招股说明书（申报稿2014年6月17日报送）")</f>
        <v>塞力斯:首次公开发行股票招股说明书（申报稿2014年6月17日报送）</v>
      </c>
      <c r="D85" t="s">
        <v>6839</v>
      </c>
      <c r="E85" t="s">
        <v>4738</v>
      </c>
      <c r="F85" t="s">
        <v>4739</v>
      </c>
    </row>
    <row r="86" spans="1:6" x14ac:dyDescent="0.15">
      <c r="A86" s="1">
        <v>41817</v>
      </c>
      <c r="B86" t="s">
        <v>2845</v>
      </c>
      <c r="C86" s="2" t="str">
        <f>HYPERLINK("http://snap.windin.com/ns/bulletin.php?id=63134462&amp;type=1", "常熟汽饰:首次公开发行股票招股说明书（申报稿2014年6月20日报送）")</f>
        <v>常熟汽饰:首次公开发行股票招股说明书（申报稿2014年6月20日报送）</v>
      </c>
      <c r="D86" t="s">
        <v>6840</v>
      </c>
      <c r="E86" t="s">
        <v>4740</v>
      </c>
      <c r="F86" t="s">
        <v>4713</v>
      </c>
    </row>
    <row r="87" spans="1:6" x14ac:dyDescent="0.15">
      <c r="A87" s="1">
        <v>41817</v>
      </c>
      <c r="B87" t="s">
        <v>2846</v>
      </c>
      <c r="C87" s="2" t="str">
        <f>HYPERLINK("http://snap.windin.com/ns/bulletin.php?id=63135464&amp;type=1", "和仁科技:创业板首次公开发行股票招股说明书（申报稿2014年6月19日报送）")</f>
        <v>和仁科技:创业板首次公开发行股票招股说明书（申报稿2014年6月19日报送）</v>
      </c>
      <c r="D87" t="s">
        <v>6841</v>
      </c>
      <c r="E87" t="s">
        <v>4741</v>
      </c>
      <c r="F87" t="s">
        <v>4742</v>
      </c>
    </row>
    <row r="88" spans="1:6" x14ac:dyDescent="0.15">
      <c r="A88" s="1">
        <v>41817</v>
      </c>
      <c r="B88" t="s">
        <v>2847</v>
      </c>
      <c r="C88" s="2" t="str">
        <f>HYPERLINK("http://snap.windin.com/ns/bulletin.php?id=63135470&amp;type=1", "华正新材:首次公开发行股票招股说明书（申报稿2014年6月23日报送）")</f>
        <v>华正新材:首次公开发行股票招股说明书（申报稿2014年6月23日报送）</v>
      </c>
      <c r="D88" t="s">
        <v>6842</v>
      </c>
      <c r="E88" t="s">
        <v>4743</v>
      </c>
      <c r="F88" t="s">
        <v>4729</v>
      </c>
    </row>
    <row r="89" spans="1:6" x14ac:dyDescent="0.15">
      <c r="A89" s="1">
        <v>41817</v>
      </c>
      <c r="B89" t="s">
        <v>2848</v>
      </c>
      <c r="C89" s="2" t="str">
        <f>HYPERLINK("http://snap.windin.com/ns/bulletin.php?id=63134564&amp;type=1", "成都深冷:创业板首次公开发行股票招股说明书（申报稿2014年6月11日报送）")</f>
        <v>成都深冷:创业板首次公开发行股票招股说明书（申报稿2014年6月11日报送）</v>
      </c>
      <c r="D89" t="s">
        <v>6843</v>
      </c>
      <c r="E89" t="s">
        <v>4744</v>
      </c>
      <c r="F89" t="s">
        <v>4723</v>
      </c>
    </row>
    <row r="90" spans="1:6" x14ac:dyDescent="0.15">
      <c r="A90" s="1">
        <v>41817</v>
      </c>
      <c r="B90" t="s">
        <v>2849</v>
      </c>
      <c r="C90" s="2" t="str">
        <f>HYPERLINK("http://snap.windin.com/ns/bulletin.php?id=63135150&amp;type=1", "丝路视觉:创业板首次公开发行股票招股说明书（申报稿2014年6月19日报送）")</f>
        <v>丝路视觉:创业板首次公开发行股票招股说明书（申报稿2014年6月19日报送）</v>
      </c>
      <c r="D90" t="s">
        <v>6844</v>
      </c>
      <c r="E90" t="s">
        <v>4745</v>
      </c>
      <c r="F90" t="s">
        <v>4742</v>
      </c>
    </row>
    <row r="91" spans="1:6" x14ac:dyDescent="0.15">
      <c r="A91" s="1">
        <v>41817</v>
      </c>
      <c r="B91" t="s">
        <v>2850</v>
      </c>
      <c r="C91" s="2" t="str">
        <f>HYPERLINK("http://snap.windin.com/ns/bulletin.php?id=63135122&amp;type=1", "雄帝科技:创业板首次公开发行股票招股说明书（申报稿2014年6月17日报送）")</f>
        <v>雄帝科技:创业板首次公开发行股票招股说明书（申报稿2014年6月17日报送）</v>
      </c>
      <c r="D91" t="s">
        <v>6845</v>
      </c>
      <c r="E91" t="s">
        <v>4746</v>
      </c>
      <c r="F91" t="s">
        <v>4747</v>
      </c>
    </row>
    <row r="92" spans="1:6" x14ac:dyDescent="0.15">
      <c r="A92" s="1">
        <v>41817</v>
      </c>
      <c r="B92" t="s">
        <v>2851</v>
      </c>
      <c r="C92" s="2" t="str">
        <f>HYPERLINK("http://snap.windin.com/ns/bulletin.php?id=63135114&amp;type=1", "同益股份:创业板首次公开发行股票招股说明书（申报稿2014年06月23日报送）")</f>
        <v>同益股份:创业板首次公开发行股票招股说明书（申报稿2014年06月23日报送）</v>
      </c>
      <c r="D92" t="s">
        <v>6846</v>
      </c>
      <c r="E92" t="s">
        <v>4748</v>
      </c>
      <c r="F92" t="s">
        <v>4749</v>
      </c>
    </row>
    <row r="93" spans="1:6" x14ac:dyDescent="0.15">
      <c r="A93" s="1">
        <v>41817</v>
      </c>
      <c r="B93" t="s">
        <v>2852</v>
      </c>
      <c r="C93" s="2" t="str">
        <f>HYPERLINK("http://snap.windin.com/ns/bulletin.php?id=63135100&amp;type=1", "玛丝菲尔:首次公开发行股票招股说明书（申报稿2014年6月19日报送）")</f>
        <v>玛丝菲尔:首次公开发行股票招股说明书（申报稿2014年6月19日报送）</v>
      </c>
      <c r="D93" t="s">
        <v>6847</v>
      </c>
      <c r="E93" t="s">
        <v>4750</v>
      </c>
      <c r="F93" t="s">
        <v>4751</v>
      </c>
    </row>
    <row r="94" spans="1:6" x14ac:dyDescent="0.15">
      <c r="A94" s="1">
        <v>41817</v>
      </c>
      <c r="B94" t="s">
        <v>2853</v>
      </c>
      <c r="C94" s="2" t="str">
        <f>HYPERLINK("http://snap.windin.com/ns/bulletin.php?id=63135192&amp;type=1", "信测标准:创业板首次公开发行股票招股说明书（申报稿2014年6月18日报送）")</f>
        <v>信测标准:创业板首次公开发行股票招股说明书（申报稿2014年6月18日报送）</v>
      </c>
      <c r="D94" t="s">
        <v>6848</v>
      </c>
      <c r="E94" t="s">
        <v>4752</v>
      </c>
      <c r="F94" t="s">
        <v>4753</v>
      </c>
    </row>
    <row r="95" spans="1:6" x14ac:dyDescent="0.15">
      <c r="A95" s="1">
        <v>41817</v>
      </c>
      <c r="B95" t="s">
        <v>2854</v>
      </c>
      <c r="C95" s="2" t="str">
        <f>HYPERLINK("http://snap.windin.com/ns/bulletin.php?id=63135274&amp;type=1", "生迪光电:首次公开发行股票招股说明书（申报稿2014年6月20日报送）")</f>
        <v>生迪光电:首次公开发行股票招股说明书（申报稿2014年6月20日报送）</v>
      </c>
      <c r="D95" t="s">
        <v>6849</v>
      </c>
      <c r="E95" t="s">
        <v>4754</v>
      </c>
      <c r="F95" t="s">
        <v>4713</v>
      </c>
    </row>
    <row r="96" spans="1:6" x14ac:dyDescent="0.15">
      <c r="A96" s="1">
        <v>41817</v>
      </c>
      <c r="B96" t="s">
        <v>2855</v>
      </c>
      <c r="C96" s="2" t="str">
        <f>HYPERLINK("http://snap.windin.com/ns/bulletin.php?id=63135340&amp;type=1", "百利天恒:创业板首次公开发行股票招股说明书（申报稿2014年6月27日报送）")</f>
        <v>百利天恒:创业板首次公开发行股票招股说明书（申报稿2014年6月27日报送）</v>
      </c>
      <c r="D96" t="s">
        <v>6850</v>
      </c>
      <c r="E96" t="s">
        <v>4755</v>
      </c>
      <c r="F96" t="s">
        <v>4756</v>
      </c>
    </row>
    <row r="97" spans="1:6" x14ac:dyDescent="0.15">
      <c r="A97" s="1">
        <v>41817</v>
      </c>
      <c r="B97" t="s">
        <v>2856</v>
      </c>
      <c r="C97" s="2" t="str">
        <f>HYPERLINK("http://snap.windin.com/ns/bulletin.php?id=63134776&amp;type=1", "汉光科技:创业板首次公开发行股票招股说明书（申报稿2014年6月19日报送）")</f>
        <v>汉光科技:创业板首次公开发行股票招股说明书（申报稿2014年6月19日报送）</v>
      </c>
      <c r="D97" t="s">
        <v>6851</v>
      </c>
      <c r="E97" t="s">
        <v>4757</v>
      </c>
      <c r="F97" t="s">
        <v>4742</v>
      </c>
    </row>
    <row r="98" spans="1:6" x14ac:dyDescent="0.15">
      <c r="A98" s="1">
        <v>41817</v>
      </c>
      <c r="B98" t="s">
        <v>2857</v>
      </c>
      <c r="C98" s="2" t="str">
        <f>HYPERLINK("http://snap.windin.com/ns/bulletin.php?id=63134708&amp;type=1", "海南钧达:首次公开发行股票招股说明书（申报稿2014年6月19日报送）")</f>
        <v>海南钧达:首次公开发行股票招股说明书（申报稿2014年6月19日报送）</v>
      </c>
      <c r="D98" t="s">
        <v>6852</v>
      </c>
      <c r="E98" t="s">
        <v>4758</v>
      </c>
      <c r="F98" t="s">
        <v>4751</v>
      </c>
    </row>
    <row r="99" spans="1:6" x14ac:dyDescent="0.15">
      <c r="A99" s="1">
        <v>41817</v>
      </c>
      <c r="B99" t="s">
        <v>2858</v>
      </c>
      <c r="C99" s="2" t="str">
        <f>HYPERLINK("http://snap.windin.com/ns/bulletin.php?id=63134696&amp;type=1", "新宏泽:首次公开发行股票招股说明书（申报稿2014年6月23日报送）")</f>
        <v>新宏泽:首次公开发行股票招股说明书（申报稿2014年6月23日报送）</v>
      </c>
      <c r="D99" t="s">
        <v>6853</v>
      </c>
      <c r="E99" t="s">
        <v>4759</v>
      </c>
      <c r="F99" t="s">
        <v>4729</v>
      </c>
    </row>
    <row r="100" spans="1:6" x14ac:dyDescent="0.15">
      <c r="A100" s="1">
        <v>41817</v>
      </c>
      <c r="B100" t="s">
        <v>2859</v>
      </c>
      <c r="C100" s="2" t="str">
        <f>HYPERLINK("http://snap.windin.com/ns/bulletin.php?id=63134518&amp;type=1", "快克锡焊:首次公开发行股票招股说明书（申报稿2014年6月13日报送）")</f>
        <v>快克锡焊:首次公开发行股票招股说明书（申报稿2014年6月13日报送）</v>
      </c>
      <c r="D100" t="s">
        <v>6854</v>
      </c>
      <c r="E100" t="s">
        <v>4760</v>
      </c>
      <c r="F100" t="s">
        <v>4727</v>
      </c>
    </row>
    <row r="101" spans="1:6" x14ac:dyDescent="0.15">
      <c r="A101" s="1">
        <v>41817</v>
      </c>
      <c r="B101" t="s">
        <v>2860</v>
      </c>
      <c r="C101" s="2" t="str">
        <f>HYPERLINK("http://snap.windin.com/ns/bulletin.php?id=63135466&amp;type=1", "新华网:首次公开发行股票招股说明书（申报稿2014年6月27日报送）")</f>
        <v>新华网:首次公开发行股票招股说明书（申报稿2014年6月27日报送）</v>
      </c>
      <c r="D101" t="s">
        <v>6855</v>
      </c>
      <c r="E101" t="s">
        <v>4761</v>
      </c>
      <c r="F101" t="s">
        <v>4762</v>
      </c>
    </row>
    <row r="102" spans="1:6" x14ac:dyDescent="0.15">
      <c r="A102" s="1">
        <v>41817</v>
      </c>
      <c r="B102" t="s">
        <v>2861</v>
      </c>
      <c r="C102" s="2" t="str">
        <f>HYPERLINK("http://snap.windin.com/ns/bulletin.php?id=63134422&amp;type=1", "博迈科:首次公开发行股票招股说明书（申报稿2014年6月13日报送）")</f>
        <v>博迈科:首次公开发行股票招股说明书（申报稿2014年6月13日报送）</v>
      </c>
      <c r="D102" t="s">
        <v>6856</v>
      </c>
      <c r="E102" t="s">
        <v>4763</v>
      </c>
      <c r="F102" t="s">
        <v>4727</v>
      </c>
    </row>
    <row r="103" spans="1:6" x14ac:dyDescent="0.15">
      <c r="A103" s="1">
        <v>41817</v>
      </c>
      <c r="B103" t="s">
        <v>2862</v>
      </c>
      <c r="C103" s="2" t="str">
        <f>HYPERLINK("http://snap.windin.com/ns/bulletin.php?id=63134162&amp;type=1", "贝达药业:创业板首次公开发行股票招股说明书（申报稿2014年6月23日报送）")</f>
        <v>贝达药业:创业板首次公开发行股票招股说明书（申报稿2014年6月23日报送）</v>
      </c>
      <c r="D103" t="s">
        <v>6857</v>
      </c>
      <c r="E103" t="s">
        <v>4764</v>
      </c>
      <c r="F103" t="s">
        <v>4717</v>
      </c>
    </row>
    <row r="104" spans="1:6" x14ac:dyDescent="0.15">
      <c r="A104" s="1">
        <v>41817</v>
      </c>
      <c r="B104" t="s">
        <v>2863</v>
      </c>
      <c r="C104" s="2" t="str">
        <f>HYPERLINK("http://snap.windin.com/ns/bulletin.php?id=63135384&amp;type=1", "天孚股份:创业板首次公开发行股票招股说明书（申报稿2014年6月27日报送）")</f>
        <v>天孚股份:创业板首次公开发行股票招股说明书（申报稿2014年6月27日报送）</v>
      </c>
      <c r="D104" t="s">
        <v>6858</v>
      </c>
      <c r="E104" t="s">
        <v>4765</v>
      </c>
      <c r="F104" t="s">
        <v>4756</v>
      </c>
    </row>
    <row r="105" spans="1:6" x14ac:dyDescent="0.15">
      <c r="A105" s="1">
        <v>41817</v>
      </c>
      <c r="B105" t="s">
        <v>2864</v>
      </c>
      <c r="C105" s="2" t="str">
        <f>HYPERLINK("http://snap.windin.com/ns/bulletin.php?id=63134078&amp;type=1", "先进数通:创业板首次公开发行股票招股说明书（申报稿2014年6月23日报送）")</f>
        <v>先进数通:创业板首次公开发行股票招股说明书（申报稿2014年6月23日报送）</v>
      </c>
      <c r="D105" t="s">
        <v>6859</v>
      </c>
      <c r="E105" t="s">
        <v>4766</v>
      </c>
      <c r="F105" t="s">
        <v>4717</v>
      </c>
    </row>
    <row r="106" spans="1:6" x14ac:dyDescent="0.15">
      <c r="A106" s="1">
        <v>41817</v>
      </c>
      <c r="B106" t="s">
        <v>2865</v>
      </c>
      <c r="C106" s="2" t="str">
        <f>HYPERLINK("http://snap.windin.com/ns/bulletin.php?id=63135346&amp;type=1", "台沃农科:首次公开发行股票招股说明书（申报稿2014年6月16日报送）")</f>
        <v>台沃农科:首次公开发行股票招股说明书（申报稿2014年6月16日报送）</v>
      </c>
      <c r="D106" t="s">
        <v>6860</v>
      </c>
      <c r="E106" t="s">
        <v>4767</v>
      </c>
      <c r="F106" t="s">
        <v>4715</v>
      </c>
    </row>
    <row r="107" spans="1:6" x14ac:dyDescent="0.15">
      <c r="A107" s="1">
        <v>41817</v>
      </c>
      <c r="B107" t="s">
        <v>2866</v>
      </c>
      <c r="C107" s="2" t="str">
        <f>HYPERLINK("http://snap.windin.com/ns/bulletin.php?id=63133874&amp;type=1", "巅峰智业:创业板首次公开发行股票招股说明书（申报稿2014年6月20日报送）")</f>
        <v>巅峰智业:创业板首次公开发行股票招股说明书（申报稿2014年6月20日报送）</v>
      </c>
      <c r="D107" t="s">
        <v>6861</v>
      </c>
      <c r="E107" t="s">
        <v>4768</v>
      </c>
      <c r="F107" t="s">
        <v>4769</v>
      </c>
    </row>
    <row r="108" spans="1:6" x14ac:dyDescent="0.15">
      <c r="A108" s="1">
        <v>41817</v>
      </c>
      <c r="B108" t="s">
        <v>2867</v>
      </c>
      <c r="C108" s="2" t="str">
        <f>HYPERLINK("http://snap.windin.com/ns/bulletin.php?id=63134946&amp;type=1", "天能重工:创业板首次公开发行股票招股说明书（申报稿2014年6月9日报送）")</f>
        <v>天能重工:创业板首次公开发行股票招股说明书（申报稿2014年6月9日报送）</v>
      </c>
      <c r="D108" t="s">
        <v>6862</v>
      </c>
      <c r="E108" t="s">
        <v>4770</v>
      </c>
      <c r="F108" t="s">
        <v>4734</v>
      </c>
    </row>
    <row r="109" spans="1:6" x14ac:dyDescent="0.15">
      <c r="A109" s="1">
        <v>41817</v>
      </c>
      <c r="B109" t="s">
        <v>2868</v>
      </c>
      <c r="C109" s="2" t="str">
        <f>HYPERLINK("http://snap.windin.com/ns/bulletin.php?id=63134888&amp;type=1", "金石资源:首次公开发行股票招股说明书（申报稿2014年6月20日报送）")</f>
        <v>金石资源:首次公开发行股票招股说明书（申报稿2014年6月20日报送）</v>
      </c>
      <c r="D109" t="s">
        <v>6863</v>
      </c>
      <c r="E109" t="s">
        <v>4771</v>
      </c>
      <c r="F109" t="s">
        <v>4713</v>
      </c>
    </row>
    <row r="110" spans="1:6" x14ac:dyDescent="0.15">
      <c r="A110" s="1">
        <v>41817</v>
      </c>
      <c r="B110" t="s">
        <v>2869</v>
      </c>
      <c r="C110" s="2" t="str">
        <f>HYPERLINK("http://snap.windin.com/ns/bulletin.php?id=63134828&amp;type=1", "久吾科技:创业板首次公开发行股票招股说明书（申报稿2014年6月19日报送）")</f>
        <v>久吾科技:创业板首次公开发行股票招股说明书（申报稿2014年6月19日报送）</v>
      </c>
      <c r="D110" t="s">
        <v>6864</v>
      </c>
      <c r="E110" t="s">
        <v>4772</v>
      </c>
      <c r="F110" t="s">
        <v>4742</v>
      </c>
    </row>
    <row r="111" spans="1:6" x14ac:dyDescent="0.15">
      <c r="A111" s="1">
        <v>41817</v>
      </c>
      <c r="B111" t="s">
        <v>2870</v>
      </c>
      <c r="C111" s="2" t="str">
        <f>HYPERLINK("http://snap.windin.com/ns/bulletin.php?id=63134782&amp;type=1", "三德科技:创业板首次公开发行股票招股说明书（申报稿2014年6月17日报送）")</f>
        <v>三德科技:创业板首次公开发行股票招股说明书（申报稿2014年6月17日报送）</v>
      </c>
      <c r="D111" t="s">
        <v>6865</v>
      </c>
      <c r="E111" t="s">
        <v>4773</v>
      </c>
      <c r="F111" t="s">
        <v>4747</v>
      </c>
    </row>
    <row r="112" spans="1:6" x14ac:dyDescent="0.15">
      <c r="A112" s="1">
        <v>41817</v>
      </c>
      <c r="B112" t="s">
        <v>2871</v>
      </c>
      <c r="C112" s="2" t="str">
        <f>HYPERLINK("http://snap.windin.com/ns/bulletin.php?id=63134590&amp;type=1", "海峡科化:首次公开发行股票招股说明书（申报稿2014年6月20日报送）")</f>
        <v>海峡科化:首次公开发行股票招股说明书（申报稿2014年6月20日报送）</v>
      </c>
      <c r="D112" t="s">
        <v>6866</v>
      </c>
      <c r="E112" t="s">
        <v>4774</v>
      </c>
      <c r="F112" t="s">
        <v>4713</v>
      </c>
    </row>
    <row r="113" spans="1:6" x14ac:dyDescent="0.15">
      <c r="A113" s="1">
        <v>41817</v>
      </c>
      <c r="B113" t="s">
        <v>2872</v>
      </c>
      <c r="C113" s="2" t="str">
        <f>HYPERLINK("http://snap.windin.com/ns/bulletin.php?id=63134784&amp;type=1", "集智机电:创业板首次公开发行股票招股说明书（申报稿2014年6月6日报送）")</f>
        <v>集智机电:创业板首次公开发行股票招股说明书（申报稿2014年6月6日报送）</v>
      </c>
      <c r="D113" t="s">
        <v>6867</v>
      </c>
      <c r="E113" t="s">
        <v>4775</v>
      </c>
      <c r="F113" t="s">
        <v>4776</v>
      </c>
    </row>
    <row r="114" spans="1:6" x14ac:dyDescent="0.15">
      <c r="A114" s="1">
        <v>41817</v>
      </c>
      <c r="B114" t="s">
        <v>2873</v>
      </c>
      <c r="C114" s="2" t="str">
        <f>HYPERLINK("http://snap.windin.com/ns/bulletin.php?id=63045578&amp;type=1", "筑博设计:创业板首次公开发行股票招股说明书(申报稿2014年6月13日报送)")</f>
        <v>筑博设计:创业板首次公开发行股票招股说明书(申报稿2014年6月13日报送)</v>
      </c>
      <c r="D114" t="s">
        <v>6868</v>
      </c>
      <c r="E114" t="s">
        <v>4777</v>
      </c>
      <c r="F114" t="s">
        <v>4706</v>
      </c>
    </row>
    <row r="115" spans="1:6" x14ac:dyDescent="0.15">
      <c r="A115" s="1">
        <v>41816</v>
      </c>
      <c r="B115" t="s">
        <v>2874</v>
      </c>
      <c r="C115" s="2" t="str">
        <f>HYPERLINK("http://snap.windin.com/ns/bulletin.php?id=62639226&amp;type=1", "可立克:首次公开发行股票招股说明书(申报稿2014年6月23日报送)")</f>
        <v>可立克:首次公开发行股票招股说明书(申报稿2014年6月23日报送)</v>
      </c>
      <c r="D115" t="s">
        <v>6869</v>
      </c>
      <c r="E115" t="s">
        <v>4778</v>
      </c>
      <c r="F115" t="s">
        <v>4664</v>
      </c>
    </row>
    <row r="116" spans="1:6" x14ac:dyDescent="0.15">
      <c r="A116" s="1">
        <v>41816</v>
      </c>
      <c r="B116" t="s">
        <v>2875</v>
      </c>
      <c r="C116" s="2" t="str">
        <f>HYPERLINK("http://snap.windin.com/ns/bulletin.php?id=62639150&amp;type=1", "宏电技术:创业板首次公开发行股票招股说明书(申报稿2014年6月25日报送)")</f>
        <v>宏电技术:创业板首次公开发行股票招股说明书(申报稿2014年6月25日报送)</v>
      </c>
      <c r="D116" t="s">
        <v>6870</v>
      </c>
      <c r="E116" t="s">
        <v>4779</v>
      </c>
      <c r="F116" t="s">
        <v>4698</v>
      </c>
    </row>
    <row r="117" spans="1:6" x14ac:dyDescent="0.15">
      <c r="A117" s="1">
        <v>41816</v>
      </c>
      <c r="B117" t="s">
        <v>2876</v>
      </c>
      <c r="C117" s="2" t="str">
        <f>HYPERLINK("http://snap.windin.com/ns/bulletin.php?id=62639108&amp;type=1", "中航时尚:首次公开发行股票招股说明书(申报稿2014年6月25日报送)")</f>
        <v>中航时尚:首次公开发行股票招股说明书(申报稿2014年6月25日报送)</v>
      </c>
      <c r="D117" t="s">
        <v>6871</v>
      </c>
      <c r="E117" t="s">
        <v>4780</v>
      </c>
      <c r="F117" t="s">
        <v>4781</v>
      </c>
    </row>
    <row r="118" spans="1:6" x14ac:dyDescent="0.15">
      <c r="A118" s="1">
        <v>41816</v>
      </c>
      <c r="B118" t="s">
        <v>2877</v>
      </c>
      <c r="C118" s="2" t="str">
        <f>HYPERLINK("http://snap.windin.com/ns/bulletin.php?id=62639030&amp;type=1", "万隆制药:创业板首次公开发行股票招股说明书(申报稿2014年6月26日报送)")</f>
        <v>万隆制药:创业板首次公开发行股票招股说明书(申报稿2014年6月26日报送)</v>
      </c>
      <c r="D118" t="s">
        <v>6872</v>
      </c>
      <c r="E118" t="s">
        <v>4782</v>
      </c>
      <c r="F118" t="s">
        <v>4783</v>
      </c>
    </row>
    <row r="119" spans="1:6" x14ac:dyDescent="0.15">
      <c r="A119" s="1">
        <v>41816</v>
      </c>
      <c r="B119" t="s">
        <v>2878</v>
      </c>
      <c r="C119" s="2" t="str">
        <f>HYPERLINK("http://snap.windin.com/ns/bulletin.php?id=62638930&amp;type=1", "红相电力:创业板首次公开发行股票招股说明书(申报稿2014年6月26日)")</f>
        <v>红相电力:创业板首次公开发行股票招股说明书(申报稿2014年6月26日)</v>
      </c>
      <c r="D119" t="s">
        <v>6873</v>
      </c>
      <c r="E119" t="s">
        <v>4784</v>
      </c>
      <c r="F119" t="s">
        <v>4785</v>
      </c>
    </row>
    <row r="120" spans="1:6" x14ac:dyDescent="0.15">
      <c r="A120" s="1">
        <v>41816</v>
      </c>
      <c r="B120" t="s">
        <v>2879</v>
      </c>
      <c r="C120" s="2" t="str">
        <f>HYPERLINK("http://snap.windin.com/ns/bulletin.php?id=62638966&amp;type=1", "世龙实业:首次公开发行股票招股说明书(申报稿2014年6月25日报送)")</f>
        <v>世龙实业:首次公开发行股票招股说明书(申报稿2014年6月25日报送)</v>
      </c>
      <c r="D120" t="s">
        <v>6874</v>
      </c>
      <c r="E120" t="s">
        <v>4786</v>
      </c>
      <c r="F120" t="s">
        <v>4781</v>
      </c>
    </row>
    <row r="121" spans="1:6" x14ac:dyDescent="0.15">
      <c r="A121" s="1">
        <v>41816</v>
      </c>
      <c r="B121" t="s">
        <v>2880</v>
      </c>
      <c r="C121" s="2" t="str">
        <f>HYPERLINK("http://snap.windin.com/ns/bulletin.php?id=62884762&amp;type=1", "星网宇达:首次公开发行股票招股说明书(申报稿2014年5月22日报送)")</f>
        <v>星网宇达:首次公开发行股票招股说明书(申报稿2014年5月22日报送)</v>
      </c>
      <c r="D121" t="s">
        <v>6875</v>
      </c>
      <c r="E121" t="s">
        <v>4787</v>
      </c>
      <c r="F121" t="s">
        <v>4788</v>
      </c>
    </row>
    <row r="122" spans="1:6" x14ac:dyDescent="0.15">
      <c r="A122" s="1">
        <v>41816</v>
      </c>
      <c r="B122" t="s">
        <v>2881</v>
      </c>
      <c r="C122" s="2" t="str">
        <f>HYPERLINK("http://snap.windin.com/ns/bulletin.php?id=62639080&amp;type=1", "润欣科技:创业板首次公开发行股票招股说明书(申报稿2014年6月23日报送)")</f>
        <v>润欣科技:创业板首次公开发行股票招股说明书(申报稿2014年6月23日报送)</v>
      </c>
      <c r="D122" t="s">
        <v>6876</v>
      </c>
      <c r="E122" t="s">
        <v>4789</v>
      </c>
      <c r="F122" t="s">
        <v>4703</v>
      </c>
    </row>
    <row r="123" spans="1:6" x14ac:dyDescent="0.15">
      <c r="A123" s="1">
        <v>41816</v>
      </c>
      <c r="B123" t="s">
        <v>2882</v>
      </c>
      <c r="C123" s="2" t="str">
        <f>HYPERLINK("http://snap.windin.com/ns/bulletin.php?id=62639098&amp;type=1", "科龙节能:创业板首次公开发行股票招股说明书(申报稿2014年6月26日报送)")</f>
        <v>科龙节能:创业板首次公开发行股票招股说明书(申报稿2014年6月26日报送)</v>
      </c>
      <c r="D123" t="s">
        <v>6877</v>
      </c>
      <c r="E123" t="s">
        <v>4790</v>
      </c>
      <c r="F123" t="s">
        <v>4783</v>
      </c>
    </row>
    <row r="124" spans="1:6" x14ac:dyDescent="0.15">
      <c r="A124" s="1">
        <v>41816</v>
      </c>
      <c r="B124" t="s">
        <v>2883</v>
      </c>
      <c r="C124" s="2" t="str">
        <f>HYPERLINK("http://snap.windin.com/ns/bulletin.php?id=62639304&amp;type=1", "清源股份:首次公开发行股票招股说明书(申报稿2014年6月25日报送)")</f>
        <v>清源股份:首次公开发行股票招股说明书(申报稿2014年6月25日报送)</v>
      </c>
      <c r="D124" t="s">
        <v>6878</v>
      </c>
      <c r="E124" t="s">
        <v>4791</v>
      </c>
      <c r="F124" t="s">
        <v>4781</v>
      </c>
    </row>
    <row r="125" spans="1:6" x14ac:dyDescent="0.15">
      <c r="A125" s="1">
        <v>41815</v>
      </c>
      <c r="B125" t="s">
        <v>2884</v>
      </c>
      <c r="C125" s="2" t="str">
        <f>HYPERLINK("http://snap.windin.com/ns/bulletin.php?id=62329428&amp;type=1", "恒通物流:首次公开发行股票招股说明书(申报稿2014年6月20日报送)")</f>
        <v>恒通物流:首次公开发行股票招股说明书(申报稿2014年6月20日报送)</v>
      </c>
      <c r="D125" t="s">
        <v>6879</v>
      </c>
      <c r="E125" t="s">
        <v>4792</v>
      </c>
      <c r="F125" t="s">
        <v>4674</v>
      </c>
    </row>
    <row r="126" spans="1:6" x14ac:dyDescent="0.15">
      <c r="A126" s="1">
        <v>41815</v>
      </c>
      <c r="B126" t="s">
        <v>2885</v>
      </c>
      <c r="C126" s="2" t="str">
        <f>HYPERLINK("http://snap.windin.com/ns/bulletin.php?id=62329460&amp;type=1", "金叶股份:首次公开发行股票招股说明书(申报稿2014年6月19日报送)")</f>
        <v>金叶股份:首次公开发行股票招股说明书(申报稿2014年6月19日报送)</v>
      </c>
      <c r="D126" t="s">
        <v>6880</v>
      </c>
      <c r="E126" t="s">
        <v>4793</v>
      </c>
      <c r="F126" t="s">
        <v>4710</v>
      </c>
    </row>
    <row r="127" spans="1:6" x14ac:dyDescent="0.15">
      <c r="A127" s="1">
        <v>41815</v>
      </c>
      <c r="B127" t="s">
        <v>2886</v>
      </c>
      <c r="C127" s="2" t="str">
        <f>HYPERLINK("http://snap.windin.com/ns/bulletin.php?id=62329432&amp;type=1", "一滕股份:创业板首次公开发行股票招股说明书(申报稿2014年6月16日报送)")</f>
        <v>一滕股份:创业板首次公开发行股票招股说明书(申报稿2014年6月16日报送)</v>
      </c>
      <c r="D127" t="s">
        <v>6881</v>
      </c>
      <c r="E127" t="s">
        <v>4794</v>
      </c>
      <c r="F127" t="s">
        <v>4795</v>
      </c>
    </row>
    <row r="128" spans="1:6" x14ac:dyDescent="0.15">
      <c r="A128" s="1">
        <v>41815</v>
      </c>
      <c r="B128" t="s">
        <v>2887</v>
      </c>
      <c r="C128" s="2" t="str">
        <f>HYPERLINK("http://snap.windin.com/ns/bulletin.php?id=62329490&amp;type=1", "丹江电力:首次公开发行股票招股说明书(申报稿2014年6月25日报送)")</f>
        <v>丹江电力:首次公开发行股票招股说明书(申报稿2014年6月25日报送)</v>
      </c>
      <c r="D128" t="s">
        <v>6882</v>
      </c>
      <c r="E128" t="s">
        <v>4796</v>
      </c>
      <c r="F128" t="s">
        <v>4781</v>
      </c>
    </row>
    <row r="129" spans="1:6" x14ac:dyDescent="0.15">
      <c r="A129" s="1">
        <v>41815</v>
      </c>
      <c r="B129" t="s">
        <v>2888</v>
      </c>
      <c r="C129" s="2" t="str">
        <f>HYPERLINK("http://snap.windin.com/ns/bulletin.php?id=62329458&amp;type=1", "先导股份:创业板首次公开发行股票招股说明书(申报稿2014年6月23日报送)")</f>
        <v>先导股份:创业板首次公开发行股票招股说明书(申报稿2014年6月23日报送)</v>
      </c>
      <c r="D129" t="s">
        <v>6883</v>
      </c>
      <c r="E129" t="s">
        <v>4797</v>
      </c>
      <c r="F129" t="s">
        <v>4703</v>
      </c>
    </row>
    <row r="130" spans="1:6" x14ac:dyDescent="0.15">
      <c r="A130" s="1">
        <v>41815</v>
      </c>
      <c r="B130" t="s">
        <v>2889</v>
      </c>
      <c r="C130" s="2" t="str">
        <f>HYPERLINK("http://snap.windin.com/ns/bulletin.php?id=62329430&amp;type=1", "新宏泰:首次公开发行股票招股说明书(申报稿2014年6月25日报送)")</f>
        <v>新宏泰:首次公开发行股票招股说明书(申报稿2014年6月25日报送)</v>
      </c>
      <c r="D130" t="s">
        <v>6884</v>
      </c>
      <c r="E130" t="s">
        <v>4798</v>
      </c>
      <c r="F130" t="s">
        <v>4781</v>
      </c>
    </row>
    <row r="131" spans="1:6" x14ac:dyDescent="0.15">
      <c r="A131" s="1">
        <v>41815</v>
      </c>
      <c r="B131" t="s">
        <v>2890</v>
      </c>
      <c r="C131" s="2" t="str">
        <f>HYPERLINK("http://snap.windin.com/ns/bulletin.php?id=62329518&amp;type=1", "乐凯新材:创业板首次公开发行股票招股说明书(申报稿2014年6月24日报送)")</f>
        <v>乐凯新材:创业板首次公开发行股票招股说明书(申报稿2014年6月24日报送)</v>
      </c>
      <c r="D131" t="s">
        <v>6885</v>
      </c>
      <c r="E131" t="s">
        <v>4799</v>
      </c>
      <c r="F131" t="s">
        <v>4668</v>
      </c>
    </row>
    <row r="132" spans="1:6" x14ac:dyDescent="0.15">
      <c r="A132" s="1">
        <v>41815</v>
      </c>
      <c r="B132" t="s">
        <v>2891</v>
      </c>
      <c r="C132" s="2" t="str">
        <f>HYPERLINK("http://snap.windin.com/ns/bulletin.php?id=62329438&amp;type=1", "瑞友科技:创业板首次公开发行股票招股说明书(申报稿2014年6月17日报送)")</f>
        <v>瑞友科技:创业板首次公开发行股票招股说明书(申报稿2014年6月17日报送)</v>
      </c>
      <c r="D132" t="s">
        <v>6886</v>
      </c>
      <c r="E132" t="s">
        <v>4800</v>
      </c>
      <c r="F132" t="s">
        <v>4801</v>
      </c>
    </row>
    <row r="133" spans="1:6" x14ac:dyDescent="0.15">
      <c r="A133" s="1">
        <v>41815</v>
      </c>
      <c r="B133" t="s">
        <v>2892</v>
      </c>
      <c r="C133" s="2" t="str">
        <f>HYPERLINK("http://snap.windin.com/ns/bulletin.php?id=62329510&amp;type=1", "新易盛:创业板首次公开发行股票招股说明书(申报稿2014年06月17日报送)")</f>
        <v>新易盛:创业板首次公开发行股票招股说明书(申报稿2014年06月17日报送)</v>
      </c>
      <c r="D133" t="s">
        <v>6887</v>
      </c>
      <c r="E133" t="s">
        <v>4802</v>
      </c>
      <c r="F133" t="s">
        <v>4803</v>
      </c>
    </row>
    <row r="134" spans="1:6" x14ac:dyDescent="0.15">
      <c r="A134" s="1">
        <v>41815</v>
      </c>
      <c r="B134" t="s">
        <v>2893</v>
      </c>
      <c r="C134" s="2" t="str">
        <f>HYPERLINK("http://snap.windin.com/ns/bulletin.php?id=62329528&amp;type=1", "海尔施:首次公开发行股票招股说明书(申报稿2014年6月23日报送)")</f>
        <v>海尔施:首次公开发行股票招股说明书(申报稿2014年6月23日报送)</v>
      </c>
      <c r="D134" t="s">
        <v>6888</v>
      </c>
      <c r="E134" t="s">
        <v>4804</v>
      </c>
      <c r="F134" t="s">
        <v>4664</v>
      </c>
    </row>
    <row r="135" spans="1:6" x14ac:dyDescent="0.15">
      <c r="A135" s="1">
        <v>41815</v>
      </c>
      <c r="B135" t="s">
        <v>2894</v>
      </c>
      <c r="C135" s="2" t="str">
        <f>HYPERLINK("http://snap.windin.com/ns/bulletin.php?id=62329440&amp;type=1", "邦宝股份:首次公开发行股票招股说明书(申报稿2014年6月24日报送)")</f>
        <v>邦宝股份:首次公开发行股票招股说明书(申报稿2014年6月24日报送)</v>
      </c>
      <c r="D135" t="s">
        <v>6889</v>
      </c>
      <c r="E135" t="s">
        <v>4805</v>
      </c>
      <c r="F135" t="s">
        <v>4806</v>
      </c>
    </row>
    <row r="136" spans="1:6" x14ac:dyDescent="0.15">
      <c r="A136" s="1">
        <v>41814</v>
      </c>
      <c r="B136" t="s">
        <v>2895</v>
      </c>
      <c r="C136" s="2" t="str">
        <f>HYPERLINK("http://snap.windin.com/ns/bulletin.php?id=62060280&amp;type=1", "美康生物:创业板首次公开发行股票招股说明书(申报稿2014年6月24日报送)")</f>
        <v>美康生物:创业板首次公开发行股票招股说明书(申报稿2014年6月24日报送)</v>
      </c>
      <c r="D136" t="s">
        <v>6890</v>
      </c>
      <c r="E136" t="s">
        <v>4807</v>
      </c>
      <c r="F136" t="s">
        <v>4668</v>
      </c>
    </row>
    <row r="137" spans="1:6" x14ac:dyDescent="0.15">
      <c r="A137" s="1">
        <v>41814</v>
      </c>
      <c r="B137" t="s">
        <v>2896</v>
      </c>
      <c r="C137" s="2" t="str">
        <f>HYPERLINK("http://snap.windin.com/ns/bulletin.php?id=62060276&amp;type=1", "乾景园林:首次公开发行股票招股说明书(申报稿2014年6月24日报送)")</f>
        <v>乾景园林:首次公开发行股票招股说明书(申报稿2014年6月24日报送)</v>
      </c>
      <c r="D137" t="s">
        <v>6891</v>
      </c>
      <c r="E137" t="s">
        <v>4808</v>
      </c>
      <c r="F137" t="s">
        <v>4806</v>
      </c>
    </row>
    <row r="138" spans="1:6" x14ac:dyDescent="0.15">
      <c r="A138" s="1">
        <v>41814</v>
      </c>
      <c r="B138" t="s">
        <v>2897</v>
      </c>
      <c r="C138" s="2" t="str">
        <f>HYPERLINK("http://snap.windin.com/ns/bulletin.php?id=62060256&amp;type=1", "三棵树:首次公开发行股票招股说明书(申报稿2014年6月24日报送)")</f>
        <v>三棵树:首次公开发行股票招股说明书(申报稿2014年6月24日报送)</v>
      </c>
      <c r="D138" t="s">
        <v>6892</v>
      </c>
      <c r="E138" t="s">
        <v>4809</v>
      </c>
      <c r="F138" t="s">
        <v>4806</v>
      </c>
    </row>
    <row r="139" spans="1:6" x14ac:dyDescent="0.15">
      <c r="A139" s="1">
        <v>41814</v>
      </c>
      <c r="B139" t="s">
        <v>2898</v>
      </c>
      <c r="C139" s="2" t="str">
        <f>HYPERLINK("http://snap.windin.com/ns/bulletin.php?id=62060266&amp;type=1", "新乡日升:创业板首次公开发行股票招股说明书(申报稿2014年6月24日报送)")</f>
        <v>新乡日升:创业板首次公开发行股票招股说明书(申报稿2014年6月24日报送)</v>
      </c>
      <c r="D139" t="s">
        <v>6893</v>
      </c>
      <c r="E139" t="s">
        <v>4810</v>
      </c>
      <c r="F139" t="s">
        <v>4668</v>
      </c>
    </row>
    <row r="140" spans="1:6" x14ac:dyDescent="0.15">
      <c r="A140" s="1">
        <v>41814</v>
      </c>
      <c r="B140" t="s">
        <v>2899</v>
      </c>
      <c r="C140" s="2" t="str">
        <f>HYPERLINK("http://snap.windin.com/ns/bulletin.php?id=62060250&amp;type=1", "歌力思:首次公开发行股票招股说明书(申报稿2014年6月23日)")</f>
        <v>歌力思:首次公开发行股票招股说明书(申报稿2014年6月23日)</v>
      </c>
      <c r="D140" t="s">
        <v>6894</v>
      </c>
      <c r="E140" t="s">
        <v>4811</v>
      </c>
      <c r="F140" t="s">
        <v>4812</v>
      </c>
    </row>
    <row r="141" spans="1:6" x14ac:dyDescent="0.15">
      <c r="A141" s="1">
        <v>41813</v>
      </c>
      <c r="B141" t="s">
        <v>2900</v>
      </c>
      <c r="C141" s="2" t="str">
        <f>HYPERLINK("http://snap.windin.com/ns/bulletin.php?id=61923728&amp;type=1", "蓝黛传动:首次公开发行股票招股说明书(申报稿2014年6月23日报送)")</f>
        <v>蓝黛传动:首次公开发行股票招股说明书(申报稿2014年6月23日报送)</v>
      </c>
      <c r="D141" t="s">
        <v>6895</v>
      </c>
      <c r="E141" t="s">
        <v>4813</v>
      </c>
      <c r="F141" t="s">
        <v>4664</v>
      </c>
    </row>
    <row r="142" spans="1:6" x14ac:dyDescent="0.15">
      <c r="A142" s="1">
        <v>41813</v>
      </c>
      <c r="B142" t="s">
        <v>2901</v>
      </c>
      <c r="C142" s="2" t="str">
        <f>HYPERLINK("http://snap.windin.com/ns/bulletin.php?id=61924058&amp;type=1", "洁华控股:首次公开发行股票招股说明书(申报稿2014年6月10日报送)")</f>
        <v>洁华控股:首次公开发行股票招股说明书(申报稿2014年6月10日报送)</v>
      </c>
      <c r="D142" t="s">
        <v>6896</v>
      </c>
      <c r="E142" t="s">
        <v>4814</v>
      </c>
      <c r="F142" t="s">
        <v>4683</v>
      </c>
    </row>
    <row r="143" spans="1:6" x14ac:dyDescent="0.15">
      <c r="A143" s="1">
        <v>41813</v>
      </c>
      <c r="B143" t="s">
        <v>2902</v>
      </c>
      <c r="C143" s="2" t="str">
        <f>HYPERLINK("http://snap.windin.com/ns/bulletin.php?id=61923956&amp;type=1", "赫达股份:首次公开发行股票招股说明书(申报稿2014年6月20日报送)")</f>
        <v>赫达股份:首次公开发行股票招股说明书(申报稿2014年6月20日报送)</v>
      </c>
      <c r="D143" t="s">
        <v>6897</v>
      </c>
      <c r="E143" t="s">
        <v>4815</v>
      </c>
      <c r="F143" t="s">
        <v>4674</v>
      </c>
    </row>
    <row r="144" spans="1:6" x14ac:dyDescent="0.15">
      <c r="A144" s="1">
        <v>41813</v>
      </c>
      <c r="B144" t="s">
        <v>2903</v>
      </c>
      <c r="C144" s="2" t="str">
        <f>HYPERLINK("http://snap.windin.com/ns/bulletin.php?id=61924032&amp;type=1", "自立股份:首次公开发行股票招股说明书(申报稿2014年6月20日报送)")</f>
        <v>自立股份:首次公开发行股票招股说明书(申报稿2014年6月20日报送)</v>
      </c>
      <c r="D144" t="s">
        <v>6898</v>
      </c>
      <c r="E144" t="s">
        <v>4816</v>
      </c>
      <c r="F144" t="s">
        <v>4674</v>
      </c>
    </row>
    <row r="145" spans="1:6" x14ac:dyDescent="0.15">
      <c r="A145" s="1">
        <v>41813</v>
      </c>
      <c r="B145" t="s">
        <v>2904</v>
      </c>
      <c r="C145" s="2" t="str">
        <f>HYPERLINK("http://snap.windin.com/ns/bulletin.php?id=61923962&amp;type=1", "恒锋工具:创业板首次公开发行股票招股说明书(申报稿2014年6月23日报送)")</f>
        <v>恒锋工具:创业板首次公开发行股票招股说明书(申报稿2014年6月23日报送)</v>
      </c>
      <c r="D145" t="s">
        <v>6899</v>
      </c>
      <c r="E145" t="s">
        <v>4817</v>
      </c>
      <c r="F145" t="s">
        <v>4703</v>
      </c>
    </row>
    <row r="146" spans="1:6" x14ac:dyDescent="0.15">
      <c r="A146" s="1">
        <v>41813</v>
      </c>
      <c r="B146" t="s">
        <v>2905</v>
      </c>
      <c r="C146" s="2" t="str">
        <f>HYPERLINK("http://snap.windin.com/ns/bulletin.php?id=61924060&amp;type=1", "鑫广安:首次公开发行股票招股说明书(申报稿2014年6月20日报送)")</f>
        <v>鑫广安:首次公开发行股票招股说明书(申报稿2014年6月20日报送)</v>
      </c>
      <c r="D146" t="s">
        <v>6900</v>
      </c>
      <c r="E146" t="s">
        <v>4818</v>
      </c>
      <c r="F146" t="s">
        <v>4674</v>
      </c>
    </row>
    <row r="147" spans="1:6" x14ac:dyDescent="0.15">
      <c r="A147" s="1">
        <v>41813</v>
      </c>
      <c r="B147" t="s">
        <v>2906</v>
      </c>
      <c r="C147" s="2" t="str">
        <f>HYPERLINK("http://snap.windin.com/ns/bulletin.php?id=61923828&amp;type=1", "珠海越亚:首次公开发行股票招股说明书(申报稿2014年6月23日报送)")</f>
        <v>珠海越亚:首次公开发行股票招股说明书(申报稿2014年6月23日报送)</v>
      </c>
      <c r="D147" t="s">
        <v>6901</v>
      </c>
      <c r="E147" t="s">
        <v>4819</v>
      </c>
      <c r="F147" t="s">
        <v>4664</v>
      </c>
    </row>
    <row r="148" spans="1:6" x14ac:dyDescent="0.15">
      <c r="A148" s="1">
        <v>41813</v>
      </c>
      <c r="B148" t="s">
        <v>2907</v>
      </c>
      <c r="C148" s="2" t="str">
        <f>HYPERLINK("http://snap.windin.com/ns/bulletin.php?id=61923826&amp;type=1", "汇绿园林:首次公开发行股票招股说明书(申报稿2014年6月20日报送)")</f>
        <v>汇绿园林:首次公开发行股票招股说明书(申报稿2014年6月20日报送)</v>
      </c>
      <c r="D148" t="s">
        <v>6902</v>
      </c>
      <c r="E148" t="s">
        <v>4820</v>
      </c>
      <c r="F148" t="s">
        <v>4674</v>
      </c>
    </row>
    <row r="149" spans="1:6" x14ac:dyDescent="0.15">
      <c r="A149" s="1">
        <v>41813</v>
      </c>
      <c r="B149" t="s">
        <v>2908</v>
      </c>
      <c r="C149" s="2" t="str">
        <f>HYPERLINK("http://snap.windin.com/ns/bulletin.php?id=61923836&amp;type=1", "横河模具:创业板首次公开发行股票招股说明书(申报稿2014年6月23日报送)")</f>
        <v>横河模具:创业板首次公开发行股票招股说明书(申报稿2014年6月23日报送)</v>
      </c>
      <c r="D149" t="s">
        <v>6903</v>
      </c>
      <c r="E149" t="s">
        <v>4821</v>
      </c>
      <c r="F149" t="s">
        <v>4703</v>
      </c>
    </row>
    <row r="150" spans="1:6" x14ac:dyDescent="0.15">
      <c r="A150" s="1">
        <v>41813</v>
      </c>
      <c r="B150" t="s">
        <v>2909</v>
      </c>
      <c r="C150" s="2" t="str">
        <f>HYPERLINK("http://snap.windin.com/ns/bulletin.php?id=61923744&amp;type=1", "金石东方:创业板首次公开发行股票招股说明书(申报稿2014年6月23日报送)")</f>
        <v>金石东方:创业板首次公开发行股票招股说明书(申报稿2014年6月23日报送)</v>
      </c>
      <c r="D150" t="s">
        <v>6904</v>
      </c>
      <c r="E150" t="s">
        <v>4822</v>
      </c>
      <c r="F150" t="s">
        <v>4703</v>
      </c>
    </row>
    <row r="151" spans="1:6" x14ac:dyDescent="0.15">
      <c r="A151" s="1">
        <v>41813</v>
      </c>
      <c r="B151" t="s">
        <v>2910</v>
      </c>
      <c r="C151" s="2" t="str">
        <f>HYPERLINK("http://snap.windin.com/ns/bulletin.php?id=61923778&amp;type=1", "唐德影视:创业板首次公开发行股票招股说明书(申报稿2014年06月23日报送)")</f>
        <v>唐德影视:创业板首次公开发行股票招股说明书(申报稿2014年06月23日报送)</v>
      </c>
      <c r="D151" t="s">
        <v>6905</v>
      </c>
      <c r="E151" t="s">
        <v>4823</v>
      </c>
      <c r="F151" t="s">
        <v>4824</v>
      </c>
    </row>
    <row r="152" spans="1:6" x14ac:dyDescent="0.15">
      <c r="A152" s="1">
        <v>41813</v>
      </c>
      <c r="B152" t="s">
        <v>2911</v>
      </c>
      <c r="C152" s="2" t="str">
        <f>HYPERLINK("http://snap.windin.com/ns/bulletin.php?id=61923736&amp;type=1", "山东天力:创业板首次公开发行股票招股说明书(申报稿2014年6月23日报送)")</f>
        <v>山东天力:创业板首次公开发行股票招股说明书(申报稿2014年6月23日报送)</v>
      </c>
      <c r="D152" t="s">
        <v>6906</v>
      </c>
      <c r="E152" t="s">
        <v>4825</v>
      </c>
      <c r="F152" t="s">
        <v>4703</v>
      </c>
    </row>
    <row r="153" spans="1:6" x14ac:dyDescent="0.15">
      <c r="A153" s="1">
        <v>41813</v>
      </c>
      <c r="B153" t="s">
        <v>2912</v>
      </c>
      <c r="C153" s="2" t="str">
        <f>HYPERLINK("http://snap.windin.com/ns/bulletin.php?id=61804840&amp;type=1", "富邦股份:首次公开发行股票并在创业板上市招股说明书")</f>
        <v>富邦股份:首次公开发行股票并在创业板上市招股说明书</v>
      </c>
      <c r="D153" t="s">
        <v>6907</v>
      </c>
      <c r="E153" t="s">
        <v>4826</v>
      </c>
      <c r="F153" t="s">
        <v>455</v>
      </c>
    </row>
    <row r="154" spans="1:6" x14ac:dyDescent="0.15">
      <c r="A154" s="1">
        <v>41810</v>
      </c>
      <c r="B154" t="s">
        <v>2913</v>
      </c>
      <c r="C154" s="2" t="str">
        <f>HYPERLINK("http://snap.windin.com/ns/bulletin.php?id=61394660&amp;type=1", "元祖股份:首次公开发行股票招股说明书(申报稿2014年6月9日报送)")</f>
        <v>元祖股份:首次公开发行股票招股说明书(申报稿2014年6月9日报送)</v>
      </c>
      <c r="D154" t="s">
        <v>6908</v>
      </c>
      <c r="E154" t="s">
        <v>4827</v>
      </c>
      <c r="F154" t="s">
        <v>4828</v>
      </c>
    </row>
    <row r="155" spans="1:6" x14ac:dyDescent="0.15">
      <c r="A155" s="1">
        <v>41810</v>
      </c>
      <c r="B155" t="s">
        <v>2914</v>
      </c>
      <c r="C155" s="2" t="str">
        <f>HYPERLINK("http://snap.windin.com/ns/bulletin.php?id=61394662&amp;type=1", "兴齐股份:创业板首次公开发行股票招股说明书(申报稿2014年6月20日报送)")</f>
        <v>兴齐股份:创业板首次公开发行股票招股说明书(申报稿2014年6月20日报送)</v>
      </c>
      <c r="D155" t="s">
        <v>6909</v>
      </c>
      <c r="E155" t="s">
        <v>4829</v>
      </c>
      <c r="F155" t="s">
        <v>4830</v>
      </c>
    </row>
    <row r="156" spans="1:6" x14ac:dyDescent="0.15">
      <c r="A156" s="1">
        <v>41810</v>
      </c>
      <c r="B156" t="s">
        <v>2915</v>
      </c>
      <c r="C156" s="2" t="str">
        <f>HYPERLINK("http://snap.windin.com/ns/bulletin.php?id=61394618&amp;type=1", "锦和商业:首次公开发行股票招股说明书(申报稿2014年6月20日报送)")</f>
        <v>锦和商业:首次公开发行股票招股说明书(申报稿2014年6月20日报送)</v>
      </c>
      <c r="D156" t="s">
        <v>6910</v>
      </c>
      <c r="E156" t="s">
        <v>4831</v>
      </c>
      <c r="F156" t="s">
        <v>4674</v>
      </c>
    </row>
    <row r="157" spans="1:6" x14ac:dyDescent="0.15">
      <c r="A157" s="1">
        <v>41810</v>
      </c>
      <c r="B157" t="s">
        <v>2916</v>
      </c>
      <c r="C157" s="2" t="str">
        <f>HYPERLINK("http://snap.windin.com/ns/bulletin.php?id=61394598&amp;type=1", "泰嘉新材:首次公开发行股票招股说明书(申报稿2014年6月9日报送)")</f>
        <v>泰嘉新材:首次公开发行股票招股说明书(申报稿2014年6月9日报送)</v>
      </c>
      <c r="D157" t="s">
        <v>6911</v>
      </c>
      <c r="E157" t="s">
        <v>4832</v>
      </c>
      <c r="F157" t="s">
        <v>4828</v>
      </c>
    </row>
    <row r="158" spans="1:6" x14ac:dyDescent="0.15">
      <c r="A158" s="1">
        <v>41810</v>
      </c>
      <c r="B158" t="s">
        <v>2917</v>
      </c>
      <c r="C158" s="2" t="str">
        <f>HYPERLINK("http://snap.windin.com/ns/bulletin.php?id=61394648&amp;type=1", "再升科技:首次公开发行股票招股说明书(申报稿2014年6月19日报送)")</f>
        <v>再升科技:首次公开发行股票招股说明书(申报稿2014年6月19日报送)</v>
      </c>
      <c r="D158" t="s">
        <v>6912</v>
      </c>
      <c r="E158" t="s">
        <v>4833</v>
      </c>
      <c r="F158" t="s">
        <v>4710</v>
      </c>
    </row>
    <row r="159" spans="1:6" x14ac:dyDescent="0.15">
      <c r="A159" s="1">
        <v>41810</v>
      </c>
      <c r="B159" t="s">
        <v>2918</v>
      </c>
      <c r="C159" s="2" t="str">
        <f>HYPERLINK("http://snap.windin.com/ns/bulletin.php?id=61394656&amp;type=1", "3L股份:创业板首次公开发行股票招股说明书(申报稿2014年6月20日报送)")</f>
        <v>3L股份:创业板首次公开发行股票招股说明书(申报稿2014年6月20日报送)</v>
      </c>
      <c r="D159" t="s">
        <v>6913</v>
      </c>
      <c r="E159" t="s">
        <v>4834</v>
      </c>
      <c r="F159" t="s">
        <v>4830</v>
      </c>
    </row>
    <row r="160" spans="1:6" x14ac:dyDescent="0.15">
      <c r="A160" s="1">
        <v>41810</v>
      </c>
      <c r="B160" t="s">
        <v>2919</v>
      </c>
      <c r="C160" s="2" t="str">
        <f>HYPERLINK("http://snap.windin.com/ns/bulletin.php?id=61394502&amp;type=1", "四通新材:创业板首次公开发行股票招股说明书(申报稿2014年6月20日报送)")</f>
        <v>四通新材:创业板首次公开发行股票招股说明书(申报稿2014年6月20日报送)</v>
      </c>
      <c r="D160" t="s">
        <v>6914</v>
      </c>
      <c r="E160" t="s">
        <v>4835</v>
      </c>
      <c r="F160" t="s">
        <v>4830</v>
      </c>
    </row>
    <row r="161" spans="1:6" x14ac:dyDescent="0.15">
      <c r="A161" s="1">
        <v>41810</v>
      </c>
      <c r="B161" t="s">
        <v>2920</v>
      </c>
      <c r="C161" s="2" t="str">
        <f>HYPERLINK("http://snap.windin.com/ns/bulletin.php?id=61394454&amp;type=1", "浙商证券:首次公开发行股票招股说明书(申报稿2014年6月20日报送)")</f>
        <v>浙商证券:首次公开发行股票招股说明书(申报稿2014年6月20日报送)</v>
      </c>
      <c r="D161" t="s">
        <v>6915</v>
      </c>
      <c r="E161" t="s">
        <v>4836</v>
      </c>
      <c r="F161" t="s">
        <v>4674</v>
      </c>
    </row>
    <row r="162" spans="1:6" x14ac:dyDescent="0.15">
      <c r="A162" s="1">
        <v>41810</v>
      </c>
      <c r="B162" t="s">
        <v>2921</v>
      </c>
      <c r="C162" s="2" t="str">
        <f>HYPERLINK("http://snap.windin.com/ns/bulletin.php?id=61394622&amp;type=1", "安井食品:首次公开发行股票招股说明书(申报稿2014年6月9日报送)")</f>
        <v>安井食品:首次公开发行股票招股说明书(申报稿2014年6月9日报送)</v>
      </c>
      <c r="D162" t="s">
        <v>6916</v>
      </c>
      <c r="E162" t="s">
        <v>4837</v>
      </c>
      <c r="F162" t="s">
        <v>4828</v>
      </c>
    </row>
    <row r="163" spans="1:6" x14ac:dyDescent="0.15">
      <c r="A163" s="1">
        <v>41810</v>
      </c>
      <c r="B163" t="s">
        <v>2922</v>
      </c>
      <c r="C163" s="2" t="str">
        <f>HYPERLINK("http://snap.windin.com/ns/bulletin.php?id=61394572&amp;type=1", "同为数码:首次公开发行股票招股说明书(申报稿2014年6月11日报送)")</f>
        <v>同为数码:首次公开发行股票招股说明书(申报稿2014年6月11日报送)</v>
      </c>
      <c r="D163" t="s">
        <v>6917</v>
      </c>
      <c r="E163" t="s">
        <v>4838</v>
      </c>
      <c r="F163" t="s">
        <v>4839</v>
      </c>
    </row>
    <row r="164" spans="1:6" x14ac:dyDescent="0.15">
      <c r="A164" s="1">
        <v>41810</v>
      </c>
      <c r="B164" t="s">
        <v>2923</v>
      </c>
      <c r="C164" s="2" t="str">
        <f>HYPERLINK("http://snap.windin.com/ns/bulletin.php?id=61264434&amp;type=1", "一心堂:首次公开发行股票招股说明书")</f>
        <v>一心堂:首次公开发行股票招股说明书</v>
      </c>
      <c r="D164" t="s">
        <v>6918</v>
      </c>
      <c r="E164" t="s">
        <v>4840</v>
      </c>
      <c r="F164" t="s">
        <v>399</v>
      </c>
    </row>
    <row r="165" spans="1:6" x14ac:dyDescent="0.15">
      <c r="A165" s="1">
        <v>41810</v>
      </c>
      <c r="B165" t="s">
        <v>2924</v>
      </c>
      <c r="C165" s="2" t="str">
        <f>HYPERLINK("http://snap.windin.com/ns/bulletin.php?id=61264558&amp;type=1", "今世缘:首次公开发行股票招股说明书")</f>
        <v>今世缘:首次公开发行股票招股说明书</v>
      </c>
      <c r="D165" t="s">
        <v>6919</v>
      </c>
      <c r="E165" t="s">
        <v>4841</v>
      </c>
      <c r="F165" t="s">
        <v>399</v>
      </c>
    </row>
    <row r="166" spans="1:6" x14ac:dyDescent="0.15">
      <c r="A166" s="1">
        <v>41810</v>
      </c>
      <c r="B166" t="s">
        <v>2925</v>
      </c>
      <c r="C166" s="2" t="str">
        <f>HYPERLINK("http://snap.windin.com/ns/bulletin.php?id=61394692&amp;type=1", "新油股份:首次公开发行股票招股说明书(申报稿2014年6月9日报送)")</f>
        <v>新油股份:首次公开发行股票招股说明书(申报稿2014年6月9日报送)</v>
      </c>
      <c r="D166" t="s">
        <v>6920</v>
      </c>
      <c r="E166" t="s">
        <v>4842</v>
      </c>
      <c r="F166" t="s">
        <v>4828</v>
      </c>
    </row>
    <row r="167" spans="1:6" x14ac:dyDescent="0.15">
      <c r="A167" s="1">
        <v>41810</v>
      </c>
      <c r="B167" t="s">
        <v>2926</v>
      </c>
      <c r="C167" s="2" t="str">
        <f>HYPERLINK("http://snap.windin.com/ns/bulletin.php?id=61394672&amp;type=1", "财富趋势:首次公开发行股票招股说明书(申报稿2014年6月5日报送)")</f>
        <v>财富趋势:首次公开发行股票招股说明书(申报稿2014年6月5日报送)</v>
      </c>
      <c r="D167" t="s">
        <v>6921</v>
      </c>
      <c r="E167" t="s">
        <v>4843</v>
      </c>
      <c r="F167" t="s">
        <v>4844</v>
      </c>
    </row>
    <row r="168" spans="1:6" x14ac:dyDescent="0.15">
      <c r="A168" s="1">
        <v>41810</v>
      </c>
      <c r="B168" t="s">
        <v>2927</v>
      </c>
      <c r="C168" s="2" t="str">
        <f>HYPERLINK("http://snap.windin.com/ns/bulletin.php?id=61394700&amp;type=1", "国信证券:首次公开发行股票招股说明书(申报稿2014年6月20日报送)")</f>
        <v>国信证券:首次公开发行股票招股说明书(申报稿2014年6月20日报送)</v>
      </c>
      <c r="D168" t="s">
        <v>6922</v>
      </c>
      <c r="E168" t="s">
        <v>4845</v>
      </c>
      <c r="F168" t="s">
        <v>4674</v>
      </c>
    </row>
    <row r="169" spans="1:6" x14ac:dyDescent="0.15">
      <c r="A169" s="1">
        <v>41810</v>
      </c>
      <c r="B169" t="s">
        <v>2928</v>
      </c>
      <c r="C169" s="2" t="str">
        <f>HYPERLINK("http://snap.windin.com/ns/bulletin.php?id=61394674&amp;type=1", "步长制药:首次公开发行股票招股说明书(申报稿2014年6月11日报送)")</f>
        <v>步长制药:首次公开发行股票招股说明书(申报稿2014年6月11日报送)</v>
      </c>
      <c r="D169" t="s">
        <v>6923</v>
      </c>
      <c r="E169" t="s">
        <v>4846</v>
      </c>
      <c r="F169" t="s">
        <v>4839</v>
      </c>
    </row>
    <row r="170" spans="1:6" x14ac:dyDescent="0.15">
      <c r="A170" s="1">
        <v>41809</v>
      </c>
      <c r="B170" t="s">
        <v>2929</v>
      </c>
      <c r="C170" s="2" t="str">
        <f>HYPERLINK("http://snap.windin.com/ns/bulletin.php?id=60994452&amp;type=1", "莎普爱思:首次公开发行股票招股说明书")</f>
        <v>莎普爱思:首次公开发行股票招股说明书</v>
      </c>
      <c r="D170" t="s">
        <v>6924</v>
      </c>
      <c r="E170" t="s">
        <v>4847</v>
      </c>
      <c r="F170" t="s">
        <v>399</v>
      </c>
    </row>
    <row r="171" spans="1:6" x14ac:dyDescent="0.15">
      <c r="A171" s="1">
        <v>41809</v>
      </c>
      <c r="B171" t="s">
        <v>2930</v>
      </c>
      <c r="C171" s="2" t="str">
        <f>HYPERLINK("http://snap.windin.com/ns/bulletin.php?id=61225092&amp;type=1", "飞鹿股份:创业板首次公开发行股票招股说明书(申报稿2014年6月19日报送)")</f>
        <v>飞鹿股份:创业板首次公开发行股票招股说明书(申报稿2014年6月19日报送)</v>
      </c>
      <c r="D171" t="s">
        <v>6925</v>
      </c>
      <c r="E171" t="s">
        <v>4848</v>
      </c>
      <c r="F171" t="s">
        <v>4849</v>
      </c>
    </row>
    <row r="172" spans="1:6" x14ac:dyDescent="0.15">
      <c r="A172" s="1">
        <v>41809</v>
      </c>
      <c r="B172" t="s">
        <v>2931</v>
      </c>
      <c r="C172" s="2" t="str">
        <f>HYPERLINK("http://snap.windin.com/ns/bulletin.php?id=61224922&amp;type=1", "振华化学:首次公开发行股票招股说明书(申报稿2014年6月19日报送)")</f>
        <v>振华化学:首次公开发行股票招股说明书(申报稿2014年6月19日报送)</v>
      </c>
      <c r="D172" t="s">
        <v>6926</v>
      </c>
      <c r="E172" t="s">
        <v>4850</v>
      </c>
      <c r="F172" t="s">
        <v>4710</v>
      </c>
    </row>
    <row r="173" spans="1:6" x14ac:dyDescent="0.15">
      <c r="A173" s="1">
        <v>41809</v>
      </c>
      <c r="B173" t="s">
        <v>2932</v>
      </c>
      <c r="C173" s="2" t="str">
        <f>HYPERLINK("http://snap.windin.com/ns/bulletin.php?id=61224920&amp;type=1", "丰元化学:首次公开发行股票招股说明书(申报稿2014年6月19日报送)")</f>
        <v>丰元化学:首次公开发行股票招股说明书(申报稿2014年6月19日报送)</v>
      </c>
      <c r="D173" t="s">
        <v>6927</v>
      </c>
      <c r="E173" t="s">
        <v>4851</v>
      </c>
      <c r="F173" t="s">
        <v>4710</v>
      </c>
    </row>
    <row r="174" spans="1:6" x14ac:dyDescent="0.15">
      <c r="A174" s="1">
        <v>41808</v>
      </c>
      <c r="B174" t="s">
        <v>2933</v>
      </c>
      <c r="C174" s="2" t="str">
        <f>HYPERLINK("http://snap.windin.com/ns/bulletin.php?id=60603816&amp;type=1", "依顿电子:首次公开发行股票招股说明书")</f>
        <v>依顿电子:首次公开发行股票招股说明书</v>
      </c>
      <c r="D174" t="s">
        <v>6928</v>
      </c>
      <c r="E174" t="s">
        <v>4852</v>
      </c>
      <c r="F174" t="s">
        <v>399</v>
      </c>
    </row>
    <row r="175" spans="1:6" x14ac:dyDescent="0.15">
      <c r="A175" s="1">
        <v>41808</v>
      </c>
      <c r="B175" t="s">
        <v>2934</v>
      </c>
      <c r="C175" s="2" t="str">
        <f>HYPERLINK("http://snap.windin.com/ns/bulletin.php?id=60603824&amp;type=1", "北特科技:首次公开发行股票招股说明书")</f>
        <v>北特科技:首次公开发行股票招股说明书</v>
      </c>
      <c r="D175" t="s">
        <v>6929</v>
      </c>
      <c r="E175" t="s">
        <v>4853</v>
      </c>
      <c r="F175" t="s">
        <v>399</v>
      </c>
    </row>
    <row r="176" spans="1:6" x14ac:dyDescent="0.15">
      <c r="A176" s="1">
        <v>41808</v>
      </c>
      <c r="B176" t="s">
        <v>2935</v>
      </c>
      <c r="C176" s="2" t="str">
        <f>HYPERLINK("http://snap.windin.com/ns/bulletin.php?id=60906932&amp;type=1", "万里石:首次公开发行股票招股说明书(申报稿2014年6月17日报送)")</f>
        <v>万里石:首次公开发行股票招股说明书(申报稿2014年6月17日报送)</v>
      </c>
      <c r="D176" t="s">
        <v>6930</v>
      </c>
      <c r="E176" t="s">
        <v>4854</v>
      </c>
      <c r="F176" t="s">
        <v>4660</v>
      </c>
    </row>
    <row r="177" spans="1:6" x14ac:dyDescent="0.15">
      <c r="A177" s="1">
        <v>41808</v>
      </c>
      <c r="B177" t="s">
        <v>2936</v>
      </c>
      <c r="C177" s="2" t="str">
        <f>HYPERLINK("http://snap.windin.com/ns/bulletin.php?id=60906906&amp;type=1", "立霸实业:首次公开发行股票招股说明书(申报稿2014年6月17日报送)")</f>
        <v>立霸实业:首次公开发行股票招股说明书(申报稿2014年6月17日报送)</v>
      </c>
      <c r="D177" t="s">
        <v>6931</v>
      </c>
      <c r="E177" t="s">
        <v>4855</v>
      </c>
      <c r="F177" t="s">
        <v>4660</v>
      </c>
    </row>
    <row r="178" spans="1:6" x14ac:dyDescent="0.15">
      <c r="A178" s="1">
        <v>41808</v>
      </c>
      <c r="B178" t="s">
        <v>2937</v>
      </c>
      <c r="C178" s="2" t="str">
        <f>HYPERLINK("http://snap.windin.com/ns/bulletin.php?id=60906928&amp;type=1", "皖天然气:首次公开发行股票招股说明书(申报稿2014年6月18日报送)")</f>
        <v>皖天然气:首次公开发行股票招股说明书(申报稿2014年6月18日报送)</v>
      </c>
      <c r="D178" t="s">
        <v>6932</v>
      </c>
      <c r="E178" t="s">
        <v>4856</v>
      </c>
      <c r="F178" t="s">
        <v>4857</v>
      </c>
    </row>
    <row r="179" spans="1:6" x14ac:dyDescent="0.15">
      <c r="A179" s="1">
        <v>41808</v>
      </c>
      <c r="B179" t="s">
        <v>2938</v>
      </c>
      <c r="C179" s="2" t="str">
        <f>HYPERLINK("http://snap.windin.com/ns/bulletin.php?id=60906930&amp;type=1", "和科达:首次公开发行股票招股说明书(申报稿2014年6月18日报送)")</f>
        <v>和科达:首次公开发行股票招股说明书(申报稿2014年6月18日报送)</v>
      </c>
      <c r="D179" t="s">
        <v>6933</v>
      </c>
      <c r="E179" t="s">
        <v>4858</v>
      </c>
      <c r="F179" t="s">
        <v>4857</v>
      </c>
    </row>
    <row r="180" spans="1:6" x14ac:dyDescent="0.15">
      <c r="A180" s="1">
        <v>41808</v>
      </c>
      <c r="B180" t="s">
        <v>2939</v>
      </c>
      <c r="C180" s="2" t="str">
        <f>HYPERLINK("http://snap.windin.com/ns/bulletin.php?id=60906842&amp;type=1", "博润工业:创业板首次公开发行股票招股说明书(申报稿2014年6月18日报送)")</f>
        <v>博润工业:创业板首次公开发行股票招股说明书(申报稿2014年6月18日报送)</v>
      </c>
      <c r="D180" t="s">
        <v>6934</v>
      </c>
      <c r="E180" t="s">
        <v>4859</v>
      </c>
      <c r="F180" t="s">
        <v>4860</v>
      </c>
    </row>
    <row r="181" spans="1:6" x14ac:dyDescent="0.15">
      <c r="A181" s="1">
        <v>41807</v>
      </c>
      <c r="B181" t="s">
        <v>2940</v>
      </c>
      <c r="C181" s="2" t="str">
        <f>HYPERLINK("http://snap.windin.com/ns/bulletin.php?id=60514814&amp;type=1", "曙光信息:首次公开发行股票招股说明书(申报稿2014年6月16日报送)")</f>
        <v>曙光信息:首次公开发行股票招股说明书(申报稿2014年6月16日报送)</v>
      </c>
      <c r="D181" t="s">
        <v>6935</v>
      </c>
      <c r="E181" t="s">
        <v>4861</v>
      </c>
      <c r="F181" t="s">
        <v>4679</v>
      </c>
    </row>
    <row r="182" spans="1:6" x14ac:dyDescent="0.15">
      <c r="A182" s="1">
        <v>41807</v>
      </c>
      <c r="B182" t="s">
        <v>2941</v>
      </c>
      <c r="C182" s="2" t="str">
        <f>HYPERLINK("http://snap.windin.com/ns/bulletin.php?id=60201802&amp;type=1", "龙大肉食:首次公开发行股票招股说明书")</f>
        <v>龙大肉食:首次公开发行股票招股说明书</v>
      </c>
      <c r="D182" t="s">
        <v>6936</v>
      </c>
      <c r="E182" t="s">
        <v>4862</v>
      </c>
      <c r="F182" t="s">
        <v>399</v>
      </c>
    </row>
    <row r="183" spans="1:6" x14ac:dyDescent="0.15">
      <c r="A183" s="1">
        <v>41807</v>
      </c>
      <c r="B183" t="s">
        <v>2942</v>
      </c>
      <c r="C183" s="2" t="str">
        <f>HYPERLINK("http://snap.windin.com/ns/bulletin.php?id=60514800&amp;type=1", "中矿资源:首次公开发行股票招股说明书(申报稿2014年6月16日报送)")</f>
        <v>中矿资源:首次公开发行股票招股说明书(申报稿2014年6月16日报送)</v>
      </c>
      <c r="D183" t="s">
        <v>6937</v>
      </c>
      <c r="E183" t="s">
        <v>4863</v>
      </c>
      <c r="F183" t="s">
        <v>4679</v>
      </c>
    </row>
    <row r="184" spans="1:6" x14ac:dyDescent="0.15">
      <c r="A184" s="1">
        <v>41807</v>
      </c>
      <c r="B184" t="s">
        <v>2943</v>
      </c>
      <c r="C184" s="2" t="str">
        <f>HYPERLINK("http://snap.windin.com/ns/bulletin.php?id=60197566&amp;type=1", "联明股份:首次公开发行股票招股说明书")</f>
        <v>联明股份:首次公开发行股票招股说明书</v>
      </c>
      <c r="D184" t="s">
        <v>6938</v>
      </c>
      <c r="E184" t="s">
        <v>4864</v>
      </c>
      <c r="F184" t="s">
        <v>399</v>
      </c>
    </row>
    <row r="185" spans="1:6" x14ac:dyDescent="0.15">
      <c r="A185" s="1">
        <v>41807</v>
      </c>
      <c r="B185" t="s">
        <v>2944</v>
      </c>
      <c r="C185" s="2" t="str">
        <f>HYPERLINK("http://snap.windin.com/ns/bulletin.php?id=60198330&amp;type=1", "雪浪环境:首次公开发行股票并在创业板上市招股说明书")</f>
        <v>雪浪环境:首次公开发行股票并在创业板上市招股说明书</v>
      </c>
      <c r="D185" t="s">
        <v>6939</v>
      </c>
      <c r="E185" t="s">
        <v>4865</v>
      </c>
      <c r="F185" t="s">
        <v>455</v>
      </c>
    </row>
    <row r="186" spans="1:6" x14ac:dyDescent="0.15">
      <c r="A186" s="1">
        <v>41807</v>
      </c>
      <c r="B186" t="s">
        <v>4</v>
      </c>
      <c r="C186" s="2" t="str">
        <f>HYPERLINK("http://snap.windin.com/ns/bulletin.php?id=60198378&amp;type=1", "飞天诚信:首次公开发行股票并在创业板上市招股说明书")</f>
        <v>飞天诚信:首次公开发行股票并在创业板上市招股说明书</v>
      </c>
      <c r="D186" t="s">
        <v>6940</v>
      </c>
      <c r="E186" t="s">
        <v>382</v>
      </c>
      <c r="F186" t="s">
        <v>455</v>
      </c>
    </row>
    <row r="187" spans="1:6" x14ac:dyDescent="0.15">
      <c r="A187" s="1">
        <v>41806</v>
      </c>
      <c r="B187" t="s">
        <v>2945</v>
      </c>
      <c r="C187" s="2" t="str">
        <f>HYPERLINK("http://snap.windin.com/ns/bulletin.php?id=60106354&amp;type=1", "名雕股份:首次公开发行股票招股说明书(申报稿2014年6月16日报送)")</f>
        <v>名雕股份:首次公开发行股票招股说明书(申报稿2014年6月16日报送)</v>
      </c>
      <c r="D187" t="s">
        <v>6941</v>
      </c>
      <c r="E187" t="s">
        <v>4866</v>
      </c>
      <c r="F187" t="s">
        <v>4679</v>
      </c>
    </row>
    <row r="188" spans="1:6" x14ac:dyDescent="0.15">
      <c r="A188" s="1">
        <v>41806</v>
      </c>
      <c r="B188" t="s">
        <v>2946</v>
      </c>
      <c r="C188" s="2" t="str">
        <f>HYPERLINK("http://snap.windin.com/ns/bulletin.php?id=60106300&amp;type=1", "申龙电梯:首次公开发行股票招股说明书(申报稿2014年5月23日报送)")</f>
        <v>申龙电梯:首次公开发行股票招股说明书(申报稿2014年5月23日报送)</v>
      </c>
      <c r="D188" t="s">
        <v>6942</v>
      </c>
      <c r="E188" t="s">
        <v>4867</v>
      </c>
      <c r="F188" t="s">
        <v>4868</v>
      </c>
    </row>
    <row r="189" spans="1:6" x14ac:dyDescent="0.15">
      <c r="A189" s="1">
        <v>41806</v>
      </c>
      <c r="B189" t="s">
        <v>2947</v>
      </c>
      <c r="C189" s="2" t="str">
        <f>HYPERLINK("http://snap.windin.com/ns/bulletin.php?id=60106302&amp;type=1", "北广科技:首次公开发行股票招股说明书(申报稿2014年6月16日报送)")</f>
        <v>北广科技:首次公开发行股票招股说明书(申报稿2014年6月16日报送)</v>
      </c>
      <c r="D189" t="s">
        <v>6943</v>
      </c>
      <c r="E189" t="s">
        <v>4869</v>
      </c>
      <c r="F189" t="s">
        <v>4679</v>
      </c>
    </row>
    <row r="190" spans="1:6" x14ac:dyDescent="0.15">
      <c r="A190" s="1">
        <v>41806</v>
      </c>
      <c r="B190" t="s">
        <v>2948</v>
      </c>
      <c r="C190" s="2" t="str">
        <f>HYPERLINK("http://snap.windin.com/ns/bulletin.php?id=60106298&amp;type=1", "华铁科技:首次公开发行股票招股说明书(申报稿2014年6月12日报送)")</f>
        <v>华铁科技:首次公开发行股票招股说明书(申报稿2014年6月12日报送)</v>
      </c>
      <c r="D190" t="s">
        <v>6944</v>
      </c>
      <c r="E190" t="s">
        <v>4870</v>
      </c>
      <c r="F190" t="s">
        <v>4871</v>
      </c>
    </row>
    <row r="191" spans="1:6" x14ac:dyDescent="0.15">
      <c r="A191" s="1">
        <v>41806</v>
      </c>
      <c r="B191" t="s">
        <v>2949</v>
      </c>
      <c r="C191" s="2" t="str">
        <f>HYPERLINK("http://snap.windin.com/ns/bulletin.php?id=60106290&amp;type=1", "凤凰传媒:首次公开发行股票招股说明书(申报稿2014年6月13日报送)")</f>
        <v>凤凰传媒:首次公开发行股票招股说明书(申报稿2014年6月13日报送)</v>
      </c>
      <c r="D191" t="s">
        <v>6945</v>
      </c>
      <c r="E191" t="s">
        <v>709</v>
      </c>
      <c r="F191" t="s">
        <v>4872</v>
      </c>
    </row>
    <row r="192" spans="1:6" x14ac:dyDescent="0.15">
      <c r="A192" s="1">
        <v>41806</v>
      </c>
      <c r="B192" t="s">
        <v>2950</v>
      </c>
      <c r="C192" s="2" t="str">
        <f>HYPERLINK("http://snap.windin.com/ns/bulletin.php?id=60106328&amp;type=1", "龙韵传播:首次公开发行股票招股说明书(申报稿2014年6月12日报送)")</f>
        <v>龙韵传播:首次公开发行股票招股说明书(申报稿2014年6月12日报送)</v>
      </c>
      <c r="D192" t="s">
        <v>6946</v>
      </c>
      <c r="E192" t="s">
        <v>4873</v>
      </c>
      <c r="F192" t="s">
        <v>4871</v>
      </c>
    </row>
    <row r="193" spans="1:6" x14ac:dyDescent="0.15">
      <c r="A193" s="1">
        <v>41806</v>
      </c>
      <c r="B193" t="s">
        <v>2951</v>
      </c>
      <c r="C193" s="2" t="str">
        <f>HYPERLINK("http://snap.windin.com/ns/bulletin.php?id=60106272&amp;type=1", "中影股份:首次公开发行股票招股说明书(申报稿2014年6月16日报送)")</f>
        <v>中影股份:首次公开发行股票招股说明书(申报稿2014年6月16日报送)</v>
      </c>
      <c r="D193" t="s">
        <v>6947</v>
      </c>
      <c r="E193" t="s">
        <v>4874</v>
      </c>
      <c r="F193" t="s">
        <v>4679</v>
      </c>
    </row>
    <row r="194" spans="1:6" x14ac:dyDescent="0.15">
      <c r="A194" s="1">
        <v>41806</v>
      </c>
      <c r="B194" t="s">
        <v>2952</v>
      </c>
      <c r="C194" s="2" t="str">
        <f>HYPERLINK("http://snap.windin.com/ns/bulletin.php?id=60106282&amp;type=1", "引力传媒:首次公开发行股票招股说明书(申报稿2014年5月26日报送)")</f>
        <v>引力传媒:首次公开发行股票招股说明书(申报稿2014年5月26日报送)</v>
      </c>
      <c r="D194" t="s">
        <v>6948</v>
      </c>
      <c r="E194" t="s">
        <v>4875</v>
      </c>
      <c r="F194" t="s">
        <v>4876</v>
      </c>
    </row>
    <row r="195" spans="1:6" x14ac:dyDescent="0.15">
      <c r="A195" s="1">
        <v>41803</v>
      </c>
      <c r="B195" t="s">
        <v>2953</v>
      </c>
      <c r="C195" s="2" t="str">
        <f>HYPERLINK("http://snap.windin.com/ns/bulletin.php?id=58863974&amp;type=1", "信诺传播:首次公开发行股票招股说明书(申报稿2014年6月3日报送)")</f>
        <v>信诺传播:首次公开发行股票招股说明书(申报稿2014年6月3日报送)</v>
      </c>
      <c r="D195" t="s">
        <v>6949</v>
      </c>
      <c r="E195" t="s">
        <v>4877</v>
      </c>
      <c r="F195" t="s">
        <v>4878</v>
      </c>
    </row>
    <row r="196" spans="1:6" x14ac:dyDescent="0.15">
      <c r="A196" s="1">
        <v>41803</v>
      </c>
      <c r="B196" t="s">
        <v>2954</v>
      </c>
      <c r="C196" s="2" t="str">
        <f>HYPERLINK("http://snap.windin.com/ns/bulletin.php?id=58863938&amp;type=1", "太辰股份:创业板首次公开发行股票招股说明书(申报稿2014年5月29日报送)")</f>
        <v>太辰股份:创业板首次公开发行股票招股说明书(申报稿2014年5月29日报送)</v>
      </c>
      <c r="D196" t="s">
        <v>6950</v>
      </c>
      <c r="E196" t="s">
        <v>4879</v>
      </c>
      <c r="F196" t="s">
        <v>4880</v>
      </c>
    </row>
    <row r="197" spans="1:6" x14ac:dyDescent="0.15">
      <c r="A197" s="1">
        <v>41803</v>
      </c>
      <c r="B197" t="s">
        <v>2955</v>
      </c>
      <c r="C197" s="2" t="str">
        <f>HYPERLINK("http://snap.windin.com/ns/bulletin.php?id=58863904&amp;type=1", "优博讯:创业板首次公开发行股票招股说明书(申报稿2014年6月13日报送)")</f>
        <v>优博讯:创业板首次公开发行股票招股说明书(申报稿2014年6月13日报送)</v>
      </c>
      <c r="D197" t="s">
        <v>6951</v>
      </c>
      <c r="E197" t="s">
        <v>4881</v>
      </c>
      <c r="F197" t="s">
        <v>4706</v>
      </c>
    </row>
    <row r="198" spans="1:6" x14ac:dyDescent="0.15">
      <c r="A198" s="1">
        <v>41803</v>
      </c>
      <c r="B198" t="s">
        <v>2956</v>
      </c>
      <c r="C198" s="2" t="str">
        <f>HYPERLINK("http://snap.windin.com/ns/bulletin.php?id=58863844&amp;type=1", "博思软件:创业板首次公开发行股票招股说明书(申报稿2014年6月13日报送)")</f>
        <v>博思软件:创业板首次公开发行股票招股说明书(申报稿2014年6月13日报送)</v>
      </c>
      <c r="D198" t="s">
        <v>6952</v>
      </c>
      <c r="E198" t="s">
        <v>4882</v>
      </c>
      <c r="F198" t="s">
        <v>4706</v>
      </c>
    </row>
    <row r="199" spans="1:6" x14ac:dyDescent="0.15">
      <c r="A199" s="1">
        <v>41803</v>
      </c>
      <c r="B199" t="s">
        <v>2957</v>
      </c>
      <c r="C199" s="2" t="str">
        <f>HYPERLINK("http://snap.windin.com/ns/bulletin.php?id=58863850&amp;type=1", "纳尔股份:首次公开发行股票招股说明书(申报稿2014年6月5日报送)")</f>
        <v>纳尔股份:首次公开发行股票招股说明书(申报稿2014年6月5日报送)</v>
      </c>
      <c r="D199" t="s">
        <v>6953</v>
      </c>
      <c r="E199" t="s">
        <v>4883</v>
      </c>
      <c r="F199" t="s">
        <v>4844</v>
      </c>
    </row>
    <row r="200" spans="1:6" x14ac:dyDescent="0.15">
      <c r="A200" s="1">
        <v>41803</v>
      </c>
      <c r="B200" t="s">
        <v>2958</v>
      </c>
      <c r="C200" s="2" t="str">
        <f>HYPERLINK("http://snap.windin.com/ns/bulletin.php?id=58863838&amp;type=1", "联得股份:创业板首次公开发行股票招股说明书(申报稿2014年6月4日报送)")</f>
        <v>联得股份:创业板首次公开发行股票招股说明书(申报稿2014年6月4日报送)</v>
      </c>
      <c r="D200" t="s">
        <v>6954</v>
      </c>
      <c r="E200" t="s">
        <v>4884</v>
      </c>
      <c r="F200" t="s">
        <v>4885</v>
      </c>
    </row>
    <row r="201" spans="1:6" x14ac:dyDescent="0.15">
      <c r="A201" s="1">
        <v>41803</v>
      </c>
      <c r="B201" t="s">
        <v>2959</v>
      </c>
      <c r="C201" s="2" t="str">
        <f>HYPERLINK("http://snap.windin.com/ns/bulletin.php?id=58863856&amp;type=1", "骏达光电:创业板首次公开发行股票招股说明书(申报稿2014年6月5日报送)")</f>
        <v>骏达光电:创业板首次公开发行股票招股说明书(申报稿2014年6月5日报送)</v>
      </c>
      <c r="D201" t="s">
        <v>6955</v>
      </c>
      <c r="E201" t="s">
        <v>4886</v>
      </c>
      <c r="F201" t="s">
        <v>4887</v>
      </c>
    </row>
    <row r="202" spans="1:6" x14ac:dyDescent="0.15">
      <c r="A202" s="1">
        <v>41803</v>
      </c>
      <c r="B202" t="s">
        <v>2960</v>
      </c>
      <c r="C202" s="2" t="str">
        <f>HYPERLINK("http://snap.windin.com/ns/bulletin.php?id=58863888&amp;type=1", "朗科智能:创业板首次公开发行股票招股说明书(申报稿2014年5月28日报送)")</f>
        <v>朗科智能:创业板首次公开发行股票招股说明书(申报稿2014年5月28日报送)</v>
      </c>
      <c r="D202" t="s">
        <v>6956</v>
      </c>
      <c r="E202" t="s">
        <v>4888</v>
      </c>
      <c r="F202" t="s">
        <v>4889</v>
      </c>
    </row>
    <row r="203" spans="1:6" x14ac:dyDescent="0.15">
      <c r="A203" s="1">
        <v>41803</v>
      </c>
      <c r="B203" t="s">
        <v>2961</v>
      </c>
      <c r="C203" s="2" t="str">
        <f>HYPERLINK("http://snap.windin.com/ns/bulletin.php?id=58863882&amp;type=1", "井神股份:首次公开发行股票招股说明书(申报稿2014年6月12日报送)")</f>
        <v>井神股份:首次公开发行股票招股说明书(申报稿2014年6月12日报送)</v>
      </c>
      <c r="D203" t="s">
        <v>6957</v>
      </c>
      <c r="E203" t="s">
        <v>4890</v>
      </c>
      <c r="F203" t="s">
        <v>4871</v>
      </c>
    </row>
    <row r="204" spans="1:6" x14ac:dyDescent="0.15">
      <c r="A204" s="1">
        <v>41803</v>
      </c>
      <c r="B204" t="s">
        <v>2770</v>
      </c>
      <c r="C204" s="2" t="str">
        <f>HYPERLINK("http://snap.windin.com/ns/bulletin.php?id=58863964&amp;type=1", "石大胜华:首次公开发行股票招股说明书(申报稿2014年6月9日报送)")</f>
        <v>石大胜华:首次公开发行股票招股说明书(申报稿2014年6月9日报送)</v>
      </c>
      <c r="D204" t="s">
        <v>6958</v>
      </c>
      <c r="E204" t="s">
        <v>4621</v>
      </c>
      <c r="F204" t="s">
        <v>4828</v>
      </c>
    </row>
    <row r="205" spans="1:6" x14ac:dyDescent="0.15">
      <c r="A205" s="1">
        <v>41803</v>
      </c>
      <c r="B205" t="s">
        <v>2962</v>
      </c>
      <c r="C205" s="2" t="str">
        <f>HYPERLINK("http://snap.windin.com/ns/bulletin.php?id=58863940&amp;type=1", "神力股份:首次公开发行股票招股说明书(申报稿2014年5月30日报送)")</f>
        <v>神力股份:首次公开发行股票招股说明书(申报稿2014年5月30日报送)</v>
      </c>
      <c r="D205" t="s">
        <v>6959</v>
      </c>
      <c r="E205" t="s">
        <v>4891</v>
      </c>
      <c r="F205" t="s">
        <v>4892</v>
      </c>
    </row>
    <row r="206" spans="1:6" x14ac:dyDescent="0.15">
      <c r="A206" s="1">
        <v>41802</v>
      </c>
      <c r="B206" t="s">
        <v>2762</v>
      </c>
      <c r="C206" s="2" t="str">
        <f>HYPERLINK("http://snap.windin.com/ns/bulletin.php?id=58768036&amp;type=1", "迦南科技:创业板首次公开发行股票招股说明书(申报稿2014年6月11日报送)")</f>
        <v>迦南科技:创业板首次公开发行股票招股说明书(申报稿2014年6月11日报送)</v>
      </c>
      <c r="D206" t="s">
        <v>6960</v>
      </c>
      <c r="E206" t="s">
        <v>4611</v>
      </c>
      <c r="F206" t="s">
        <v>4893</v>
      </c>
    </row>
    <row r="207" spans="1:6" x14ac:dyDescent="0.15">
      <c r="A207" s="1">
        <v>41802</v>
      </c>
      <c r="B207" t="s">
        <v>2963</v>
      </c>
      <c r="C207" s="2" t="str">
        <f>HYPERLINK("http://snap.windin.com/ns/bulletin.php?id=58768034&amp;type=1", "维宏股份:创业板首次公开发行股票招股说明书(申报稿2014年6月12日报送)")</f>
        <v>维宏股份:创业板首次公开发行股票招股说明书(申报稿2014年6月12日报送)</v>
      </c>
      <c r="D207" t="s">
        <v>6961</v>
      </c>
      <c r="E207" t="s">
        <v>4894</v>
      </c>
      <c r="F207" t="s">
        <v>4895</v>
      </c>
    </row>
    <row r="208" spans="1:6" x14ac:dyDescent="0.15">
      <c r="A208" s="1">
        <v>41801</v>
      </c>
      <c r="B208" t="s">
        <v>2769</v>
      </c>
      <c r="C208" s="2" t="str">
        <f>HYPERLINK("http://snap.windin.com/ns/bulletin.php?id=58757280&amp;type=1", "广州酒家:首次公开发行股票招股说明书(申报稿2014年6月9日报送)")</f>
        <v>广州酒家:首次公开发行股票招股说明书(申报稿2014年6月9日报送)</v>
      </c>
      <c r="D208" t="s">
        <v>6962</v>
      </c>
      <c r="E208" t="s">
        <v>4619</v>
      </c>
      <c r="F208" t="s">
        <v>4828</v>
      </c>
    </row>
    <row r="209" spans="1:6" x14ac:dyDescent="0.15">
      <c r="A209" s="1">
        <v>41801</v>
      </c>
      <c r="B209" t="s">
        <v>2964</v>
      </c>
      <c r="C209" s="2" t="str">
        <f>HYPERLINK("http://snap.windin.com/ns/bulletin.php?id=58757284&amp;type=1", "沃施园艺:创业板首次公开发行股票招股说明书(申报稿2014年6月10日报送)")</f>
        <v>沃施园艺:创业板首次公开发行股票招股说明书(申报稿2014年6月10日报送)</v>
      </c>
      <c r="D209" t="s">
        <v>6963</v>
      </c>
      <c r="E209" t="s">
        <v>4896</v>
      </c>
      <c r="F209" t="s">
        <v>4897</v>
      </c>
    </row>
    <row r="210" spans="1:6" x14ac:dyDescent="0.15">
      <c r="A210" s="1">
        <v>41801</v>
      </c>
      <c r="B210" t="s">
        <v>2965</v>
      </c>
      <c r="C210" s="2" t="str">
        <f>HYPERLINK("http://snap.windin.com/ns/bulletin.php?id=58757288&amp;type=1", "恒康家居:首次公开发行股票招股说明书(申报稿2014年6月11日报送)")</f>
        <v>恒康家居:首次公开发行股票招股说明书(申报稿2014年6月11日报送)</v>
      </c>
      <c r="D210" t="s">
        <v>6964</v>
      </c>
      <c r="E210" t="s">
        <v>4898</v>
      </c>
      <c r="F210" t="s">
        <v>4839</v>
      </c>
    </row>
    <row r="211" spans="1:6" x14ac:dyDescent="0.15">
      <c r="A211" s="1">
        <v>41801</v>
      </c>
      <c r="B211" t="s">
        <v>2966</v>
      </c>
      <c r="C211" s="2" t="str">
        <f>HYPERLINK("http://snap.windin.com/ns/bulletin.php?id=58757286&amp;type=1", "龙软科技:创业板首次公开发行股票招股说明书(申报稿2014年6月11日报送)")</f>
        <v>龙软科技:创业板首次公开发行股票招股说明书(申报稿2014年6月11日报送)</v>
      </c>
      <c r="D211" t="s">
        <v>6965</v>
      </c>
      <c r="E211" t="s">
        <v>4899</v>
      </c>
      <c r="F211" t="s">
        <v>4893</v>
      </c>
    </row>
    <row r="212" spans="1:6" x14ac:dyDescent="0.15">
      <c r="A212" s="1">
        <v>41801</v>
      </c>
      <c r="B212" t="s">
        <v>2967</v>
      </c>
      <c r="C212" s="2" t="str">
        <f>HYPERLINK("http://snap.windin.com/ns/bulletin.php?id=58757282&amp;type=1", "北部湾:首次公开发行股票招股说明书(申报稿2014年6月6日报送)")</f>
        <v>北部湾:首次公开发行股票招股说明书(申报稿2014年6月6日报送)</v>
      </c>
      <c r="D212" t="s">
        <v>6966</v>
      </c>
      <c r="E212" t="s">
        <v>4900</v>
      </c>
      <c r="F212" t="s">
        <v>4901</v>
      </c>
    </row>
    <row r="213" spans="1:6" x14ac:dyDescent="0.15">
      <c r="A213" s="1">
        <v>41801</v>
      </c>
      <c r="B213" t="s">
        <v>2968</v>
      </c>
      <c r="C213" s="2" t="str">
        <f>HYPERLINK("http://snap.windin.com/ns/bulletin.php?id=58757290&amp;type=1", "亚邦染料:首次公开发行股票招股说明书(申报稿2014年6月10日报送)")</f>
        <v>亚邦染料:首次公开发行股票招股说明书(申报稿2014年6月10日报送)</v>
      </c>
      <c r="D213" t="s">
        <v>6967</v>
      </c>
      <c r="E213" t="s">
        <v>4902</v>
      </c>
      <c r="F213" t="s">
        <v>4683</v>
      </c>
    </row>
    <row r="214" spans="1:6" x14ac:dyDescent="0.15">
      <c r="A214" s="1">
        <v>41800</v>
      </c>
      <c r="B214" t="s">
        <v>2969</v>
      </c>
      <c r="C214" s="2" t="str">
        <f>HYPERLINK("http://snap.windin.com/ns/bulletin.php?id=58752356&amp;type=1", "江苏花王:首次公开发行股票招股说明书(申报稿2014年6月9日报送)")</f>
        <v>江苏花王:首次公开发行股票招股说明书(申报稿2014年6月9日报送)</v>
      </c>
      <c r="D214" t="s">
        <v>6968</v>
      </c>
      <c r="E214" t="s">
        <v>4903</v>
      </c>
      <c r="F214" t="s">
        <v>4828</v>
      </c>
    </row>
    <row r="215" spans="1:6" x14ac:dyDescent="0.15">
      <c r="A215" s="1">
        <v>41800</v>
      </c>
      <c r="B215" t="s">
        <v>2970</v>
      </c>
      <c r="C215" s="2" t="str">
        <f>HYPERLINK("http://snap.windin.com/ns/bulletin.php?id=58752082&amp;type=1", "安图生物:首次公开发行股票招股说明书(申报稿2014年6月9日报送)")</f>
        <v>安图生物:首次公开发行股票招股说明书(申报稿2014年6月9日报送)</v>
      </c>
      <c r="D215" t="s">
        <v>6969</v>
      </c>
      <c r="E215" t="s">
        <v>4904</v>
      </c>
      <c r="F215" t="s">
        <v>4828</v>
      </c>
    </row>
    <row r="216" spans="1:6" x14ac:dyDescent="0.15">
      <c r="A216" s="1">
        <v>41800</v>
      </c>
      <c r="B216" t="s">
        <v>2971</v>
      </c>
      <c r="C216" s="2" t="str">
        <f>HYPERLINK("http://snap.windin.com/ns/bulletin.php?id=58752074&amp;type=1", "嘉澳环保:首次公开发行股票招股说明书(申报稿2014年5月9日报送)")</f>
        <v>嘉澳环保:首次公开发行股票招股说明书(申报稿2014年5月9日报送)</v>
      </c>
      <c r="D216" t="s">
        <v>6970</v>
      </c>
      <c r="E216" t="s">
        <v>4905</v>
      </c>
      <c r="F216" t="s">
        <v>4906</v>
      </c>
    </row>
    <row r="217" spans="1:6" x14ac:dyDescent="0.15">
      <c r="A217" s="1">
        <v>41800</v>
      </c>
      <c r="B217" t="s">
        <v>2972</v>
      </c>
      <c r="C217" s="2" t="str">
        <f>HYPERLINK("http://snap.windin.com/ns/bulletin.php?id=58752054&amp;type=1", "千乘影视:创业板首次公开发行股票招股说明书(申报稿2014年6月10日报送)")</f>
        <v>千乘影视:创业板首次公开发行股票招股说明书(申报稿2014年6月10日报送)</v>
      </c>
      <c r="D217" t="s">
        <v>6971</v>
      </c>
      <c r="E217" t="s">
        <v>4907</v>
      </c>
      <c r="F217" t="s">
        <v>4897</v>
      </c>
    </row>
    <row r="218" spans="1:6" x14ac:dyDescent="0.15">
      <c r="A218" s="1">
        <v>41800</v>
      </c>
      <c r="B218" t="s">
        <v>2973</v>
      </c>
      <c r="C218" s="2" t="str">
        <f>HYPERLINK("http://snap.windin.com/ns/bulletin.php?id=58752012&amp;type=1", "昊志机电:创业板首次公开发行股票招股说明书(申报稿2014年6月10日报送)")</f>
        <v>昊志机电:创业板首次公开发行股票招股说明书(申报稿2014年6月10日报送)</v>
      </c>
      <c r="D218" t="s">
        <v>6972</v>
      </c>
      <c r="E218" t="s">
        <v>4908</v>
      </c>
      <c r="F218" t="s">
        <v>4897</v>
      </c>
    </row>
    <row r="219" spans="1:6" x14ac:dyDescent="0.15">
      <c r="A219" s="1">
        <v>41800</v>
      </c>
      <c r="B219" t="s">
        <v>2974</v>
      </c>
      <c r="C219" s="2" t="str">
        <f>HYPERLINK("http://snap.windin.com/ns/bulletin.php?id=58752110&amp;type=1", "好利来:首次公开发行股票招股说明书(申报稿2014年6月9日报送)")</f>
        <v>好利来:首次公开发行股票招股说明书(申报稿2014年6月9日报送)</v>
      </c>
      <c r="D219" t="s">
        <v>6973</v>
      </c>
      <c r="E219" t="s">
        <v>4909</v>
      </c>
      <c r="F219" t="s">
        <v>4828</v>
      </c>
    </row>
    <row r="220" spans="1:6" x14ac:dyDescent="0.15">
      <c r="A220" s="1">
        <v>41799</v>
      </c>
      <c r="B220" t="s">
        <v>2975</v>
      </c>
      <c r="C220" s="2" t="str">
        <f>HYPERLINK("http://snap.windin.com/ns/bulletin.php?id=57824086&amp;type=1", "新美星:创业板首次公开发行股票招股说明书(申报稿2014年6月9日报送)")</f>
        <v>新美星:创业板首次公开发行股票招股说明书(申报稿2014年6月9日报送)</v>
      </c>
      <c r="D220" t="s">
        <v>6974</v>
      </c>
      <c r="E220" t="s">
        <v>4910</v>
      </c>
      <c r="F220" t="s">
        <v>4911</v>
      </c>
    </row>
    <row r="221" spans="1:6" x14ac:dyDescent="0.15">
      <c r="A221" s="1">
        <v>41799</v>
      </c>
      <c r="B221" t="s">
        <v>2976</v>
      </c>
      <c r="C221" s="2" t="str">
        <f>HYPERLINK("http://snap.windin.com/ns/bulletin.php?id=57823402&amp;type=1", "东方电缆:首次公开发行股票招股说明书(申报稿2014年6月9日报送)")</f>
        <v>东方电缆:首次公开发行股票招股说明书(申报稿2014年6月9日报送)</v>
      </c>
      <c r="D221" t="s">
        <v>6975</v>
      </c>
      <c r="E221" t="s">
        <v>4912</v>
      </c>
      <c r="F221" t="s">
        <v>4828</v>
      </c>
    </row>
    <row r="222" spans="1:6" x14ac:dyDescent="0.15">
      <c r="A222" s="1">
        <v>41799</v>
      </c>
      <c r="B222" t="s">
        <v>2977</v>
      </c>
      <c r="C222" s="2" t="str">
        <f>HYPERLINK("http://snap.windin.com/ns/bulletin.php?id=57823236&amp;type=1", "高澜股份:创业板首次公开发行股票招股说明书(申报稿2014年6月9日报送)")</f>
        <v>高澜股份:创业板首次公开发行股票招股说明书(申报稿2014年6月9日报送)</v>
      </c>
      <c r="D222" t="s">
        <v>6976</v>
      </c>
      <c r="E222" t="s">
        <v>4913</v>
      </c>
      <c r="F222" t="s">
        <v>4911</v>
      </c>
    </row>
    <row r="223" spans="1:6" x14ac:dyDescent="0.15">
      <c r="A223" s="1">
        <v>41799</v>
      </c>
      <c r="B223" t="s">
        <v>2978</v>
      </c>
      <c r="C223" s="2" t="str">
        <f>HYPERLINK("http://snap.windin.com/ns/bulletin.php?id=57823132&amp;type=1", "电光防爆:首次公开发行股票招股说明书(申报稿2014年6月5日报送)")</f>
        <v>电光防爆:首次公开发行股票招股说明书(申报稿2014年6月5日报送)</v>
      </c>
      <c r="D223" t="s">
        <v>6977</v>
      </c>
      <c r="E223" t="s">
        <v>4914</v>
      </c>
      <c r="F223" t="s">
        <v>4844</v>
      </c>
    </row>
    <row r="224" spans="1:6" x14ac:dyDescent="0.15">
      <c r="A224" s="1">
        <v>41799</v>
      </c>
      <c r="B224" t="s">
        <v>2979</v>
      </c>
      <c r="C224" s="2" t="str">
        <f>HYPERLINK("http://snap.windin.com/ns/bulletin.php?id=57823126&amp;type=1", "云南创新:首次公开发行股票招股说明书(申报稿2014年6月6日报送)")</f>
        <v>云南创新:首次公开发行股票招股说明书(申报稿2014年6月6日报送)</v>
      </c>
      <c r="D224" t="s">
        <v>6978</v>
      </c>
      <c r="E224" t="s">
        <v>4915</v>
      </c>
      <c r="F224" t="s">
        <v>4901</v>
      </c>
    </row>
    <row r="225" spans="1:6" x14ac:dyDescent="0.15">
      <c r="A225" s="1">
        <v>41799</v>
      </c>
      <c r="B225" t="s">
        <v>2980</v>
      </c>
      <c r="C225" s="2" t="str">
        <f>HYPERLINK("http://snap.windin.com/ns/bulletin.php?id=57823104&amp;type=1", "新晨科技:创业板首次公开发行股票招股说明书(申报稿2014年6月9日报送)")</f>
        <v>新晨科技:创业板首次公开发行股票招股说明书(申报稿2014年6月9日报送)</v>
      </c>
      <c r="D225" t="s">
        <v>6979</v>
      </c>
      <c r="E225" t="s">
        <v>4916</v>
      </c>
      <c r="F225" t="s">
        <v>4911</v>
      </c>
    </row>
    <row r="226" spans="1:6" x14ac:dyDescent="0.15">
      <c r="A226" s="1">
        <v>41799</v>
      </c>
      <c r="B226" t="s">
        <v>2981</v>
      </c>
      <c r="C226" s="2" t="str">
        <f>HYPERLINK("http://snap.windin.com/ns/bulletin.php?id=57823226&amp;type=1", "海利尔:首次公开发行股票招股说明书(申报稿2014年6月6日报送)")</f>
        <v>海利尔:首次公开发行股票招股说明书(申报稿2014年6月6日报送)</v>
      </c>
      <c r="D226" t="s">
        <v>6980</v>
      </c>
      <c r="E226" t="s">
        <v>4917</v>
      </c>
      <c r="F226" t="s">
        <v>4901</v>
      </c>
    </row>
    <row r="227" spans="1:6" x14ac:dyDescent="0.15">
      <c r="A227" s="1">
        <v>41799</v>
      </c>
      <c r="B227" t="s">
        <v>2982</v>
      </c>
      <c r="C227" s="2" t="str">
        <f>HYPERLINK("http://snap.windin.com/ns/bulletin.php?id=57823128&amp;type=1", "科利化工:首次公开发行股票招股说明书(申报稿2014年6月9日报送)")</f>
        <v>科利化工:首次公开发行股票招股说明书(申报稿2014年6月9日报送)</v>
      </c>
      <c r="D227" t="s">
        <v>6981</v>
      </c>
      <c r="E227" t="s">
        <v>4918</v>
      </c>
      <c r="F227" t="s">
        <v>4828</v>
      </c>
    </row>
    <row r="228" spans="1:6" x14ac:dyDescent="0.15">
      <c r="A228" s="1">
        <v>41799</v>
      </c>
      <c r="B228" t="s">
        <v>2983</v>
      </c>
      <c r="C228" s="2" t="str">
        <f>HYPERLINK("http://snap.windin.com/ns/bulletin.php?id=57823130&amp;type=1", "博世科:创业板首次公开发行股票招股说明书(申报稿2014年6月9日报送)")</f>
        <v>博世科:创业板首次公开发行股票招股说明书(申报稿2014年6月9日报送)</v>
      </c>
      <c r="D228" t="s">
        <v>6982</v>
      </c>
      <c r="E228" t="s">
        <v>4919</v>
      </c>
      <c r="F228" t="s">
        <v>4911</v>
      </c>
    </row>
    <row r="229" spans="1:6" x14ac:dyDescent="0.15">
      <c r="A229" s="1">
        <v>41799</v>
      </c>
      <c r="B229" t="s">
        <v>2984</v>
      </c>
      <c r="C229" s="2" t="str">
        <f>HYPERLINK("http://snap.windin.com/ns/bulletin.php?id=57823020&amp;type=1", "优创材料:创业板首次公开发行股票招股说明书(申报稿2014年6月9日报送)")</f>
        <v>优创材料:创业板首次公开发行股票招股说明书(申报稿2014年6月9日报送)</v>
      </c>
      <c r="D229" t="s">
        <v>6983</v>
      </c>
      <c r="E229" t="s">
        <v>4920</v>
      </c>
      <c r="F229" t="s">
        <v>4911</v>
      </c>
    </row>
    <row r="230" spans="1:6" x14ac:dyDescent="0.15">
      <c r="A230" s="1">
        <v>41799</v>
      </c>
      <c r="B230" t="s">
        <v>2985</v>
      </c>
      <c r="C230" s="2" t="str">
        <f>HYPERLINK("http://snap.windin.com/ns/bulletin.php?id=57823042&amp;type=1", "华迈股份:创业板首次公开发行股票招股说明书(申报稿2014年6月9日报送)")</f>
        <v>华迈股份:创业板首次公开发行股票招股说明书(申报稿2014年6月9日报送)</v>
      </c>
      <c r="D230" t="s">
        <v>6984</v>
      </c>
      <c r="E230" t="s">
        <v>4921</v>
      </c>
      <c r="F230" t="s">
        <v>4911</v>
      </c>
    </row>
    <row r="231" spans="1:6" x14ac:dyDescent="0.15">
      <c r="A231" s="1">
        <v>41796</v>
      </c>
      <c r="B231" t="s">
        <v>2880</v>
      </c>
      <c r="C231" s="2" t="str">
        <f>HYPERLINK("http://snap.windin.com/ns/bulletin.php?id=57353618&amp;type=1", "星网宇达:首次公开发行股票招股说明书(申报稿2014年5月22日报送)")</f>
        <v>星网宇达:首次公开发行股票招股说明书(申报稿2014年5月22日报送)</v>
      </c>
      <c r="D231" t="s">
        <v>6985</v>
      </c>
      <c r="E231" t="s">
        <v>4787</v>
      </c>
      <c r="F231" t="s">
        <v>4788</v>
      </c>
    </row>
    <row r="232" spans="1:6" x14ac:dyDescent="0.15">
      <c r="A232" s="1">
        <v>41796</v>
      </c>
      <c r="B232" t="s">
        <v>2986</v>
      </c>
      <c r="C232" s="2" t="str">
        <f>HYPERLINK("http://snap.windin.com/ns/bulletin.php?id=57353600&amp;type=1", "思华科技:首次公开发行股票招股说明书(申报稿2014年5月28日报送)")</f>
        <v>思华科技:首次公开发行股票招股说明书(申报稿2014年5月28日报送)</v>
      </c>
      <c r="D232" t="s">
        <v>6986</v>
      </c>
      <c r="E232" t="s">
        <v>4922</v>
      </c>
      <c r="F232" t="s">
        <v>4701</v>
      </c>
    </row>
    <row r="233" spans="1:6" x14ac:dyDescent="0.15">
      <c r="A233" s="1">
        <v>41796</v>
      </c>
      <c r="B233" t="s">
        <v>2987</v>
      </c>
      <c r="C233" s="2" t="str">
        <f>HYPERLINK("http://snap.windin.com/ns/bulletin.php?id=57353602&amp;type=1", "吉比特:首次公开发行股票招股说明书(申报稿2014年5月26日报送)")</f>
        <v>吉比特:首次公开发行股票招股说明书(申报稿2014年5月26日报送)</v>
      </c>
      <c r="D233" t="s">
        <v>6987</v>
      </c>
      <c r="E233" t="s">
        <v>4923</v>
      </c>
      <c r="F233" t="s">
        <v>4876</v>
      </c>
    </row>
    <row r="234" spans="1:6" x14ac:dyDescent="0.15">
      <c r="A234" s="1">
        <v>41796</v>
      </c>
      <c r="B234" t="s">
        <v>2988</v>
      </c>
      <c r="C234" s="2" t="str">
        <f>HYPERLINK("http://snap.windin.com/ns/bulletin.php?id=57353604&amp;type=1", "天鹅股份:首次公开发行股票招股说明书(申报稿2014年6月4日报送)")</f>
        <v>天鹅股份:首次公开发行股票招股说明书(申报稿2014年6月4日报送)</v>
      </c>
      <c r="D234" t="s">
        <v>6988</v>
      </c>
      <c r="E234" t="s">
        <v>4924</v>
      </c>
      <c r="F234" t="s">
        <v>4925</v>
      </c>
    </row>
    <row r="235" spans="1:6" x14ac:dyDescent="0.15">
      <c r="A235" s="1">
        <v>41796</v>
      </c>
      <c r="B235" t="s">
        <v>2989</v>
      </c>
      <c r="C235" s="2" t="str">
        <f>HYPERLINK("http://snap.windin.com/ns/bulletin.php?id=57353608&amp;type=1", "伟明环保:首次公开发行股票招股说明书(申报稿2014年6月6日报送)")</f>
        <v>伟明环保:首次公开发行股票招股说明书(申报稿2014年6月6日报送)</v>
      </c>
      <c r="D235" t="s">
        <v>6989</v>
      </c>
      <c r="E235" t="s">
        <v>4926</v>
      </c>
      <c r="F235" t="s">
        <v>4901</v>
      </c>
    </row>
    <row r="236" spans="1:6" x14ac:dyDescent="0.15">
      <c r="A236" s="1">
        <v>41796</v>
      </c>
      <c r="B236" t="s">
        <v>2990</v>
      </c>
      <c r="C236" s="2" t="str">
        <f>HYPERLINK("http://snap.windin.com/ns/bulletin.php?id=57353614&amp;type=1", "美联新材:创业板首次公开发行股票招股说明书(申报稿2014年5月28日报送)")</f>
        <v>美联新材:创业板首次公开发行股票招股说明书(申报稿2014年5月28日报送)</v>
      </c>
      <c r="D236" t="s">
        <v>6990</v>
      </c>
      <c r="E236" t="s">
        <v>4927</v>
      </c>
      <c r="F236" t="s">
        <v>4889</v>
      </c>
    </row>
    <row r="237" spans="1:6" x14ac:dyDescent="0.15">
      <c r="A237" s="1">
        <v>41796</v>
      </c>
      <c r="B237" t="s">
        <v>2991</v>
      </c>
      <c r="C237" s="2" t="str">
        <f>HYPERLINK("http://snap.windin.com/ns/bulletin.php?id=57353632&amp;type=1", "电魂网络:首次公开发行股票招股说明书(申报稿2014年5月23日报送)")</f>
        <v>电魂网络:首次公开发行股票招股说明书(申报稿2014年5月23日报送)</v>
      </c>
      <c r="D237" t="s">
        <v>6991</v>
      </c>
      <c r="E237" t="s">
        <v>4928</v>
      </c>
      <c r="F237" t="s">
        <v>4868</v>
      </c>
    </row>
    <row r="238" spans="1:6" x14ac:dyDescent="0.15">
      <c r="A238" s="1">
        <v>41796</v>
      </c>
      <c r="B238" t="s">
        <v>2992</v>
      </c>
      <c r="C238" s="2" t="str">
        <f>HYPERLINK("http://snap.windin.com/ns/bulletin.php?id=57353616&amp;type=1", "湘机油泵:首次公开发行股票招股说明书(申报稿2014年5月22日报送)")</f>
        <v>湘机油泵:首次公开发行股票招股说明书(申报稿2014年5月22日报送)</v>
      </c>
      <c r="D238" t="s">
        <v>6992</v>
      </c>
      <c r="E238" t="s">
        <v>4929</v>
      </c>
      <c r="F238" t="s">
        <v>4788</v>
      </c>
    </row>
    <row r="239" spans="1:6" x14ac:dyDescent="0.15">
      <c r="A239" s="1">
        <v>41796</v>
      </c>
      <c r="B239" t="s">
        <v>2993</v>
      </c>
      <c r="C239" s="2" t="str">
        <f>HYPERLINK("http://snap.windin.com/ns/bulletin.php?id=57353624&amp;type=1", "瑞特股份:创业板首次公开发行股票招股说明书(申报稿2014年5月22日报送)")</f>
        <v>瑞特股份:创业板首次公开发行股票招股说明书(申报稿2014年5月22日报送)</v>
      </c>
      <c r="D239" t="s">
        <v>6993</v>
      </c>
      <c r="E239" t="s">
        <v>4930</v>
      </c>
      <c r="F239" t="s">
        <v>4931</v>
      </c>
    </row>
    <row r="240" spans="1:6" x14ac:dyDescent="0.15">
      <c r="A240" s="1">
        <v>41796</v>
      </c>
      <c r="B240" t="s">
        <v>2994</v>
      </c>
      <c r="C240" s="2" t="str">
        <f>HYPERLINK("http://snap.windin.com/ns/bulletin.php?id=57353620&amp;type=1", "优德精密:创业板首次公开发行股票招股说明书(申报稿2014年6月6日报送)")</f>
        <v>优德精密:创业板首次公开发行股票招股说明书(申报稿2014年6月6日报送)</v>
      </c>
      <c r="D240" t="s">
        <v>6994</v>
      </c>
      <c r="E240" t="s">
        <v>4932</v>
      </c>
      <c r="F240" t="s">
        <v>4933</v>
      </c>
    </row>
    <row r="241" spans="1:6" x14ac:dyDescent="0.15">
      <c r="A241" s="1">
        <v>41795</v>
      </c>
      <c r="B241" t="s">
        <v>2995</v>
      </c>
      <c r="C241" s="2" t="str">
        <f>HYPERLINK("http://snap.windin.com/ns/bulletin.php?id=57345080&amp;type=1", "岱美股份:首次公开发行股票招股说明书(申报稿2014年5月19日报送)")</f>
        <v>岱美股份:首次公开发行股票招股说明书(申报稿2014年5月19日报送)</v>
      </c>
      <c r="D241" t="s">
        <v>6995</v>
      </c>
      <c r="E241" t="s">
        <v>4934</v>
      </c>
      <c r="F241" t="s">
        <v>4935</v>
      </c>
    </row>
    <row r="242" spans="1:6" x14ac:dyDescent="0.15">
      <c r="A242" s="1">
        <v>41795</v>
      </c>
      <c r="B242" t="s">
        <v>2996</v>
      </c>
      <c r="C242" s="2" t="str">
        <f>HYPERLINK("http://snap.windin.com/ns/bulletin.php?id=57345074&amp;type=1", "火炬电子:首次公开发行股票招股说明书(申报稿2014年5月30日报送)")</f>
        <v>火炬电子:首次公开发行股票招股说明书(申报稿2014年5月30日报送)</v>
      </c>
      <c r="D242" t="s">
        <v>6996</v>
      </c>
      <c r="E242" t="s">
        <v>4936</v>
      </c>
      <c r="F242" t="s">
        <v>4892</v>
      </c>
    </row>
    <row r="243" spans="1:6" x14ac:dyDescent="0.15">
      <c r="A243" s="1">
        <v>41795</v>
      </c>
      <c r="B243" t="s">
        <v>2997</v>
      </c>
      <c r="C243" s="2" t="str">
        <f>HYPERLINK("http://snap.windin.com/ns/bulletin.php?id=57345078&amp;type=1", "小康工业:首次公开发行股票招股说明书(申报稿2014年4月28日报送)")</f>
        <v>小康工业:首次公开发行股票招股说明书(申报稿2014年4月28日报送)</v>
      </c>
      <c r="D243" t="s">
        <v>6997</v>
      </c>
      <c r="E243" t="s">
        <v>4937</v>
      </c>
      <c r="F243" t="s">
        <v>4938</v>
      </c>
    </row>
    <row r="244" spans="1:6" x14ac:dyDescent="0.15">
      <c r="A244" s="1">
        <v>41794</v>
      </c>
      <c r="B244" t="s">
        <v>2998</v>
      </c>
      <c r="C244" s="2" t="str">
        <f>HYPERLINK("http://snap.windin.com/ns/bulletin.php?id=57334042&amp;type=1", "万孚生物:创业板首次公开发行股票招股说明书(申报稿2014年5月30日报送)")</f>
        <v>万孚生物:创业板首次公开发行股票招股说明书(申报稿2014年5月30日报送)</v>
      </c>
      <c r="D244" t="s">
        <v>6998</v>
      </c>
      <c r="E244" t="s">
        <v>4939</v>
      </c>
      <c r="F244" t="s">
        <v>4940</v>
      </c>
    </row>
    <row r="245" spans="1:6" x14ac:dyDescent="0.15">
      <c r="A245" s="1">
        <v>41794</v>
      </c>
      <c r="B245" t="s">
        <v>2999</v>
      </c>
      <c r="C245" s="2" t="str">
        <f>HYPERLINK("http://snap.windin.com/ns/bulletin.php?id=57333976&amp;type=1", "音飞储存:首次公开发行股票招股说明书(申报稿2014年5月30日报送)")</f>
        <v>音飞储存:首次公开发行股票招股说明书(申报稿2014年5月30日报送)</v>
      </c>
      <c r="D245" t="s">
        <v>6999</v>
      </c>
      <c r="E245" t="s">
        <v>4941</v>
      </c>
      <c r="F245" t="s">
        <v>4892</v>
      </c>
    </row>
    <row r="246" spans="1:6" x14ac:dyDescent="0.15">
      <c r="A246" s="1">
        <v>41794</v>
      </c>
      <c r="B246" t="s">
        <v>3000</v>
      </c>
      <c r="C246" s="2" t="str">
        <f>HYPERLINK("http://snap.windin.com/ns/bulletin.php?id=57333978&amp;type=1", "千禾味业:首次公开发行股票招股说明书(申报稿2014年5月30日报送)")</f>
        <v>千禾味业:首次公开发行股票招股说明书(申报稿2014年5月30日报送)</v>
      </c>
      <c r="D246" t="s">
        <v>7000</v>
      </c>
      <c r="E246" t="s">
        <v>4942</v>
      </c>
      <c r="F246" t="s">
        <v>4892</v>
      </c>
    </row>
    <row r="247" spans="1:6" x14ac:dyDescent="0.15">
      <c r="A247" s="1">
        <v>41794</v>
      </c>
      <c r="B247" t="s">
        <v>3001</v>
      </c>
      <c r="C247" s="2" t="str">
        <f>HYPERLINK("http://snap.windin.com/ns/bulletin.php?id=57334060&amp;type=1", "康德莱:首次公开发行股票招股说明书(申报稿2014年5月15日报送)")</f>
        <v>康德莱:首次公开发行股票招股说明书(申报稿2014年5月15日报送)</v>
      </c>
      <c r="D247" t="s">
        <v>7001</v>
      </c>
      <c r="E247" t="s">
        <v>4943</v>
      </c>
      <c r="F247" t="s">
        <v>4944</v>
      </c>
    </row>
    <row r="248" spans="1:6" x14ac:dyDescent="0.15">
      <c r="A248" s="1">
        <v>41794</v>
      </c>
      <c r="B248" t="s">
        <v>3002</v>
      </c>
      <c r="C248" s="2" t="str">
        <f>HYPERLINK("http://snap.windin.com/ns/bulletin.php?id=57333980&amp;type=1", "富祥药业:创业板首次公开发行股票招股说明书(申报稿2014年6月4日报送)")</f>
        <v>富祥药业:创业板首次公开发行股票招股说明书(申报稿2014年6月4日报送)</v>
      </c>
      <c r="D248" t="s">
        <v>7002</v>
      </c>
      <c r="E248" t="s">
        <v>4945</v>
      </c>
      <c r="F248" t="s">
        <v>4885</v>
      </c>
    </row>
    <row r="249" spans="1:6" x14ac:dyDescent="0.15">
      <c r="A249" s="1">
        <v>41793</v>
      </c>
      <c r="B249" t="s">
        <v>3003</v>
      </c>
      <c r="C249" s="2" t="str">
        <f>HYPERLINK("http://snap.windin.com/ns/bulletin.php?id=57321170&amp;type=1", "德尔股份:创业板首次公开发行股票招股说明书(申报稿2014年6月3日报送)")</f>
        <v>德尔股份:创业板首次公开发行股票招股说明书(申报稿2014年6月3日报送)</v>
      </c>
      <c r="D249" t="s">
        <v>7003</v>
      </c>
      <c r="E249" t="s">
        <v>4946</v>
      </c>
      <c r="F249" t="s">
        <v>4947</v>
      </c>
    </row>
    <row r="250" spans="1:6" x14ac:dyDescent="0.15">
      <c r="A250" s="1">
        <v>41793</v>
      </c>
      <c r="B250" t="s">
        <v>3004</v>
      </c>
      <c r="C250" s="2" t="str">
        <f>HYPERLINK("http://snap.windin.com/ns/bulletin.php?id=57321176&amp;type=1", "如通股份:首次公开发行股票招股说明书(申报稿2014年5月30日报送)")</f>
        <v>如通股份:首次公开发行股票招股说明书(申报稿2014年5月30日报送)</v>
      </c>
      <c r="D250" t="s">
        <v>7004</v>
      </c>
      <c r="E250" t="s">
        <v>4948</v>
      </c>
      <c r="F250" t="s">
        <v>4892</v>
      </c>
    </row>
    <row r="251" spans="1:6" x14ac:dyDescent="0.15">
      <c r="A251" s="1">
        <v>41793</v>
      </c>
      <c r="B251" t="s">
        <v>3005</v>
      </c>
      <c r="C251" s="2" t="str">
        <f>HYPERLINK("http://snap.windin.com/ns/bulletin.php?id=57321166&amp;type=1", "四通股份:首次公开发行股票招股说明书(申报稿2014年5月29日报送)")</f>
        <v>四通股份:首次公开发行股票招股说明书(申报稿2014年5月29日报送)</v>
      </c>
      <c r="D251" t="s">
        <v>7005</v>
      </c>
      <c r="E251" t="s">
        <v>4949</v>
      </c>
      <c r="F251" t="s">
        <v>4950</v>
      </c>
    </row>
    <row r="252" spans="1:6" x14ac:dyDescent="0.15">
      <c r="A252" s="1">
        <v>41793</v>
      </c>
      <c r="B252" t="s">
        <v>3006</v>
      </c>
      <c r="C252" s="2" t="str">
        <f>HYPERLINK("http://snap.windin.com/ns/bulletin.php?id=57321172&amp;type=1", "景嘉股份:创业板首次公开发行股票招股说明书(申报稿2014年6月3日报送)")</f>
        <v>景嘉股份:创业板首次公开发行股票招股说明书(申报稿2014年6月3日报送)</v>
      </c>
      <c r="D252" t="s">
        <v>7006</v>
      </c>
      <c r="E252" t="s">
        <v>4951</v>
      </c>
      <c r="F252" t="s">
        <v>4947</v>
      </c>
    </row>
    <row r="253" spans="1:6" x14ac:dyDescent="0.15">
      <c r="A253" s="1">
        <v>41793</v>
      </c>
      <c r="B253" t="s">
        <v>3007</v>
      </c>
      <c r="C253" s="2" t="str">
        <f>HYPERLINK("http://snap.windin.com/ns/bulletin.php?id=57321174&amp;type=1", "纵横通信:创业板首次公开发行股票招股说明书(申报稿2014年5月30日报送)")</f>
        <v>纵横通信:创业板首次公开发行股票招股说明书(申报稿2014年5月30日报送)</v>
      </c>
      <c r="D253" t="s">
        <v>7007</v>
      </c>
      <c r="E253" t="s">
        <v>4952</v>
      </c>
      <c r="F253" t="s">
        <v>4940</v>
      </c>
    </row>
    <row r="254" spans="1:6" x14ac:dyDescent="0.15">
      <c r="A254" s="1">
        <v>41793</v>
      </c>
      <c r="B254" t="s">
        <v>3008</v>
      </c>
      <c r="C254" s="2" t="str">
        <f>HYPERLINK("http://snap.windin.com/ns/bulletin.php?id=57321282&amp;type=1", "长泰股份:创业板首次公开发行股票招股说明书(申报稿2014年5月29日报送)")</f>
        <v>长泰股份:创业板首次公开发行股票招股说明书(申报稿2014年5月29日报送)</v>
      </c>
      <c r="D254" t="s">
        <v>7008</v>
      </c>
      <c r="E254" t="s">
        <v>4953</v>
      </c>
      <c r="F254" t="s">
        <v>4880</v>
      </c>
    </row>
    <row r="255" spans="1:6" x14ac:dyDescent="0.15">
      <c r="A255" s="1">
        <v>41793</v>
      </c>
      <c r="B255" t="s">
        <v>3009</v>
      </c>
      <c r="C255" s="2" t="str">
        <f>HYPERLINK("http://snap.windin.com/ns/bulletin.php?id=57321168&amp;type=1", "赛福天:首次公开发行股票招股说明书(申报稿2014年5月30日报送)")</f>
        <v>赛福天:首次公开发行股票招股说明书(申报稿2014年5月30日报送)</v>
      </c>
      <c r="D255" t="s">
        <v>7009</v>
      </c>
      <c r="E255" t="s">
        <v>4954</v>
      </c>
      <c r="F255" t="s">
        <v>4892</v>
      </c>
    </row>
    <row r="256" spans="1:6" x14ac:dyDescent="0.15">
      <c r="A256" s="1">
        <v>41789</v>
      </c>
      <c r="B256" t="s">
        <v>3010</v>
      </c>
      <c r="C256" s="2" t="str">
        <f>HYPERLINK("http://snap.windin.com/ns/bulletin.php?id=57303656&amp;type=1", "三维橡胶:首次公开发行股票招股说明书(申报稿2014年5月15日报送)")</f>
        <v>三维橡胶:首次公开发行股票招股说明书(申报稿2014年5月15日报送)</v>
      </c>
      <c r="D256" t="s">
        <v>7010</v>
      </c>
      <c r="E256" t="s">
        <v>4955</v>
      </c>
      <c r="F256" t="s">
        <v>4944</v>
      </c>
    </row>
    <row r="257" spans="1:6" x14ac:dyDescent="0.15">
      <c r="A257" s="1">
        <v>41789</v>
      </c>
      <c r="B257" t="s">
        <v>3011</v>
      </c>
      <c r="C257" s="2" t="str">
        <f>HYPERLINK("http://snap.windin.com/ns/bulletin.php?id=57303620&amp;type=1", "苏试股份:创业板首次公开发行股票招股说明书(申报稿2014年5月23日报送)")</f>
        <v>苏试股份:创业板首次公开发行股票招股说明书(申报稿2014年5月23日报送)</v>
      </c>
      <c r="D257" t="s">
        <v>7011</v>
      </c>
      <c r="E257" t="s">
        <v>4956</v>
      </c>
      <c r="F257" t="s">
        <v>4957</v>
      </c>
    </row>
    <row r="258" spans="1:6" x14ac:dyDescent="0.15">
      <c r="A258" s="1">
        <v>41789</v>
      </c>
      <c r="B258" t="s">
        <v>3012</v>
      </c>
      <c r="C258" s="2" t="str">
        <f>HYPERLINK("http://snap.windin.com/ns/bulletin.php?id=57303630&amp;type=1", "暴风科技:创业板首次公开发行股票招股说明书(申报稿2014年5月30日报送)")</f>
        <v>暴风科技:创业板首次公开发行股票招股说明书(申报稿2014年5月30日报送)</v>
      </c>
      <c r="D258" t="s">
        <v>7012</v>
      </c>
      <c r="E258" t="s">
        <v>4958</v>
      </c>
      <c r="F258" t="s">
        <v>4940</v>
      </c>
    </row>
    <row r="259" spans="1:6" x14ac:dyDescent="0.15">
      <c r="A259" s="1">
        <v>41789</v>
      </c>
      <c r="B259" t="s">
        <v>2783</v>
      </c>
      <c r="C259" s="2" t="str">
        <f>HYPERLINK("http://snap.windin.com/ns/bulletin.php?id=57303640&amp;type=1", "兰石重型:首次公开发行股票招股说明书(申报稿2014年5月30日报送)")</f>
        <v>兰石重型:首次公开发行股票招股说明书(申报稿2014年5月30日报送)</v>
      </c>
      <c r="D259" t="s">
        <v>7013</v>
      </c>
      <c r="E259" t="s">
        <v>4643</v>
      </c>
      <c r="F259" t="s">
        <v>4892</v>
      </c>
    </row>
    <row r="260" spans="1:6" x14ac:dyDescent="0.15">
      <c r="A260" s="1">
        <v>41789</v>
      </c>
      <c r="B260" t="s">
        <v>3013</v>
      </c>
      <c r="C260" s="2" t="str">
        <f>HYPERLINK("http://snap.windin.com/ns/bulletin.php?id=57303636&amp;type=1", "知音传媒:首次公开发行股票招股说明书(申报稿2014年5月30日报送)")</f>
        <v>知音传媒:首次公开发行股票招股说明书(申报稿2014年5月30日报送)</v>
      </c>
      <c r="D260" t="s">
        <v>7014</v>
      </c>
      <c r="E260" t="s">
        <v>4959</v>
      </c>
      <c r="F260" t="s">
        <v>4892</v>
      </c>
    </row>
    <row r="261" spans="1:6" x14ac:dyDescent="0.15">
      <c r="A261" s="1">
        <v>41789</v>
      </c>
      <c r="B261" t="s">
        <v>3014</v>
      </c>
      <c r="C261" s="2" t="str">
        <f>HYPERLINK("http://snap.windin.com/ns/bulletin.php?id=57303626&amp;type=1", "鲁亿通:创业板首次公开发行股票招股说明书(申报稿2014年5月30日报送)")</f>
        <v>鲁亿通:创业板首次公开发行股票招股说明书(申报稿2014年5月30日报送)</v>
      </c>
      <c r="D261" t="s">
        <v>7015</v>
      </c>
      <c r="E261" t="s">
        <v>4960</v>
      </c>
      <c r="F261" t="s">
        <v>4940</v>
      </c>
    </row>
    <row r="262" spans="1:6" x14ac:dyDescent="0.15">
      <c r="A262" s="1">
        <v>41789</v>
      </c>
      <c r="B262" t="s">
        <v>3015</v>
      </c>
      <c r="C262" s="2" t="str">
        <f>HYPERLINK("http://snap.windin.com/ns/bulletin.php?id=57303628&amp;type=1", "博天环境:首次公开发行股票招股说明书(申报稿2014年5月16日报送)")</f>
        <v>博天环境:首次公开发行股票招股说明书(申报稿2014年5月16日报送)</v>
      </c>
      <c r="D262" t="s">
        <v>7016</v>
      </c>
      <c r="E262" t="s">
        <v>4961</v>
      </c>
      <c r="F262" t="s">
        <v>4962</v>
      </c>
    </row>
    <row r="263" spans="1:6" x14ac:dyDescent="0.15">
      <c r="A263" s="1">
        <v>41789</v>
      </c>
      <c r="B263" t="s">
        <v>3016</v>
      </c>
      <c r="C263" s="2" t="str">
        <f>HYPERLINK("http://snap.windin.com/ns/bulletin.php?id=57303634&amp;type=1", "江苏丹毛:首次公开发行股票招股说明书(申报稿2014年4月24日报送)")</f>
        <v>江苏丹毛:首次公开发行股票招股说明书(申报稿2014年4月24日报送)</v>
      </c>
      <c r="D263" t="s">
        <v>7017</v>
      </c>
      <c r="E263" t="s">
        <v>4963</v>
      </c>
      <c r="F263" t="s">
        <v>4690</v>
      </c>
    </row>
    <row r="264" spans="1:6" x14ac:dyDescent="0.15">
      <c r="A264" s="1">
        <v>41789</v>
      </c>
      <c r="B264" t="s">
        <v>3017</v>
      </c>
      <c r="C264" s="2" t="str">
        <f>HYPERLINK("http://snap.windin.com/ns/bulletin.php?id=57303654&amp;type=1", "金海环境:首次公开发行股票招股说明书(申报稿2014年4月28日报送)")</f>
        <v>金海环境:首次公开发行股票招股说明书(申报稿2014年4月28日报送)</v>
      </c>
      <c r="D264" t="s">
        <v>7018</v>
      </c>
      <c r="E264" t="s">
        <v>4964</v>
      </c>
      <c r="F264" t="s">
        <v>4938</v>
      </c>
    </row>
    <row r="265" spans="1:6" x14ac:dyDescent="0.15">
      <c r="A265" s="1">
        <v>41789</v>
      </c>
      <c r="B265" t="s">
        <v>3018</v>
      </c>
      <c r="C265" s="2" t="str">
        <f>HYPERLINK("http://snap.windin.com/ns/bulletin.php?id=57303652&amp;type=1", "广信材料:创业板首次公开发行股票招股说明书(申报稿2014年5月21日报送)")</f>
        <v>广信材料:创业板首次公开发行股票招股说明书(申报稿2014年5月21日报送)</v>
      </c>
      <c r="D265" t="s">
        <v>7019</v>
      </c>
      <c r="E265" t="s">
        <v>4965</v>
      </c>
      <c r="F265" t="s">
        <v>4966</v>
      </c>
    </row>
    <row r="266" spans="1:6" x14ac:dyDescent="0.15">
      <c r="A266" s="1">
        <v>41789</v>
      </c>
      <c r="B266" t="s">
        <v>3019</v>
      </c>
      <c r="C266" s="2" t="str">
        <f>HYPERLINK("http://snap.windin.com/ns/bulletin.php?id=57303646&amp;type=1", "能科股份:首次公开发行股票招股说明书(申报稿2014年05月19日报送)")</f>
        <v>能科股份:首次公开发行股票招股说明书(申报稿2014年05月19日报送)</v>
      </c>
      <c r="D266" t="s">
        <v>7020</v>
      </c>
      <c r="E266" t="s">
        <v>4967</v>
      </c>
      <c r="F266" t="s">
        <v>4968</v>
      </c>
    </row>
    <row r="267" spans="1:6" x14ac:dyDescent="0.15">
      <c r="A267" s="1">
        <v>41789</v>
      </c>
      <c r="B267" t="s">
        <v>3020</v>
      </c>
      <c r="C267" s="2" t="str">
        <f>HYPERLINK("http://snap.windin.com/ns/bulletin.php?id=57303642&amp;type=1", "美芝股份:首次公开发行股票招股说明书(申报稿2014年5月19日报送)")</f>
        <v>美芝股份:首次公开发行股票招股说明书(申报稿2014年5月19日报送)</v>
      </c>
      <c r="D267" t="s">
        <v>7021</v>
      </c>
      <c r="E267" t="s">
        <v>4969</v>
      </c>
      <c r="F267" t="s">
        <v>4935</v>
      </c>
    </row>
    <row r="268" spans="1:6" x14ac:dyDescent="0.15">
      <c r="A268" s="1">
        <v>41789</v>
      </c>
      <c r="B268" t="s">
        <v>3021</v>
      </c>
      <c r="C268" s="2" t="str">
        <f>HYPERLINK("http://snap.windin.com/ns/bulletin.php?id=57303624&amp;type=1", "安车检测:创业板首次公开发行股票招股说明书(申报稿2014年5月16日报送)")</f>
        <v>安车检测:创业板首次公开发行股票招股说明书(申报稿2014年5月16日报送)</v>
      </c>
      <c r="D268" t="s">
        <v>7022</v>
      </c>
      <c r="E268" t="s">
        <v>4970</v>
      </c>
      <c r="F268" t="s">
        <v>4971</v>
      </c>
    </row>
    <row r="269" spans="1:6" x14ac:dyDescent="0.15">
      <c r="A269" s="1">
        <v>41789</v>
      </c>
      <c r="B269" t="s">
        <v>3022</v>
      </c>
      <c r="C269" s="2" t="str">
        <f>HYPERLINK("http://snap.windin.com/ns/bulletin.php?id=57303644&amp;type=1", "川金象:首次公开发行股票招股说明书(申报稿2014年5月30日报送)")</f>
        <v>川金象:首次公开发行股票招股说明书(申报稿2014年5月30日报送)</v>
      </c>
      <c r="D269" t="s">
        <v>7023</v>
      </c>
      <c r="E269" t="s">
        <v>4972</v>
      </c>
      <c r="F269" t="s">
        <v>4892</v>
      </c>
    </row>
    <row r="270" spans="1:6" x14ac:dyDescent="0.15">
      <c r="A270" s="1">
        <v>41789</v>
      </c>
      <c r="B270" t="s">
        <v>3023</v>
      </c>
      <c r="C270" s="2" t="str">
        <f>HYPERLINK("http://snap.windin.com/ns/bulletin.php?id=57303648&amp;type=1", "众兴菌业:首次公开发行股票招股说明书(申报稿2014年5月29日报送)")</f>
        <v>众兴菌业:首次公开发行股票招股说明书(申报稿2014年5月29日报送)</v>
      </c>
      <c r="D270" t="s">
        <v>7024</v>
      </c>
      <c r="E270" t="s">
        <v>4973</v>
      </c>
      <c r="F270" t="s">
        <v>4950</v>
      </c>
    </row>
    <row r="271" spans="1:6" x14ac:dyDescent="0.15">
      <c r="A271" s="1">
        <v>41789</v>
      </c>
      <c r="B271" t="s">
        <v>3024</v>
      </c>
      <c r="C271" s="2" t="str">
        <f>HYPERLINK("http://snap.windin.com/ns/bulletin.php?id=57303622&amp;type=1", "四方精创:创业板首次公开发行股票招股说明书(申报稿2014年5月29日报送)")</f>
        <v>四方精创:创业板首次公开发行股票招股说明书(申报稿2014年5月29日报送)</v>
      </c>
      <c r="D271" t="s">
        <v>7025</v>
      </c>
      <c r="E271" t="s">
        <v>4974</v>
      </c>
      <c r="F271" t="s">
        <v>4880</v>
      </c>
    </row>
    <row r="272" spans="1:6" x14ac:dyDescent="0.15">
      <c r="A272" s="1">
        <v>41789</v>
      </c>
      <c r="B272" t="s">
        <v>3025</v>
      </c>
      <c r="C272" s="2" t="str">
        <f>HYPERLINK("http://snap.windin.com/ns/bulletin.php?id=57303638&amp;type=1", "武进不锈:首次公开发行股票招股说明书(申报稿2013年5月20日报送)")</f>
        <v>武进不锈:首次公开发行股票招股说明书(申报稿2013年5月20日报送)</v>
      </c>
      <c r="D272" t="s">
        <v>7026</v>
      </c>
      <c r="E272" t="s">
        <v>4975</v>
      </c>
      <c r="F272" t="s">
        <v>4976</v>
      </c>
    </row>
    <row r="273" spans="1:6" x14ac:dyDescent="0.15">
      <c r="A273" s="1">
        <v>41789</v>
      </c>
      <c r="B273" t="s">
        <v>3026</v>
      </c>
      <c r="C273" s="2" t="str">
        <f>HYPERLINK("http://snap.windin.com/ns/bulletin.php?id=57303650&amp;type=1", "贝肯能源:首次公开发行股票招股说明书(申报稿2014年5月20日报送)")</f>
        <v>贝肯能源:首次公开发行股票招股说明书(申报稿2014年5月20日报送)</v>
      </c>
      <c r="D273" t="s">
        <v>7027</v>
      </c>
      <c r="E273" t="s">
        <v>4977</v>
      </c>
      <c r="F273" t="s">
        <v>4978</v>
      </c>
    </row>
    <row r="274" spans="1:6" x14ac:dyDescent="0.15">
      <c r="A274" s="1">
        <v>41789</v>
      </c>
      <c r="B274" t="s">
        <v>3027</v>
      </c>
      <c r="C274" s="2" t="str">
        <f>HYPERLINK("http://snap.windin.com/ns/bulletin.php?id=57303618&amp;type=1", "田中精机:创业板首次公开发行股票招股说明书(申报稿2014年5月29日报送)")</f>
        <v>田中精机:创业板首次公开发行股票招股说明书(申报稿2014年5月29日报送)</v>
      </c>
      <c r="D274" t="s">
        <v>7028</v>
      </c>
      <c r="E274" t="s">
        <v>4979</v>
      </c>
      <c r="F274" t="s">
        <v>4880</v>
      </c>
    </row>
    <row r="275" spans="1:6" x14ac:dyDescent="0.15">
      <c r="A275" s="1">
        <v>41789</v>
      </c>
      <c r="B275" t="s">
        <v>3028</v>
      </c>
      <c r="C275" s="2" t="str">
        <f>HYPERLINK("http://snap.windin.com/ns/bulletin.php?id=57303632&amp;type=1", "华懋新材:首次公开发行股票招股说明书(申报稿2014年5月19日报送)")</f>
        <v>华懋新材:首次公开发行股票招股说明书(申报稿2014年5月19日报送)</v>
      </c>
      <c r="D275" t="s">
        <v>7029</v>
      </c>
      <c r="E275" t="s">
        <v>4657</v>
      </c>
      <c r="F275" t="s">
        <v>4935</v>
      </c>
    </row>
    <row r="276" spans="1:6" x14ac:dyDescent="0.15">
      <c r="A276" s="1">
        <v>41788</v>
      </c>
      <c r="B276" t="s">
        <v>3029</v>
      </c>
      <c r="C276" s="2" t="str">
        <f>HYPERLINK("http://snap.windin.com/ns/bulletin.php?id=57292866&amp;type=1", "高科石化:首次公开发行股票招股说明书(申报稿2014年5月16日报送)")</f>
        <v>高科石化:首次公开发行股票招股说明书(申报稿2014年5月16日报送)</v>
      </c>
      <c r="D276" t="s">
        <v>7030</v>
      </c>
      <c r="E276" t="s">
        <v>4980</v>
      </c>
      <c r="F276" t="s">
        <v>4962</v>
      </c>
    </row>
    <row r="277" spans="1:6" x14ac:dyDescent="0.15">
      <c r="A277" s="1">
        <v>41788</v>
      </c>
      <c r="B277" t="s">
        <v>3030</v>
      </c>
      <c r="C277" s="2" t="str">
        <f>HYPERLINK("http://snap.windin.com/ns/bulletin.php?id=57292876&amp;type=1", "益丰股份:首次公开发行股票招股说明书(申报稿2014年5月16日报送)")</f>
        <v>益丰股份:首次公开发行股票招股说明书(申报稿2014年5月16日报送)</v>
      </c>
      <c r="D277" t="s">
        <v>7031</v>
      </c>
      <c r="E277" t="s">
        <v>4981</v>
      </c>
      <c r="F277" t="s">
        <v>4962</v>
      </c>
    </row>
    <row r="278" spans="1:6" x14ac:dyDescent="0.15">
      <c r="A278" s="1">
        <v>41788</v>
      </c>
      <c r="B278" t="s">
        <v>3031</v>
      </c>
      <c r="C278" s="2" t="str">
        <f>HYPERLINK("http://snap.windin.com/ns/bulletin.php?id=57293978&amp;type=1", "耐威科技:创业板首次公开发行股票招股说明书(申报稿2014年5月28日报送)")</f>
        <v>耐威科技:创业板首次公开发行股票招股说明书(申报稿2014年5月28日报送)</v>
      </c>
      <c r="D278" t="s">
        <v>7032</v>
      </c>
      <c r="E278" t="s">
        <v>4982</v>
      </c>
      <c r="F278" t="s">
        <v>4889</v>
      </c>
    </row>
    <row r="279" spans="1:6" x14ac:dyDescent="0.15">
      <c r="A279" s="1">
        <v>41788</v>
      </c>
      <c r="B279" t="s">
        <v>3032</v>
      </c>
      <c r="C279" s="2" t="str">
        <f>HYPERLINK("http://snap.windin.com/ns/bulletin.php?id=57294332&amp;type=1", "吉宏股份:首次公开发行股票招股说明书(申报稿2014年5月28日报送)")</f>
        <v>吉宏股份:首次公开发行股票招股说明书(申报稿2014年5月28日报送)</v>
      </c>
      <c r="D279" t="s">
        <v>7033</v>
      </c>
      <c r="E279" t="s">
        <v>4983</v>
      </c>
      <c r="F279" t="s">
        <v>4701</v>
      </c>
    </row>
    <row r="280" spans="1:6" x14ac:dyDescent="0.15">
      <c r="A280" s="1">
        <v>41787</v>
      </c>
      <c r="B280" t="s">
        <v>3033</v>
      </c>
      <c r="C280" s="2" t="str">
        <f>HYPERLINK("http://snap.windin.com/ns/bulletin.php?id=57281894&amp;type=1", "爱普香料:首次公开发行股票招股说明书(申报稿2014年5月20日报送)")</f>
        <v>爱普香料:首次公开发行股票招股说明书(申报稿2014年5月20日报送)</v>
      </c>
      <c r="D280" t="s">
        <v>7034</v>
      </c>
      <c r="E280" t="s">
        <v>4984</v>
      </c>
      <c r="F280" t="s">
        <v>4978</v>
      </c>
    </row>
    <row r="281" spans="1:6" x14ac:dyDescent="0.15">
      <c r="A281" s="1">
        <v>41787</v>
      </c>
      <c r="B281" t="s">
        <v>3034</v>
      </c>
      <c r="C281" s="2" t="str">
        <f>HYPERLINK("http://snap.windin.com/ns/bulletin.php?id=57281904&amp;type=1", "博济医药:创业板首次公开发行股票招股说明书(申报稿2014年5月28日报送)")</f>
        <v>博济医药:创业板首次公开发行股票招股说明书(申报稿2014年5月28日报送)</v>
      </c>
      <c r="D281" t="s">
        <v>7035</v>
      </c>
      <c r="E281" t="s">
        <v>4985</v>
      </c>
      <c r="F281" t="s">
        <v>4889</v>
      </c>
    </row>
    <row r="282" spans="1:6" x14ac:dyDescent="0.15">
      <c r="A282" s="1">
        <v>41787</v>
      </c>
      <c r="B282" t="s">
        <v>3035</v>
      </c>
      <c r="C282" s="2" t="str">
        <f>HYPERLINK("http://snap.windin.com/ns/bulletin.php?id=57281892&amp;type=1", "银海软件:首次公开发行股票招股说明书(申报稿2014年5月19日报送)")</f>
        <v>银海软件:首次公开发行股票招股说明书(申报稿2014年5月19日报送)</v>
      </c>
      <c r="D282" t="s">
        <v>7036</v>
      </c>
      <c r="E282" t="s">
        <v>4986</v>
      </c>
      <c r="F282" t="s">
        <v>4935</v>
      </c>
    </row>
    <row r="283" spans="1:6" x14ac:dyDescent="0.15">
      <c r="A283" s="1">
        <v>41787</v>
      </c>
      <c r="B283" t="s">
        <v>3036</v>
      </c>
      <c r="C283" s="2" t="str">
        <f>HYPERLINK("http://snap.windin.com/ns/bulletin.php?id=57281890&amp;type=1", "四方冷链:首次公开发行股票招股说明书(申报稿2014年5月27日报送)")</f>
        <v>四方冷链:首次公开发行股票招股说明书(申报稿2014年5月27日报送)</v>
      </c>
      <c r="D283" t="s">
        <v>7037</v>
      </c>
      <c r="E283" t="s">
        <v>4987</v>
      </c>
      <c r="F283" t="s">
        <v>4688</v>
      </c>
    </row>
    <row r="284" spans="1:6" x14ac:dyDescent="0.15">
      <c r="A284" s="1">
        <v>41787</v>
      </c>
      <c r="B284" t="s">
        <v>3037</v>
      </c>
      <c r="C284" s="2" t="str">
        <f>HYPERLINK("http://snap.windin.com/ns/bulletin.php?id=57281896&amp;type=1", "迎驾贡酒:首次公开发行股票招股说明书(申报稿2014年5月27日报送)")</f>
        <v>迎驾贡酒:首次公开发行股票招股说明书(申报稿2014年5月27日报送)</v>
      </c>
      <c r="D284" t="s">
        <v>7038</v>
      </c>
      <c r="E284" t="s">
        <v>4988</v>
      </c>
      <c r="F284" t="s">
        <v>4688</v>
      </c>
    </row>
    <row r="285" spans="1:6" x14ac:dyDescent="0.15">
      <c r="A285" s="1">
        <v>41787</v>
      </c>
      <c r="B285" t="s">
        <v>3038</v>
      </c>
      <c r="C285" s="2" t="str">
        <f>HYPERLINK("http://snap.windin.com/ns/bulletin.php?id=57281900&amp;type=1", "泰晶科技:首次公开发行股票招股说明书(申报稿2014年5月26日报送)")</f>
        <v>泰晶科技:首次公开发行股票招股说明书(申报稿2014年5月26日报送)</v>
      </c>
      <c r="D285" t="s">
        <v>7039</v>
      </c>
      <c r="E285" t="s">
        <v>4989</v>
      </c>
      <c r="F285" t="s">
        <v>4876</v>
      </c>
    </row>
    <row r="286" spans="1:6" x14ac:dyDescent="0.15">
      <c r="A286" s="1">
        <v>41787</v>
      </c>
      <c r="B286" t="s">
        <v>3039</v>
      </c>
      <c r="C286" s="2" t="str">
        <f>HYPERLINK("http://snap.windin.com/ns/bulletin.php?id=57281924&amp;type=1", "幸福蓝海:创业板首次公开发行股票招股说明书(申报稿2014年5月27日报送)")</f>
        <v>幸福蓝海:创业板首次公开发行股票招股说明书(申报稿2014年5月27日报送)</v>
      </c>
      <c r="D286" t="s">
        <v>7040</v>
      </c>
      <c r="E286" t="s">
        <v>4990</v>
      </c>
      <c r="F286" t="s">
        <v>4991</v>
      </c>
    </row>
    <row r="287" spans="1:6" x14ac:dyDescent="0.15">
      <c r="A287" s="1">
        <v>41787</v>
      </c>
      <c r="B287" t="s">
        <v>3040</v>
      </c>
      <c r="C287" s="2" t="str">
        <f>HYPERLINK("http://snap.windin.com/ns/bulletin.php?id=57281906&amp;type=1", "赛升药业:创业板首次公开发行股票招股说明书(申报稿2014年5月28日报送)")</f>
        <v>赛升药业:创业板首次公开发行股票招股说明书(申报稿2014年5月28日报送)</v>
      </c>
      <c r="D287" t="s">
        <v>7041</v>
      </c>
      <c r="E287" t="s">
        <v>4992</v>
      </c>
      <c r="F287" t="s">
        <v>4889</v>
      </c>
    </row>
    <row r="288" spans="1:6" x14ac:dyDescent="0.15">
      <c r="A288" s="1">
        <v>41787</v>
      </c>
      <c r="B288" t="s">
        <v>3041</v>
      </c>
      <c r="C288" s="2" t="str">
        <f>HYPERLINK("http://snap.windin.com/ns/bulletin.php?id=57281902&amp;type=1", "哈森股份:首次公开发行股票招股说明书(申报稿2014年5月26日报送)")</f>
        <v>哈森股份:首次公开发行股票招股说明书(申报稿2014年5月26日报送)</v>
      </c>
      <c r="D288" t="s">
        <v>7042</v>
      </c>
      <c r="E288" t="s">
        <v>4993</v>
      </c>
      <c r="F288" t="s">
        <v>4876</v>
      </c>
    </row>
    <row r="289" spans="1:6" x14ac:dyDescent="0.15">
      <c r="A289" s="1">
        <v>41787</v>
      </c>
      <c r="B289" t="s">
        <v>3042</v>
      </c>
      <c r="C289" s="2" t="str">
        <f>HYPERLINK("http://snap.windin.com/ns/bulletin.php?id=57281886&amp;type=1", "天龙股份:首次公开发行股票招股说明书(申报稿2014年5月13日报送)")</f>
        <v>天龙股份:首次公开发行股票招股说明书(申报稿2014年5月13日报送)</v>
      </c>
      <c r="D289" t="s">
        <v>7043</v>
      </c>
      <c r="E289" t="s">
        <v>4994</v>
      </c>
      <c r="F289" t="s">
        <v>4995</v>
      </c>
    </row>
    <row r="290" spans="1:6" x14ac:dyDescent="0.15">
      <c r="A290" s="1">
        <v>41787</v>
      </c>
      <c r="B290" t="s">
        <v>2763</v>
      </c>
      <c r="C290" s="2" t="str">
        <f>HYPERLINK("http://snap.windin.com/ns/bulletin.php?id=57281888&amp;type=1", "萃华股份:首次公开发行股票招股说明书(申报稿2014年5月26日报送)")</f>
        <v>萃华股份:首次公开发行股票招股说明书(申报稿2014年5月26日报送)</v>
      </c>
      <c r="D290" t="s">
        <v>7044</v>
      </c>
      <c r="E290" t="s">
        <v>4612</v>
      </c>
      <c r="F290" t="s">
        <v>4876</v>
      </c>
    </row>
    <row r="291" spans="1:6" x14ac:dyDescent="0.15">
      <c r="A291" s="1">
        <v>41787</v>
      </c>
      <c r="B291" t="s">
        <v>3043</v>
      </c>
      <c r="C291" s="2" t="str">
        <f>HYPERLINK("http://snap.windin.com/ns/bulletin.php?id=57281910&amp;type=1", "普丽盛:创业板首次公开发行股票招股说明书(申报稿2014年5月28日报送)")</f>
        <v>普丽盛:创业板首次公开发行股票招股说明书(申报稿2014年5月28日报送)</v>
      </c>
      <c r="D291" t="s">
        <v>7045</v>
      </c>
      <c r="E291" t="s">
        <v>4996</v>
      </c>
      <c r="F291" t="s">
        <v>4889</v>
      </c>
    </row>
    <row r="292" spans="1:6" x14ac:dyDescent="0.15">
      <c r="A292" s="1">
        <v>41787</v>
      </c>
      <c r="B292" t="s">
        <v>3044</v>
      </c>
      <c r="C292" s="2" t="str">
        <f>HYPERLINK("http://snap.windin.com/ns/bulletin.php?id=57281898&amp;type=1", "国芳集团:首次公开发行股票招股说明书(申报稿2014年5月28日报送)")</f>
        <v>国芳集团:首次公开发行股票招股说明书(申报稿2014年5月28日报送)</v>
      </c>
      <c r="D292" t="s">
        <v>7046</v>
      </c>
      <c r="E292" t="s">
        <v>4997</v>
      </c>
      <c r="F292" t="s">
        <v>4701</v>
      </c>
    </row>
    <row r="293" spans="1:6" x14ac:dyDescent="0.15">
      <c r="A293" s="1">
        <v>41787</v>
      </c>
      <c r="B293" t="s">
        <v>3045</v>
      </c>
      <c r="C293" s="2" t="str">
        <f>HYPERLINK("http://snap.windin.com/ns/bulletin.php?id=57281920&amp;type=1", "丽晶光电:创业板首次公开发行股票招股说明书(申报稿2014年5月27日报送)")</f>
        <v>丽晶光电:创业板首次公开发行股票招股说明书(申报稿2014年5月27日报送)</v>
      </c>
      <c r="D293" t="s">
        <v>7047</v>
      </c>
      <c r="E293" t="s">
        <v>4998</v>
      </c>
      <c r="F293" t="s">
        <v>4991</v>
      </c>
    </row>
    <row r="294" spans="1:6" x14ac:dyDescent="0.15">
      <c r="A294" s="1">
        <v>41786</v>
      </c>
      <c r="B294" t="s">
        <v>3046</v>
      </c>
      <c r="C294" s="2" t="str">
        <f>HYPERLINK("http://snap.windin.com/ns/bulletin.php?id=56810306&amp;type=1", "天成自控:首次公开发行股票招股说明书(申报稿2014年5月16日报送)")</f>
        <v>天成自控:首次公开发行股票招股说明书(申报稿2014年5月16日报送)</v>
      </c>
      <c r="D294" t="s">
        <v>7048</v>
      </c>
      <c r="E294" t="s">
        <v>4999</v>
      </c>
      <c r="F294" t="s">
        <v>4962</v>
      </c>
    </row>
    <row r="295" spans="1:6" x14ac:dyDescent="0.15">
      <c r="A295" s="1">
        <v>41786</v>
      </c>
      <c r="B295" t="s">
        <v>3047</v>
      </c>
      <c r="C295" s="2" t="str">
        <f>HYPERLINK("http://snap.windin.com/ns/bulletin.php?id=56810284&amp;type=1", "科大国创:创业板首次公开发行股票招股说明书(申报稿2014年5月26日报送)")</f>
        <v>科大国创:创业板首次公开发行股票招股说明书(申报稿2014年5月26日报送)</v>
      </c>
      <c r="D295" t="s">
        <v>7049</v>
      </c>
      <c r="E295" t="s">
        <v>5000</v>
      </c>
      <c r="F295" t="s">
        <v>5001</v>
      </c>
    </row>
    <row r="296" spans="1:6" x14ac:dyDescent="0.15">
      <c r="A296" s="1">
        <v>41786</v>
      </c>
      <c r="B296" t="s">
        <v>3048</v>
      </c>
      <c r="C296" s="2" t="str">
        <f>HYPERLINK("http://snap.windin.com/ns/bulletin.php?id=56810282&amp;type=1", "东方时尚:首次公开发行股票招股说明书(申报稿2014年5月19日报送)")</f>
        <v>东方时尚:首次公开发行股票招股说明书(申报稿2014年5月19日报送)</v>
      </c>
      <c r="D296" t="s">
        <v>7050</v>
      </c>
      <c r="E296" t="s">
        <v>5002</v>
      </c>
      <c r="F296" t="s">
        <v>4935</v>
      </c>
    </row>
    <row r="297" spans="1:6" x14ac:dyDescent="0.15">
      <c r="A297" s="1">
        <v>41786</v>
      </c>
      <c r="B297" t="s">
        <v>3049</v>
      </c>
      <c r="C297" s="2" t="str">
        <f>HYPERLINK("http://snap.windin.com/ns/bulletin.php?id=56810280&amp;type=1", "沪工股份:首次公开发行股票招股说明书(申报稿2014年5月23日报送)")</f>
        <v>沪工股份:首次公开发行股票招股说明书(申报稿2014年5月23日报送)</v>
      </c>
      <c r="D297" t="s">
        <v>7051</v>
      </c>
      <c r="E297" t="s">
        <v>5003</v>
      </c>
      <c r="F297" t="s">
        <v>4868</v>
      </c>
    </row>
    <row r="298" spans="1:6" x14ac:dyDescent="0.15">
      <c r="A298" s="1">
        <v>41786</v>
      </c>
      <c r="B298" t="s">
        <v>3050</v>
      </c>
      <c r="C298" s="2" t="str">
        <f>HYPERLINK("http://snap.windin.com/ns/bulletin.php?id=56810258&amp;type=1", "松发陶瓷:首次公开发行股票招股说明书(申报稿2014年5月26日报送)")</f>
        <v>松发陶瓷:首次公开发行股票招股说明书(申报稿2014年5月26日报送)</v>
      </c>
      <c r="D298" t="s">
        <v>7052</v>
      </c>
      <c r="E298" t="s">
        <v>5004</v>
      </c>
      <c r="F298" t="s">
        <v>4876</v>
      </c>
    </row>
    <row r="299" spans="1:6" x14ac:dyDescent="0.15">
      <c r="A299" s="1">
        <v>41786</v>
      </c>
      <c r="B299" t="s">
        <v>3051</v>
      </c>
      <c r="C299" s="2" t="str">
        <f>HYPERLINK("http://snap.windin.com/ns/bulletin.php?id=56810394&amp;type=1", "桂发祥:首次公开发行股票招股说明书(申报稿2014年4月25日报送)")</f>
        <v>桂发祥:首次公开发行股票招股说明书(申报稿2014年4月25日报送)</v>
      </c>
      <c r="D299" t="s">
        <v>7053</v>
      </c>
      <c r="E299" t="s">
        <v>5005</v>
      </c>
      <c r="F299" t="s">
        <v>5006</v>
      </c>
    </row>
    <row r="300" spans="1:6" x14ac:dyDescent="0.15">
      <c r="A300" s="1">
        <v>41786</v>
      </c>
      <c r="B300" t="s">
        <v>3052</v>
      </c>
      <c r="C300" s="2" t="str">
        <f>HYPERLINK("http://snap.windin.com/ns/bulletin.php?id=56810392&amp;type=1", "河南思维:首次公开发行股票招股说明书(申报稿2014年5月26日报送)")</f>
        <v>河南思维:首次公开发行股票招股说明书(申报稿2014年5月26日报送)</v>
      </c>
      <c r="D300" t="s">
        <v>7054</v>
      </c>
      <c r="E300" t="s">
        <v>5007</v>
      </c>
      <c r="F300" t="s">
        <v>4876</v>
      </c>
    </row>
    <row r="301" spans="1:6" x14ac:dyDescent="0.15">
      <c r="A301" s="1">
        <v>41786</v>
      </c>
      <c r="B301" t="s">
        <v>3053</v>
      </c>
      <c r="C301" s="2" t="str">
        <f>HYPERLINK("http://snap.windin.com/ns/bulletin.php?id=56810390&amp;type=1", "亚翔集成:首次公开发行股票招股说明书(申报稿2014年4月29日报送)")</f>
        <v>亚翔集成:首次公开发行股票招股说明书(申报稿2014年4月29日报送)</v>
      </c>
      <c r="D301" t="s">
        <v>7055</v>
      </c>
      <c r="E301" t="s">
        <v>5008</v>
      </c>
      <c r="F301" t="s">
        <v>4666</v>
      </c>
    </row>
    <row r="302" spans="1:6" x14ac:dyDescent="0.15">
      <c r="A302" s="1">
        <v>41786</v>
      </c>
      <c r="B302" t="s">
        <v>3054</v>
      </c>
      <c r="C302" s="2" t="str">
        <f>HYPERLINK("http://snap.windin.com/ns/bulletin.php?id=56810368&amp;type=1", "通联股份:首次公开发行股票招股说明书(申报稿2014年4月25日报送)")</f>
        <v>通联股份:首次公开发行股票招股说明书(申报稿2014年4月25日报送)</v>
      </c>
      <c r="D302" t="s">
        <v>7056</v>
      </c>
      <c r="E302" t="s">
        <v>5009</v>
      </c>
      <c r="F302" t="s">
        <v>5006</v>
      </c>
    </row>
    <row r="303" spans="1:6" x14ac:dyDescent="0.15">
      <c r="A303" s="1">
        <v>41785</v>
      </c>
      <c r="B303" t="s">
        <v>3055</v>
      </c>
      <c r="C303" s="2" t="str">
        <f>HYPERLINK("http://snap.windin.com/ns/bulletin.php?id=55658426&amp;type=1", "中文在线:创业板首次公开发行股票招股说明书(申报稿2014年5月26日报送)")</f>
        <v>中文在线:创业板首次公开发行股票招股说明书(申报稿2014年5月26日报送)</v>
      </c>
      <c r="D303" t="s">
        <v>7057</v>
      </c>
      <c r="E303" t="s">
        <v>5010</v>
      </c>
      <c r="F303" t="s">
        <v>5001</v>
      </c>
    </row>
    <row r="304" spans="1:6" x14ac:dyDescent="0.15">
      <c r="A304" s="1">
        <v>41785</v>
      </c>
      <c r="B304" t="s">
        <v>3056</v>
      </c>
      <c r="C304" s="2" t="str">
        <f>HYPERLINK("http://snap.windin.com/ns/bulletin.php?id=55658364&amp;type=1", "西点药业:首次公开发行股票招股说明书(申报稿2014年5月22日报送)")</f>
        <v>西点药业:首次公开发行股票招股说明书(申报稿2014年5月22日报送)</v>
      </c>
      <c r="D304" t="s">
        <v>7058</v>
      </c>
      <c r="E304" t="s">
        <v>5011</v>
      </c>
      <c r="F304" t="s">
        <v>4788</v>
      </c>
    </row>
    <row r="305" spans="1:6" x14ac:dyDescent="0.15">
      <c r="A305" s="1">
        <v>41785</v>
      </c>
      <c r="B305" t="s">
        <v>3057</v>
      </c>
      <c r="C305" s="2" t="str">
        <f>HYPERLINK("http://snap.windin.com/ns/bulletin.php?id=55658342&amp;type=1", "派特罗尔:首次公开发行股票招股说明书(申报稿2014年5月21日报送)")</f>
        <v>派特罗尔:首次公开发行股票招股说明书(申报稿2014年5月21日报送)</v>
      </c>
      <c r="D305" t="s">
        <v>7059</v>
      </c>
      <c r="E305" t="s">
        <v>5012</v>
      </c>
      <c r="F305" t="s">
        <v>5013</v>
      </c>
    </row>
    <row r="306" spans="1:6" x14ac:dyDescent="0.15">
      <c r="A306" s="1">
        <v>41782</v>
      </c>
      <c r="B306" t="s">
        <v>3058</v>
      </c>
      <c r="C306" s="2" t="str">
        <f>HYPERLINK("http://snap.windin.com/ns/bulletin.php?id=53445036&amp;type=1", "金冠电气:创业板首次公开发行股票招股说明书(申报稿2014年5月15日报送)")</f>
        <v>金冠电气:创业板首次公开发行股票招股说明书(申报稿2014年5月15日报送)</v>
      </c>
      <c r="D306" t="s">
        <v>7060</v>
      </c>
      <c r="E306" t="s">
        <v>5014</v>
      </c>
      <c r="F306" t="s">
        <v>5015</v>
      </c>
    </row>
    <row r="307" spans="1:6" x14ac:dyDescent="0.15">
      <c r="A307" s="1">
        <v>41782</v>
      </c>
      <c r="B307" t="s">
        <v>3059</v>
      </c>
      <c r="C307" s="2" t="str">
        <f>HYPERLINK("http://snap.windin.com/ns/bulletin.php?id=53444982&amp;type=1", "久之洋:创业板首次公开发行股票招股说明书(申报稿2014年5月14日报送)")</f>
        <v>久之洋:创业板首次公开发行股票招股说明书(申报稿2014年5月14日报送)</v>
      </c>
      <c r="D307" t="s">
        <v>7061</v>
      </c>
      <c r="E307" t="s">
        <v>5016</v>
      </c>
      <c r="F307" t="s">
        <v>5017</v>
      </c>
    </row>
    <row r="308" spans="1:6" x14ac:dyDescent="0.15">
      <c r="A308" s="1">
        <v>41782</v>
      </c>
      <c r="B308" t="s">
        <v>3060</v>
      </c>
      <c r="C308" s="2" t="str">
        <f>HYPERLINK("http://snap.windin.com/ns/bulletin.php?id=53444980&amp;type=1", "全信股份:创业板首次公开发行股票招股说明书(申报稿2014年5月23日报送)")</f>
        <v>全信股份:创业板首次公开发行股票招股说明书(申报稿2014年5月23日报送)</v>
      </c>
      <c r="D308" t="s">
        <v>7062</v>
      </c>
      <c r="E308" t="s">
        <v>5018</v>
      </c>
      <c r="F308" t="s">
        <v>4957</v>
      </c>
    </row>
    <row r="309" spans="1:6" x14ac:dyDescent="0.15">
      <c r="A309" s="1">
        <v>41782</v>
      </c>
      <c r="B309" t="s">
        <v>3061</v>
      </c>
      <c r="C309" s="2" t="str">
        <f>HYPERLINK("http://snap.windin.com/ns/bulletin.php?id=53444978&amp;type=1", "凯中精密:首次公开发行股票招股说明书(申报稿2014年5月15日报送)")</f>
        <v>凯中精密:首次公开发行股票招股说明书(申报稿2014年5月15日报送)</v>
      </c>
      <c r="D309" t="s">
        <v>7063</v>
      </c>
      <c r="E309" t="s">
        <v>5019</v>
      </c>
      <c r="F309" t="s">
        <v>4944</v>
      </c>
    </row>
    <row r="310" spans="1:6" x14ac:dyDescent="0.15">
      <c r="A310" s="1">
        <v>41782</v>
      </c>
      <c r="B310" t="s">
        <v>3062</v>
      </c>
      <c r="C310" s="2" t="str">
        <f>HYPERLINK("http://snap.windin.com/ns/bulletin.php?id=53445566&amp;type=1", "中国核建:首次公开发行股票招股说明书(申报稿2014年5月9日报送)")</f>
        <v>中国核建:首次公开发行股票招股说明书(申报稿2014年5月9日报送)</v>
      </c>
      <c r="D310" t="s">
        <v>7064</v>
      </c>
      <c r="E310" t="s">
        <v>5020</v>
      </c>
      <c r="F310" t="s">
        <v>4906</v>
      </c>
    </row>
    <row r="311" spans="1:6" x14ac:dyDescent="0.15">
      <c r="A311" s="1">
        <v>41782</v>
      </c>
      <c r="B311" t="s">
        <v>3063</v>
      </c>
      <c r="C311" s="2" t="str">
        <f>HYPERLINK("http://snap.windin.com/ns/bulletin.php?id=53444976&amp;type=1", "三联交通:创业板首次公开发行股票招股说明书(申报稿2014年5月23日报送)")</f>
        <v>三联交通:创业板首次公开发行股票招股说明书(申报稿2014年5月23日报送)</v>
      </c>
      <c r="D311" t="s">
        <v>7065</v>
      </c>
      <c r="E311" t="s">
        <v>5021</v>
      </c>
      <c r="F311" t="s">
        <v>4957</v>
      </c>
    </row>
    <row r="312" spans="1:6" x14ac:dyDescent="0.15">
      <c r="A312" s="1">
        <v>41782</v>
      </c>
      <c r="B312" t="s">
        <v>3064</v>
      </c>
      <c r="C312" s="2" t="str">
        <f>HYPERLINK("http://snap.windin.com/ns/bulletin.php?id=53446856&amp;type=1", "五洋科技:创业板首次公开发行股票招股说明书(申报稿2014年5月23日报送)")</f>
        <v>五洋科技:创业板首次公开发行股票招股说明书(申报稿2014年5月23日报送)</v>
      </c>
      <c r="D312" t="s">
        <v>7066</v>
      </c>
      <c r="E312" t="s">
        <v>5022</v>
      </c>
      <c r="F312" t="s">
        <v>4957</v>
      </c>
    </row>
    <row r="313" spans="1:6" x14ac:dyDescent="0.15">
      <c r="A313" s="1">
        <v>41782</v>
      </c>
      <c r="B313" t="s">
        <v>3065</v>
      </c>
      <c r="C313" s="2" t="str">
        <f>HYPERLINK("http://snap.windin.com/ns/bulletin.php?id=53448236&amp;type=1", "欣贺股份:首次公开发行股票招股说明书(申报稿2014年5月9日报送)")</f>
        <v>欣贺股份:首次公开发行股票招股说明书(申报稿2014年5月9日报送)</v>
      </c>
      <c r="D313" t="s">
        <v>7067</v>
      </c>
      <c r="E313" t="s">
        <v>5023</v>
      </c>
      <c r="F313" t="s">
        <v>4906</v>
      </c>
    </row>
    <row r="314" spans="1:6" x14ac:dyDescent="0.15">
      <c r="A314" s="1">
        <v>41781</v>
      </c>
      <c r="B314" t="s">
        <v>3066</v>
      </c>
      <c r="C314" s="2" t="str">
        <f>HYPERLINK("http://snap.windin.com/ns/bulletin.php?id=52825348&amp;type=1", "路畅科技:首次公开发行股票招股说明书(申报稿2014年5月22日报送)")</f>
        <v>路畅科技:首次公开发行股票招股说明书(申报稿2014年5月22日报送)</v>
      </c>
      <c r="D314" t="s">
        <v>7068</v>
      </c>
      <c r="E314" t="s">
        <v>5024</v>
      </c>
      <c r="F314" t="s">
        <v>4788</v>
      </c>
    </row>
    <row r="315" spans="1:6" x14ac:dyDescent="0.15">
      <c r="A315" s="1">
        <v>41781</v>
      </c>
      <c r="B315" t="s">
        <v>3067</v>
      </c>
      <c r="C315" s="2" t="str">
        <f>HYPERLINK("http://snap.windin.com/ns/bulletin.php?id=52825306&amp;type=1", "中迅农科:首次公开发行股票招股说明书(申报稿2014年5月22日报送)")</f>
        <v>中迅农科:首次公开发行股票招股说明书(申报稿2014年5月22日报送)</v>
      </c>
      <c r="D315" t="s">
        <v>7069</v>
      </c>
      <c r="E315" t="s">
        <v>5025</v>
      </c>
      <c r="F315" t="s">
        <v>4788</v>
      </c>
    </row>
    <row r="316" spans="1:6" x14ac:dyDescent="0.15">
      <c r="A316" s="1">
        <v>41781</v>
      </c>
      <c r="B316" t="s">
        <v>3068</v>
      </c>
      <c r="C316" s="2" t="str">
        <f>HYPERLINK("http://snap.windin.com/ns/bulletin.php?id=52826698&amp;type=1", "真彩文具:首次公开发行股票招股说明书(申报稿2014年5月22日报送)")</f>
        <v>真彩文具:首次公开发行股票招股说明书(申报稿2014年5月22日报送)</v>
      </c>
      <c r="D316" t="s">
        <v>7070</v>
      </c>
      <c r="E316" t="s">
        <v>5026</v>
      </c>
      <c r="F316" t="s">
        <v>4788</v>
      </c>
    </row>
    <row r="317" spans="1:6" x14ac:dyDescent="0.15">
      <c r="A317" s="1">
        <v>41780</v>
      </c>
      <c r="B317" t="s">
        <v>3069</v>
      </c>
      <c r="C317" s="2" t="str">
        <f>HYPERLINK("http://snap.windin.com/ns/bulletin.php?id=52490344&amp;type=1", "九强生物:创业板首次公开发行股票招股说明书(申报稿2014年5月20日报送)")</f>
        <v>九强生物:创业板首次公开发行股票招股说明书(申报稿2014年5月20日报送)</v>
      </c>
      <c r="D317" t="s">
        <v>7071</v>
      </c>
      <c r="E317" t="s">
        <v>5027</v>
      </c>
      <c r="F317" t="s">
        <v>5028</v>
      </c>
    </row>
    <row r="318" spans="1:6" x14ac:dyDescent="0.15">
      <c r="A318" s="1">
        <v>41780</v>
      </c>
      <c r="B318" t="s">
        <v>3070</v>
      </c>
      <c r="C318" s="2" t="str">
        <f>HYPERLINK("http://snap.windin.com/ns/bulletin.php?id=52490348&amp;type=1", "济民制药:首次公开发行股票招股说明书(申报稿2014年5月14日报送)")</f>
        <v>济民制药:首次公开发行股票招股说明书(申报稿2014年5月14日报送)</v>
      </c>
      <c r="D318" t="s">
        <v>7072</v>
      </c>
      <c r="E318" t="s">
        <v>5029</v>
      </c>
      <c r="F318" t="s">
        <v>5030</v>
      </c>
    </row>
    <row r="319" spans="1:6" x14ac:dyDescent="0.15">
      <c r="A319" s="1">
        <v>41780</v>
      </c>
      <c r="B319" t="s">
        <v>3071</v>
      </c>
      <c r="C319" s="2" t="str">
        <f>HYPERLINK("http://snap.windin.com/ns/bulletin.php?id=52490346&amp;type=1", "润达医疗:首次公开发行股票招股说明书(申报稿2014年5月20日报送)")</f>
        <v>润达医疗:首次公开发行股票招股说明书(申报稿2014年5月20日报送)</v>
      </c>
      <c r="D319" t="s">
        <v>7073</v>
      </c>
      <c r="E319" t="s">
        <v>5031</v>
      </c>
      <c r="F319" t="s">
        <v>4978</v>
      </c>
    </row>
    <row r="320" spans="1:6" x14ac:dyDescent="0.15">
      <c r="A320" s="1">
        <v>41779</v>
      </c>
      <c r="B320" t="s">
        <v>3072</v>
      </c>
      <c r="C320" s="2" t="str">
        <f>HYPERLINK("http://snap.windin.com/ns/bulletin.php?id=52479620&amp;type=1", "正业科技:创业板首次公开发行股票招股说明书(申报稿2014年5月20日报送)")</f>
        <v>正业科技:创业板首次公开发行股票招股说明书(申报稿2014年5月20日报送)</v>
      </c>
      <c r="D320" t="s">
        <v>7074</v>
      </c>
      <c r="E320" t="s">
        <v>5032</v>
      </c>
      <c r="F320" t="s">
        <v>5028</v>
      </c>
    </row>
    <row r="321" spans="1:6" x14ac:dyDescent="0.15">
      <c r="A321" s="1">
        <v>41779</v>
      </c>
      <c r="B321" t="s">
        <v>3073</v>
      </c>
      <c r="C321" s="2" t="str">
        <f>HYPERLINK("http://snap.windin.com/ns/bulletin.php?id=52479618&amp;type=1", "康弘药业:首次公开发行股票招股说明书(申报稿2014年4月28日报送)")</f>
        <v>康弘药业:首次公开发行股票招股说明书(申报稿2014年4月28日报送)</v>
      </c>
      <c r="D321" t="s">
        <v>7075</v>
      </c>
      <c r="E321" t="s">
        <v>5033</v>
      </c>
      <c r="F321" t="s">
        <v>4938</v>
      </c>
    </row>
    <row r="322" spans="1:6" x14ac:dyDescent="0.15">
      <c r="A322" s="1">
        <v>41779</v>
      </c>
      <c r="B322" t="s">
        <v>2779</v>
      </c>
      <c r="C322" s="2" t="str">
        <f>HYPERLINK("http://snap.windin.com/ns/bulletin.php?id=52479616&amp;type=1", "交通股份:首次公开发行股票招股说明书(申报稿2014年5月19日报送)")</f>
        <v>交通股份:首次公开发行股票招股说明书(申报稿2014年5月19日报送)</v>
      </c>
      <c r="D322" t="s">
        <v>7076</v>
      </c>
      <c r="E322" t="s">
        <v>4636</v>
      </c>
      <c r="F322" t="s">
        <v>4935</v>
      </c>
    </row>
    <row r="323" spans="1:6" x14ac:dyDescent="0.15">
      <c r="A323" s="1">
        <v>41779</v>
      </c>
      <c r="B323" t="s">
        <v>3074</v>
      </c>
      <c r="C323" s="2" t="str">
        <f>HYPERLINK("http://snap.windin.com/ns/bulletin.php?id=52479610&amp;type=1", "易尚展示:首次公开发行股票招股说明书(申报稿2014年4月29日报送)")</f>
        <v>易尚展示:首次公开发行股票招股说明书(申报稿2014年4月29日报送)</v>
      </c>
      <c r="D323" t="s">
        <v>7077</v>
      </c>
      <c r="E323" t="s">
        <v>5034</v>
      </c>
      <c r="F323" t="s">
        <v>4666</v>
      </c>
    </row>
    <row r="324" spans="1:6" x14ac:dyDescent="0.15">
      <c r="A324" s="1">
        <v>41779</v>
      </c>
      <c r="B324" t="s">
        <v>3075</v>
      </c>
      <c r="C324" s="2" t="str">
        <f>HYPERLINK("http://snap.windin.com/ns/bulletin.php?id=52479602&amp;type=1", "浙江鼎力:次公开发行股票招股说明书(申报稿2014年5月12日报送)")</f>
        <v>浙江鼎力:次公开发行股票招股说明书(申报稿2014年5月12日报送)</v>
      </c>
      <c r="D324" t="s">
        <v>7078</v>
      </c>
      <c r="E324" t="s">
        <v>5035</v>
      </c>
      <c r="F324" t="s">
        <v>5036</v>
      </c>
    </row>
    <row r="325" spans="1:6" x14ac:dyDescent="0.15">
      <c r="A325" s="1">
        <v>41779</v>
      </c>
      <c r="B325" t="s">
        <v>3076</v>
      </c>
      <c r="C325" s="2" t="str">
        <f>HYPERLINK("http://snap.windin.com/ns/bulletin.php?id=52479612&amp;type=1", "玲珑轮胎:首次公开发行股票招股说明书(申报稿2014年5月20日报送)")</f>
        <v>玲珑轮胎:首次公开发行股票招股说明书(申报稿2014年5月20日报送)</v>
      </c>
      <c r="D325" t="s">
        <v>7079</v>
      </c>
      <c r="E325" t="s">
        <v>5037</v>
      </c>
      <c r="F325" t="s">
        <v>4978</v>
      </c>
    </row>
    <row r="326" spans="1:6" x14ac:dyDescent="0.15">
      <c r="A326" s="1">
        <v>41779</v>
      </c>
      <c r="B326" t="s">
        <v>3077</v>
      </c>
      <c r="C326" s="2" t="str">
        <f>HYPERLINK("http://snap.windin.com/ns/bulletin.php?id=52479590&amp;type=1", "润都制药:首次公开发行股票招股说明书(申报稿2014年4月30日报送)")</f>
        <v>润都制药:首次公开发行股票招股说明书(申报稿2014年4月30日报送)</v>
      </c>
      <c r="D326" t="s">
        <v>7080</v>
      </c>
      <c r="E326" t="s">
        <v>5038</v>
      </c>
      <c r="F326" t="s">
        <v>5039</v>
      </c>
    </row>
    <row r="327" spans="1:6" x14ac:dyDescent="0.15">
      <c r="A327" s="1">
        <v>41778</v>
      </c>
      <c r="B327" t="s">
        <v>3078</v>
      </c>
      <c r="C327" s="2" t="str">
        <f>HYPERLINK("http://snap.windin.com/ns/bulletin.php?id=51817850&amp;type=1", "博敏电子:首次公开发行股票招股说明书(申报稿2014年5月8日报送)")</f>
        <v>博敏电子:首次公开发行股票招股说明书(申报稿2014年5月8日报送)</v>
      </c>
      <c r="D327" t="s">
        <v>7081</v>
      </c>
      <c r="E327" t="s">
        <v>5040</v>
      </c>
      <c r="F327" t="s">
        <v>5041</v>
      </c>
    </row>
    <row r="328" spans="1:6" x14ac:dyDescent="0.15">
      <c r="A328" s="1">
        <v>41778</v>
      </c>
      <c r="B328" t="s">
        <v>3079</v>
      </c>
      <c r="C328" s="2" t="str">
        <f>HYPERLINK("http://snap.windin.com/ns/bulletin.php?id=51817406&amp;type=1", "道森股份:首次公开发行股票招股说明书(申报稿2014年4月25日报送)")</f>
        <v>道森股份:首次公开发行股票招股说明书(申报稿2014年4月25日报送)</v>
      </c>
      <c r="D328" t="s">
        <v>7082</v>
      </c>
      <c r="E328" t="s">
        <v>5042</v>
      </c>
      <c r="F328" t="s">
        <v>5006</v>
      </c>
    </row>
    <row r="329" spans="1:6" x14ac:dyDescent="0.15">
      <c r="A329" s="1">
        <v>41778</v>
      </c>
      <c r="B329" t="s">
        <v>3080</v>
      </c>
      <c r="C329" s="2" t="str">
        <f>HYPERLINK("http://snap.windin.com/ns/bulletin.php?id=51817284&amp;type=1", "福鞍重工:首次公开发行股票招股说明书(申报稿2014年4月28日报送)")</f>
        <v>福鞍重工:首次公开发行股票招股说明书(申报稿2014年4月28日报送)</v>
      </c>
      <c r="D329" t="s">
        <v>7083</v>
      </c>
      <c r="E329" t="s">
        <v>5043</v>
      </c>
      <c r="F329" t="s">
        <v>4938</v>
      </c>
    </row>
    <row r="330" spans="1:6" x14ac:dyDescent="0.15">
      <c r="A330" s="1">
        <v>41778</v>
      </c>
      <c r="B330" t="s">
        <v>3081</v>
      </c>
      <c r="C330" s="2" t="str">
        <f>HYPERLINK("http://snap.windin.com/ns/bulletin.php?id=51817162&amp;type=1", "辰欣药业:首次公开发行股票招股说明书(申报稿2014年5月6日报送)")</f>
        <v>辰欣药业:首次公开发行股票招股说明书(申报稿2014年5月6日报送)</v>
      </c>
      <c r="D330" t="s">
        <v>7084</v>
      </c>
      <c r="E330" t="s">
        <v>5044</v>
      </c>
      <c r="F330" t="s">
        <v>5045</v>
      </c>
    </row>
    <row r="331" spans="1:6" x14ac:dyDescent="0.15">
      <c r="A331" s="1">
        <v>41778</v>
      </c>
      <c r="B331" t="s">
        <v>3082</v>
      </c>
      <c r="C331" s="2" t="str">
        <f>HYPERLINK("http://snap.windin.com/ns/bulletin.php?id=51817020&amp;type=1", "中国认证:首次公开发行股票招股说明书(申报稿2014年5月5日报送)")</f>
        <v>中国认证:首次公开发行股票招股说明书(申报稿2014年5月5日报送)</v>
      </c>
      <c r="D331" t="s">
        <v>7085</v>
      </c>
      <c r="E331" t="s">
        <v>5046</v>
      </c>
      <c r="F331" t="s">
        <v>5047</v>
      </c>
    </row>
    <row r="332" spans="1:6" x14ac:dyDescent="0.15">
      <c r="A332" s="1">
        <v>41778</v>
      </c>
      <c r="B332" t="s">
        <v>3083</v>
      </c>
      <c r="C332" s="2" t="str">
        <f>HYPERLINK("http://snap.windin.com/ns/bulletin.php?id=51816938&amp;type=1", "第一创业:首次公开发行股票招股说明书(申报稿2014年5月8日报送)")</f>
        <v>第一创业:首次公开发行股票招股说明书(申报稿2014年5月8日报送)</v>
      </c>
      <c r="D332" t="s">
        <v>7086</v>
      </c>
      <c r="E332" t="s">
        <v>5048</v>
      </c>
      <c r="F332" t="s">
        <v>5041</v>
      </c>
    </row>
    <row r="333" spans="1:6" x14ac:dyDescent="0.15">
      <c r="A333" s="1">
        <v>41778</v>
      </c>
      <c r="B333" t="s">
        <v>3084</v>
      </c>
      <c r="C333" s="2" t="str">
        <f>HYPERLINK("http://snap.windin.com/ns/bulletin.php?id=51816696&amp;type=1", "三鑫医疗:创业板首次公开发行股票招股说明书(申报稿2014年4月24日报送)")</f>
        <v>三鑫医疗:创业板首次公开发行股票招股说明书(申报稿2014年4月24日报送)</v>
      </c>
      <c r="D333" t="s">
        <v>7087</v>
      </c>
      <c r="E333" t="s">
        <v>5049</v>
      </c>
      <c r="F333" t="s">
        <v>5050</v>
      </c>
    </row>
    <row r="334" spans="1:6" x14ac:dyDescent="0.15">
      <c r="A334" s="1">
        <v>41778</v>
      </c>
      <c r="B334" t="s">
        <v>3085</v>
      </c>
      <c r="C334" s="2" t="str">
        <f>HYPERLINK("http://snap.windin.com/ns/bulletin.php?id=51816468&amp;type=1", "能量传播:创业板首次公开发行股票招股说明书(申报稿2014年4月28日报送)")</f>
        <v>能量传播:创业板首次公开发行股票招股说明书(申报稿2014年4月28日报送)</v>
      </c>
      <c r="D334" t="s">
        <v>7088</v>
      </c>
      <c r="E334" t="s">
        <v>5051</v>
      </c>
      <c r="F334" t="s">
        <v>5052</v>
      </c>
    </row>
    <row r="335" spans="1:6" x14ac:dyDescent="0.15">
      <c r="A335" s="1">
        <v>41778</v>
      </c>
      <c r="B335" t="s">
        <v>3086</v>
      </c>
      <c r="C335" s="2" t="str">
        <f>HYPERLINK("http://snap.windin.com/ns/bulletin.php?id=51816344&amp;type=1", "名家汇:创业板首次公开发行股票招股说明书(申报稿2014年5月16日报送)")</f>
        <v>名家汇:创业板首次公开发行股票招股说明书(申报稿2014年5月16日报送)</v>
      </c>
      <c r="D335" t="s">
        <v>7089</v>
      </c>
      <c r="E335" t="s">
        <v>5053</v>
      </c>
      <c r="F335" t="s">
        <v>4971</v>
      </c>
    </row>
    <row r="336" spans="1:6" x14ac:dyDescent="0.15">
      <c r="A336" s="1">
        <v>41778</v>
      </c>
      <c r="B336" t="s">
        <v>3087</v>
      </c>
      <c r="C336" s="2" t="str">
        <f>HYPERLINK("http://snap.windin.com/ns/bulletin.php?id=51816182&amp;type=1", "冰川网络:创业板首次公开发行股票招股说明书(申报稿2014年5月19日报送)")</f>
        <v>冰川网络:创业板首次公开发行股票招股说明书(申报稿2014年5月19日报送)</v>
      </c>
      <c r="D336" t="s">
        <v>7090</v>
      </c>
      <c r="E336" t="s">
        <v>5054</v>
      </c>
      <c r="F336" t="s">
        <v>5055</v>
      </c>
    </row>
    <row r="337" spans="1:6" x14ac:dyDescent="0.15">
      <c r="A337" s="1">
        <v>41778</v>
      </c>
      <c r="B337" t="s">
        <v>3088</v>
      </c>
      <c r="C337" s="2" t="str">
        <f>HYPERLINK("http://snap.windin.com/ns/bulletin.php?id=51816000&amp;type=1", "盛讯达:创业板首次公开发行股票招股说明书(申报稿2014年5月19日报送)")</f>
        <v>盛讯达:创业板首次公开发行股票招股说明书(申报稿2014年5月19日报送)</v>
      </c>
      <c r="D337" t="s">
        <v>7091</v>
      </c>
      <c r="E337" t="s">
        <v>5056</v>
      </c>
      <c r="F337" t="s">
        <v>5055</v>
      </c>
    </row>
    <row r="338" spans="1:6" x14ac:dyDescent="0.15">
      <c r="A338" s="1">
        <v>41778</v>
      </c>
      <c r="B338" t="s">
        <v>3089</v>
      </c>
      <c r="C338" s="2" t="str">
        <f>HYPERLINK("http://snap.windin.com/ns/bulletin.php?id=51817672&amp;type=1", "永艺家具:首次公开发行股票招股说明书(申报稿2014年5月15日报送)")</f>
        <v>永艺家具:首次公开发行股票招股说明书(申报稿2014年5月15日报送)</v>
      </c>
      <c r="D338" t="s">
        <v>7092</v>
      </c>
      <c r="E338" t="s">
        <v>5057</v>
      </c>
      <c r="F338" t="s">
        <v>4944</v>
      </c>
    </row>
    <row r="339" spans="1:6" x14ac:dyDescent="0.15">
      <c r="A339" s="1">
        <v>41778</v>
      </c>
      <c r="B339" t="s">
        <v>3090</v>
      </c>
      <c r="C339" s="2" t="str">
        <f>HYPERLINK("http://snap.windin.com/ns/bulletin.php?id=51817510&amp;type=1", "崇达技术:首次公开发行股票招股说明书(申报稿2014年4月11日报送)")</f>
        <v>崇达技术:首次公开发行股票招股说明书(申报稿2014年4月11日报送)</v>
      </c>
      <c r="D339" t="s">
        <v>7093</v>
      </c>
      <c r="E339" t="s">
        <v>5058</v>
      </c>
      <c r="F339" t="s">
        <v>5059</v>
      </c>
    </row>
    <row r="340" spans="1:6" x14ac:dyDescent="0.15">
      <c r="A340" s="1">
        <v>41778</v>
      </c>
      <c r="B340" t="s">
        <v>3091</v>
      </c>
      <c r="C340" s="2" t="str">
        <f>HYPERLINK("http://snap.windin.com/ns/bulletin.php?id=51818218&amp;type=1", "韩建河山:首次公开发行股票招股说明书(申报稿2014年5月15日报送)")</f>
        <v>韩建河山:首次公开发行股票招股说明书(申报稿2014年5月15日报送)</v>
      </c>
      <c r="D340" t="s">
        <v>7094</v>
      </c>
      <c r="E340" t="s">
        <v>5060</v>
      </c>
      <c r="F340" t="s">
        <v>4944</v>
      </c>
    </row>
    <row r="341" spans="1:6" x14ac:dyDescent="0.15">
      <c r="A341" s="1">
        <v>41778</v>
      </c>
      <c r="B341" t="s">
        <v>3092</v>
      </c>
      <c r="C341" s="2" t="str">
        <f>HYPERLINK("http://snap.windin.com/ns/bulletin.php?id=51818056&amp;type=1", "华扬联众:首次公开发行股票招股说明书(申报稿2014年5月16日报送)")</f>
        <v>华扬联众:首次公开发行股票招股说明书(申报稿2014年5月16日报送)</v>
      </c>
      <c r="D341" t="s">
        <v>7095</v>
      </c>
      <c r="E341" t="s">
        <v>5061</v>
      </c>
      <c r="F341" t="s">
        <v>4962</v>
      </c>
    </row>
    <row r="342" spans="1:6" x14ac:dyDescent="0.15">
      <c r="A342" s="1">
        <v>41775</v>
      </c>
      <c r="B342" t="s">
        <v>3093</v>
      </c>
      <c r="C342" s="2" t="str">
        <f>HYPERLINK("http://snap.windin.com/ns/bulletin.php?id=50139890&amp;type=1", "今天国际:创业板首次公开发行股票招股说明书(申报稿2014年5月14日报送)")</f>
        <v>今天国际:创业板首次公开发行股票招股说明书(申报稿2014年5月14日报送)</v>
      </c>
      <c r="D342" t="s">
        <v>7096</v>
      </c>
      <c r="E342" t="s">
        <v>5062</v>
      </c>
      <c r="F342" t="s">
        <v>5017</v>
      </c>
    </row>
    <row r="343" spans="1:6" x14ac:dyDescent="0.15">
      <c r="A343" s="1">
        <v>41775</v>
      </c>
      <c r="B343" t="s">
        <v>3094</v>
      </c>
      <c r="C343" s="2" t="str">
        <f>HYPERLINK("http://snap.windin.com/ns/bulletin.php?id=50110912&amp;type=1", "通灵珠宝:首次公开发行股票招股说明书(申报稿2014年5月5日报送)")</f>
        <v>通灵珠宝:首次公开发行股票招股说明书(申报稿2014年5月5日报送)</v>
      </c>
      <c r="D343" t="s">
        <v>7097</v>
      </c>
      <c r="E343" t="s">
        <v>5063</v>
      </c>
      <c r="F343" t="s">
        <v>5047</v>
      </c>
    </row>
    <row r="344" spans="1:6" x14ac:dyDescent="0.15">
      <c r="A344" s="1">
        <v>41775</v>
      </c>
      <c r="B344" t="s">
        <v>3095</v>
      </c>
      <c r="C344" s="2" t="str">
        <f>HYPERLINK("http://snap.windin.com/ns/bulletin.php?id=50115576&amp;type=1", "白银股份:首次公开发行股票招股说明书(申报稿2014年5月16日报送)")</f>
        <v>白银股份:首次公开发行股票招股说明书(申报稿2014年5月16日报送)</v>
      </c>
      <c r="D344" t="s">
        <v>7098</v>
      </c>
      <c r="E344" t="s">
        <v>5064</v>
      </c>
      <c r="F344" t="s">
        <v>4962</v>
      </c>
    </row>
    <row r="345" spans="1:6" x14ac:dyDescent="0.15">
      <c r="A345" s="1">
        <v>41775</v>
      </c>
      <c r="B345" t="s">
        <v>3096</v>
      </c>
      <c r="C345" s="2" t="str">
        <f>HYPERLINK("http://snap.windin.com/ns/bulletin.php?id=50121946&amp;type=1", "环能德美:创业板首次公开发行股票招股说明书(申报稿2014年4月14日报送)")</f>
        <v>环能德美:创业板首次公开发行股票招股说明书(申报稿2014年4月14日报送)</v>
      </c>
      <c r="D345" t="s">
        <v>7099</v>
      </c>
      <c r="E345" t="s">
        <v>5065</v>
      </c>
      <c r="F345" t="s">
        <v>5066</v>
      </c>
    </row>
    <row r="346" spans="1:6" x14ac:dyDescent="0.15">
      <c r="A346" s="1">
        <v>41775</v>
      </c>
      <c r="B346" t="s">
        <v>3097</v>
      </c>
      <c r="C346" s="2" t="str">
        <f>HYPERLINK("http://snap.windin.com/ns/bulletin.php?id=50110210&amp;type=1", "惠伦晶体:创业板首次公开发行股票招股说明书(申报稿2014年5月14日报送)")</f>
        <v>惠伦晶体:创业板首次公开发行股票招股说明书(申报稿2014年5月14日报送)</v>
      </c>
      <c r="D346" t="s">
        <v>7100</v>
      </c>
      <c r="E346" t="s">
        <v>5067</v>
      </c>
      <c r="F346" t="s">
        <v>5017</v>
      </c>
    </row>
    <row r="347" spans="1:6" x14ac:dyDescent="0.15">
      <c r="A347" s="1">
        <v>41775</v>
      </c>
      <c r="B347" t="s">
        <v>3098</v>
      </c>
      <c r="C347" s="2" t="str">
        <f>HYPERLINK("http://snap.windin.com/ns/bulletin.php?id=50107994&amp;type=1", "中光防雷:创业板首次公开发行股票招股说明书(申报稿2014年5月16日报送)")</f>
        <v>中光防雷:创业板首次公开发行股票招股说明书(申报稿2014年5月16日报送)</v>
      </c>
      <c r="D347" t="s">
        <v>7101</v>
      </c>
      <c r="E347" t="s">
        <v>5068</v>
      </c>
      <c r="F347" t="s">
        <v>4971</v>
      </c>
    </row>
    <row r="348" spans="1:6" x14ac:dyDescent="0.15">
      <c r="A348" s="1">
        <v>41775</v>
      </c>
      <c r="B348" t="s">
        <v>3099</v>
      </c>
      <c r="C348" s="2" t="str">
        <f>HYPERLINK("http://snap.windin.com/ns/bulletin.php?id=50121994&amp;type=1", "利群百货:首次公开发行股票招股说明书(申报稿2014年5月6日报送)")</f>
        <v>利群百货:首次公开发行股票招股说明书(申报稿2014年5月6日报送)</v>
      </c>
      <c r="D348" t="s">
        <v>7102</v>
      </c>
      <c r="E348" t="s">
        <v>5069</v>
      </c>
      <c r="F348" t="s">
        <v>5045</v>
      </c>
    </row>
    <row r="349" spans="1:6" x14ac:dyDescent="0.15">
      <c r="A349" s="1">
        <v>41774</v>
      </c>
      <c r="B349" t="s">
        <v>3100</v>
      </c>
      <c r="C349" s="2" t="str">
        <f>HYPERLINK("http://snap.windin.com/ns/bulletin.php?id=49828976&amp;type=1", "美联股份:首次公开发行股票招股说明书(申报稿2014年4月28日报送)")</f>
        <v>美联股份:首次公开发行股票招股说明书(申报稿2014年4月28日报送)</v>
      </c>
      <c r="D349" t="s">
        <v>7103</v>
      </c>
      <c r="E349" t="s">
        <v>5070</v>
      </c>
      <c r="F349" t="s">
        <v>4938</v>
      </c>
    </row>
    <row r="350" spans="1:6" x14ac:dyDescent="0.15">
      <c r="A350" s="1">
        <v>41774</v>
      </c>
      <c r="B350" t="s">
        <v>3101</v>
      </c>
      <c r="C350" s="2" t="str">
        <f>HYPERLINK("http://snap.windin.com/ns/bulletin.php?id=49828980&amp;type=1", "国泰民爆:首次公开发行股票招股说明书(申报稿2014年5月14日报送)")</f>
        <v>国泰民爆:首次公开发行股票招股说明书(申报稿2014年5月14日报送)</v>
      </c>
      <c r="D350" t="s">
        <v>7104</v>
      </c>
      <c r="E350" t="s">
        <v>5071</v>
      </c>
      <c r="F350" t="s">
        <v>5030</v>
      </c>
    </row>
    <row r="351" spans="1:6" x14ac:dyDescent="0.15">
      <c r="A351" s="1">
        <v>41774</v>
      </c>
      <c r="B351" t="s">
        <v>3102</v>
      </c>
      <c r="C351" s="2" t="str">
        <f>HYPERLINK("http://snap.windin.com/ns/bulletin.php?id=49828972&amp;type=1", "众鸿科技:创业板首次公开发行股票招股说明书(申报稿2014年5月15日报送)")</f>
        <v>众鸿科技:创业板首次公开发行股票招股说明书(申报稿2014年5月15日报送)</v>
      </c>
      <c r="D351" t="s">
        <v>7105</v>
      </c>
      <c r="E351" t="s">
        <v>5072</v>
      </c>
      <c r="F351" t="s">
        <v>5015</v>
      </c>
    </row>
    <row r="352" spans="1:6" x14ac:dyDescent="0.15">
      <c r="A352" s="1">
        <v>41774</v>
      </c>
      <c r="B352" t="s">
        <v>3103</v>
      </c>
      <c r="C352" s="2" t="str">
        <f>HYPERLINK("http://snap.windin.com/ns/bulletin.php?id=49828966&amp;type=1", "新光药业:创业板首次公开发行股票招股说明书(申报稿2014年5月15日报送)")</f>
        <v>新光药业:创业板首次公开发行股票招股说明书(申报稿2014年5月15日报送)</v>
      </c>
      <c r="D352" t="s">
        <v>7106</v>
      </c>
      <c r="E352" t="s">
        <v>5073</v>
      </c>
      <c r="F352" t="s">
        <v>5015</v>
      </c>
    </row>
    <row r="353" spans="1:6" x14ac:dyDescent="0.15">
      <c r="A353" s="1">
        <v>41774</v>
      </c>
      <c r="B353" t="s">
        <v>3104</v>
      </c>
      <c r="C353" s="2" t="str">
        <f>HYPERLINK("http://snap.windin.com/ns/bulletin.php?id=49828978&amp;type=1", "申利股份:首次公开发行股票招股说明书(申报稿2014年5月12日报送)")</f>
        <v>申利股份:首次公开发行股票招股说明书(申报稿2014年5月12日报送)</v>
      </c>
      <c r="D353" t="s">
        <v>7107</v>
      </c>
      <c r="E353" t="s">
        <v>5074</v>
      </c>
      <c r="F353" t="s">
        <v>5075</v>
      </c>
    </row>
    <row r="354" spans="1:6" x14ac:dyDescent="0.15">
      <c r="A354" s="1">
        <v>41774</v>
      </c>
      <c r="B354" t="s">
        <v>3105</v>
      </c>
      <c r="C354" s="2" t="str">
        <f>HYPERLINK("http://snap.windin.com/ns/bulletin.php?id=49828968&amp;type=1", "日机股份:创业板首次公开发行股票招股说明书(申报稿2014年5月14日报送)")</f>
        <v>日机股份:创业板首次公开发行股票招股说明书(申报稿2014年5月14日报送)</v>
      </c>
      <c r="D354" t="s">
        <v>7108</v>
      </c>
      <c r="E354" t="s">
        <v>5076</v>
      </c>
      <c r="F354" t="s">
        <v>5017</v>
      </c>
    </row>
    <row r="355" spans="1:6" x14ac:dyDescent="0.15">
      <c r="A355" s="1">
        <v>41774</v>
      </c>
      <c r="B355" t="s">
        <v>3106</v>
      </c>
      <c r="C355" s="2" t="str">
        <f>HYPERLINK("http://snap.windin.com/ns/bulletin.php?id=49828970&amp;type=1", "品恩科技:创业板首次公开发行股票招股说明书(申报稿2014年5月15日报送)")</f>
        <v>品恩科技:创业板首次公开发行股票招股说明书(申报稿2014年5月15日报送)</v>
      </c>
      <c r="D355" t="s">
        <v>7109</v>
      </c>
      <c r="E355" t="s">
        <v>5077</v>
      </c>
      <c r="F355" t="s">
        <v>5015</v>
      </c>
    </row>
    <row r="356" spans="1:6" x14ac:dyDescent="0.15">
      <c r="A356" s="1">
        <v>41774</v>
      </c>
      <c r="B356" t="s">
        <v>3107</v>
      </c>
      <c r="C356" s="2" t="str">
        <f>HYPERLINK("http://snap.windin.com/ns/bulletin.php?id=49828974&amp;type=1", "天味食品:首次公开发行股票招股说明书(申报稿2014年5月12日报送)")</f>
        <v>天味食品:首次公开发行股票招股说明书(申报稿2014年5月12日报送)</v>
      </c>
      <c r="D356" t="s">
        <v>7110</v>
      </c>
      <c r="E356" t="s">
        <v>5078</v>
      </c>
      <c r="F356" t="s">
        <v>5075</v>
      </c>
    </row>
    <row r="357" spans="1:6" x14ac:dyDescent="0.15">
      <c r="A357" s="1">
        <v>41773</v>
      </c>
      <c r="B357" t="s">
        <v>3108</v>
      </c>
      <c r="C357" s="2" t="str">
        <f>HYPERLINK("http://snap.windin.com/ns/bulletin.php?id=49792226&amp;type=1", "天际电器:首次公开发行股票招股说明书(申报稿2014年5月14日报送)")</f>
        <v>天际电器:首次公开发行股票招股说明书(申报稿2014年5月14日报送)</v>
      </c>
      <c r="D357" t="s">
        <v>7111</v>
      </c>
      <c r="E357" t="s">
        <v>5079</v>
      </c>
      <c r="F357" t="s">
        <v>5030</v>
      </c>
    </row>
    <row r="358" spans="1:6" x14ac:dyDescent="0.15">
      <c r="A358" s="1">
        <v>41773</v>
      </c>
      <c r="B358" t="s">
        <v>3093</v>
      </c>
      <c r="C358" s="2" t="str">
        <f>HYPERLINK("http://snap.windin.com/ns/bulletin.php?id=49792220&amp;type=1", "今天国际:创业板首次公开发行股票招股说明书(申报稿2014年5月14日报送)")</f>
        <v>今天国际:创业板首次公开发行股票招股说明书(申报稿2014年5月14日报送)</v>
      </c>
      <c r="D358" t="s">
        <v>7112</v>
      </c>
      <c r="E358" t="s">
        <v>5062</v>
      </c>
      <c r="F358" t="s">
        <v>5017</v>
      </c>
    </row>
    <row r="359" spans="1:6" x14ac:dyDescent="0.15">
      <c r="A359" s="1">
        <v>41773</v>
      </c>
      <c r="B359" t="s">
        <v>3109</v>
      </c>
      <c r="C359" s="2" t="str">
        <f>HYPERLINK("http://snap.windin.com/ns/bulletin.php?id=49792224&amp;type=1", "华通医药:首次公开发行股票招股说明书(申报稿2014年4月30日报送)")</f>
        <v>华通医药:首次公开发行股票招股说明书(申报稿2014年4月30日报送)</v>
      </c>
      <c r="D359" t="s">
        <v>7113</v>
      </c>
      <c r="E359" t="s">
        <v>5080</v>
      </c>
      <c r="F359" t="s">
        <v>5039</v>
      </c>
    </row>
    <row r="360" spans="1:6" x14ac:dyDescent="0.15">
      <c r="A360" s="1">
        <v>41773</v>
      </c>
      <c r="B360" t="s">
        <v>3110</v>
      </c>
      <c r="C360" s="2" t="str">
        <f>HYPERLINK("http://snap.windin.com/ns/bulletin.php?id=49792218&amp;type=1", "至纯科技:首次公开发行股票招股说明书(申报稿2014年5月12日报送)")</f>
        <v>至纯科技:首次公开发行股票招股说明书(申报稿2014年5月12日报送)</v>
      </c>
      <c r="D360" t="s">
        <v>7114</v>
      </c>
      <c r="E360" t="s">
        <v>5081</v>
      </c>
      <c r="F360" t="s">
        <v>5075</v>
      </c>
    </row>
    <row r="361" spans="1:6" x14ac:dyDescent="0.15">
      <c r="A361" s="1">
        <v>41773</v>
      </c>
      <c r="B361" t="s">
        <v>3111</v>
      </c>
      <c r="C361" s="2" t="str">
        <f>HYPERLINK("http://snap.windin.com/ns/bulletin.php?id=49792232&amp;type=1", "长城军工:首次公开发行股票招股说明书(申报稿2014年4月25日报送)")</f>
        <v>长城军工:首次公开发行股票招股说明书(申报稿2014年4月25日报送)</v>
      </c>
      <c r="D361" t="s">
        <v>7115</v>
      </c>
      <c r="E361" t="s">
        <v>5082</v>
      </c>
      <c r="F361" t="s">
        <v>5006</v>
      </c>
    </row>
    <row r="362" spans="1:6" x14ac:dyDescent="0.15">
      <c r="A362" s="1">
        <v>41773</v>
      </c>
      <c r="B362" t="s">
        <v>3112</v>
      </c>
      <c r="C362" s="2" t="str">
        <f>HYPERLINK("http://snap.windin.com/ns/bulletin.php?id=49792230&amp;type=1", "口子酒业:首次公开发行股票招股说明书(申报稿2014年4月29日报送)")</f>
        <v>口子酒业:首次公开发行股票招股说明书(申报稿2014年4月29日报送)</v>
      </c>
      <c r="D362" t="s">
        <v>7116</v>
      </c>
      <c r="E362" t="s">
        <v>5083</v>
      </c>
      <c r="F362" t="s">
        <v>4666</v>
      </c>
    </row>
    <row r="363" spans="1:6" x14ac:dyDescent="0.15">
      <c r="A363" s="1">
        <v>41773</v>
      </c>
      <c r="B363" t="s">
        <v>3113</v>
      </c>
      <c r="C363" s="2" t="str">
        <f>HYPERLINK("http://snap.windin.com/ns/bulletin.php?id=49792228&amp;type=1", "亚虹模具:首次公开发行股票招股说明书(申报稿2014年5月7日报送)")</f>
        <v>亚虹模具:首次公开发行股票招股说明书(申报稿2014年5月7日报送)</v>
      </c>
      <c r="D363" t="s">
        <v>7117</v>
      </c>
      <c r="E363" t="s">
        <v>5084</v>
      </c>
      <c r="F363" t="s">
        <v>5085</v>
      </c>
    </row>
    <row r="364" spans="1:6" x14ac:dyDescent="0.15">
      <c r="A364" s="1">
        <v>41772</v>
      </c>
      <c r="B364" t="s">
        <v>3114</v>
      </c>
      <c r="C364" s="2" t="str">
        <f>HYPERLINK("http://snap.windin.com/ns/bulletin.php?id=49641042&amp;type=1", "海波重科:创业板首次公开发行股票招股说明书(申报稿2014年5月13日报送)")</f>
        <v>海波重科:创业板首次公开发行股票招股说明书(申报稿2014年5月13日报送)</v>
      </c>
      <c r="D364" t="s">
        <v>7118</v>
      </c>
      <c r="E364" t="s">
        <v>5086</v>
      </c>
      <c r="F364" t="s">
        <v>5087</v>
      </c>
    </row>
    <row r="365" spans="1:6" x14ac:dyDescent="0.15">
      <c r="A365" s="1">
        <v>41772</v>
      </c>
      <c r="B365" t="s">
        <v>3115</v>
      </c>
      <c r="C365" s="2" t="str">
        <f>HYPERLINK("http://snap.windin.com/ns/bulletin.php?id=49641032&amp;type=1", "广西广电:首次公开发行股票招股说明书(申报稿2014年5月13日报送)")</f>
        <v>广西广电:首次公开发行股票招股说明书(申报稿2014年5月13日报送)</v>
      </c>
      <c r="D365" t="s">
        <v>7119</v>
      </c>
      <c r="E365" t="s">
        <v>5088</v>
      </c>
      <c r="F365" t="s">
        <v>4995</v>
      </c>
    </row>
    <row r="366" spans="1:6" x14ac:dyDescent="0.15">
      <c r="A366" s="1">
        <v>41771</v>
      </c>
      <c r="B366" t="s">
        <v>2942</v>
      </c>
      <c r="C366" s="2" t="str">
        <f>HYPERLINK("http://snap.windin.com/ns/bulletin.php?id=49184072&amp;type=1", "中矿资源:首次公开发行股票招股说明书(申报稿2014年5月12日报送)")</f>
        <v>中矿资源:首次公开发行股票招股说明书(申报稿2014年5月12日报送)</v>
      </c>
      <c r="D366" t="s">
        <v>7120</v>
      </c>
      <c r="E366" t="s">
        <v>4863</v>
      </c>
      <c r="F366" t="s">
        <v>5075</v>
      </c>
    </row>
    <row r="367" spans="1:6" x14ac:dyDescent="0.15">
      <c r="A367" s="1">
        <v>41771</v>
      </c>
      <c r="B367" t="s">
        <v>3116</v>
      </c>
      <c r="C367" s="2" t="str">
        <f>HYPERLINK("http://snap.windin.com/ns/bulletin.php?id=49184156&amp;type=1", "苏州设计:创业板首次公开发行股票招股说明书(申报稿2014年5月12日报送)")</f>
        <v>苏州设计:创业板首次公开发行股票招股说明书(申报稿2014年5月12日报送)</v>
      </c>
      <c r="D367" t="s">
        <v>7121</v>
      </c>
      <c r="E367" t="s">
        <v>5089</v>
      </c>
      <c r="F367" t="s">
        <v>5090</v>
      </c>
    </row>
    <row r="368" spans="1:6" x14ac:dyDescent="0.15">
      <c r="A368" s="1">
        <v>41771</v>
      </c>
      <c r="B368" t="s">
        <v>3117</v>
      </c>
      <c r="C368" s="2" t="str">
        <f>HYPERLINK("http://snap.windin.com/ns/bulletin.php?id=49184260&amp;type=1", "瑞尔特:首次公开发行股票招股说明书(申报稿2014年5月12日报送)")</f>
        <v>瑞尔特:首次公开发行股票招股说明书(申报稿2014年5月12日报送)</v>
      </c>
      <c r="D368" t="s">
        <v>7122</v>
      </c>
      <c r="E368" t="s">
        <v>5091</v>
      </c>
      <c r="F368" t="s">
        <v>5075</v>
      </c>
    </row>
    <row r="369" spans="1:6" x14ac:dyDescent="0.15">
      <c r="A369" s="1">
        <v>41771</v>
      </c>
      <c r="B369" t="s">
        <v>3118</v>
      </c>
      <c r="C369" s="2" t="str">
        <f>HYPERLINK("http://snap.windin.com/ns/bulletin.php?id=49184282&amp;type=1", "永东化工:首次公开发行股票招股说明书(申报稿2014年5月12日报送)")</f>
        <v>永东化工:首次公开发行股票招股说明书(申报稿2014年5月12日报送)</v>
      </c>
      <c r="D369" t="s">
        <v>7123</v>
      </c>
      <c r="E369" t="s">
        <v>5092</v>
      </c>
      <c r="F369" t="s">
        <v>5075</v>
      </c>
    </row>
    <row r="370" spans="1:6" x14ac:dyDescent="0.15">
      <c r="A370" s="1">
        <v>41771</v>
      </c>
      <c r="B370" t="s">
        <v>3119</v>
      </c>
      <c r="C370" s="2" t="str">
        <f>HYPERLINK("http://snap.windin.com/ns/bulletin.php?id=49184324&amp;type=1", "华友钴业:首次公开发行股票招股说明书(申报稿2014年5月9日报送)")</f>
        <v>华友钴业:首次公开发行股票招股说明书(申报稿2014年5月9日报送)</v>
      </c>
      <c r="D370" t="s">
        <v>7124</v>
      </c>
      <c r="E370" t="s">
        <v>5093</v>
      </c>
      <c r="F370" t="s">
        <v>4906</v>
      </c>
    </row>
    <row r="371" spans="1:6" x14ac:dyDescent="0.15">
      <c r="A371" s="1">
        <v>41771</v>
      </c>
      <c r="B371" t="s">
        <v>3120</v>
      </c>
      <c r="C371" s="2" t="str">
        <f>HYPERLINK("http://snap.windin.com/ns/bulletin.php?id=49184198&amp;type=1", "海鑫科金:首次公开发行股票招股说明书(申报稿2014年5月12日报送)")</f>
        <v>海鑫科金:首次公开发行股票招股说明书(申报稿2014年5月12日报送)</v>
      </c>
      <c r="D371" t="s">
        <v>7125</v>
      </c>
      <c r="E371" t="s">
        <v>5094</v>
      </c>
      <c r="F371" t="s">
        <v>5075</v>
      </c>
    </row>
    <row r="372" spans="1:6" x14ac:dyDescent="0.15">
      <c r="A372" s="1">
        <v>41771</v>
      </c>
      <c r="B372" t="s">
        <v>5</v>
      </c>
      <c r="C372" s="2" t="str">
        <f>HYPERLINK("http://snap.windin.com/ns/bulletin.php?id=49061070&amp;type=1", "中国北车:关于刊发H股招股说明书,H股发行价格区间及H股香港公开发售等相关事宜的公告")</f>
        <v>中国北车:关于刊发H股招股说明书,H股发行价格区间及H股香港公开发售等相关事宜的公告</v>
      </c>
      <c r="D372" t="s">
        <v>885</v>
      </c>
      <c r="E372" t="s">
        <v>384</v>
      </c>
      <c r="F372" t="s">
        <v>385</v>
      </c>
    </row>
    <row r="373" spans="1:6" x14ac:dyDescent="0.15">
      <c r="A373" s="1">
        <v>41768</v>
      </c>
      <c r="B373" t="s">
        <v>3121</v>
      </c>
      <c r="C373" s="2" t="str">
        <f>HYPERLINK("http://snap.windin.com/ns/bulletin.php?id=49058210&amp;type=1", "永和股份:首次公开发行股票招股说明书(申报稿2014年5月9日报送)")</f>
        <v>永和股份:首次公开发行股票招股说明书(申报稿2014年5月9日报送)</v>
      </c>
      <c r="D373" t="s">
        <v>7126</v>
      </c>
      <c r="E373" t="s">
        <v>5095</v>
      </c>
      <c r="F373" t="s">
        <v>4906</v>
      </c>
    </row>
    <row r="374" spans="1:6" x14ac:dyDescent="0.15">
      <c r="A374" s="1">
        <v>41768</v>
      </c>
      <c r="B374" t="s">
        <v>3122</v>
      </c>
      <c r="C374" s="2" t="str">
        <f>HYPERLINK("http://snap.windin.com/ns/bulletin.php?id=49058204&amp;type=1", "鸿辉光通:首次公开发行股票招股说明书(申报稿2014年5月8日报送)")</f>
        <v>鸿辉光通:首次公开发行股票招股说明书(申报稿2014年5月8日报送)</v>
      </c>
      <c r="D374" t="s">
        <v>7127</v>
      </c>
      <c r="E374" t="s">
        <v>5096</v>
      </c>
      <c r="F374" t="s">
        <v>5041</v>
      </c>
    </row>
    <row r="375" spans="1:6" x14ac:dyDescent="0.15">
      <c r="A375" s="1">
        <v>41768</v>
      </c>
      <c r="B375" t="s">
        <v>3123</v>
      </c>
      <c r="C375" s="2" t="str">
        <f>HYPERLINK("http://snap.windin.com/ns/bulletin.php?id=49058206&amp;type=1", "奥力威:创业板首次公开发行股票招股说明书(申报稿2014年5月9日报送)")</f>
        <v>奥力威:创业板首次公开发行股票招股说明书(申报稿2014年5月9日报送)</v>
      </c>
      <c r="D375" t="s">
        <v>7128</v>
      </c>
      <c r="E375" t="s">
        <v>5097</v>
      </c>
      <c r="F375" t="s">
        <v>5098</v>
      </c>
    </row>
    <row r="376" spans="1:6" x14ac:dyDescent="0.15">
      <c r="A376" s="1">
        <v>41768</v>
      </c>
      <c r="B376" t="s">
        <v>3124</v>
      </c>
      <c r="C376" s="2" t="str">
        <f>HYPERLINK("http://snap.windin.com/ns/bulletin.php?id=49058212&amp;type=1", "海利生物:首次公开发行股票招股说明书(申报稿2014年5月9日报送)")</f>
        <v>海利生物:首次公开发行股票招股说明书(申报稿2014年5月9日报送)</v>
      </c>
      <c r="D376" t="s">
        <v>7129</v>
      </c>
      <c r="E376" t="s">
        <v>5099</v>
      </c>
      <c r="F376" t="s">
        <v>4906</v>
      </c>
    </row>
    <row r="377" spans="1:6" x14ac:dyDescent="0.15">
      <c r="A377" s="1">
        <v>41768</v>
      </c>
      <c r="B377" t="s">
        <v>3125</v>
      </c>
      <c r="C377" s="2" t="str">
        <f>HYPERLINK("http://snap.windin.com/ns/bulletin.php?id=49058208&amp;type=1", "雷赛智能:创业板首次公开发行股票招股说明书(申报稿2014年4月30日报送)")</f>
        <v>雷赛智能:创业板首次公开发行股票招股说明书(申报稿2014年4月30日报送)</v>
      </c>
      <c r="D377" t="s">
        <v>7130</v>
      </c>
      <c r="E377" t="s">
        <v>5100</v>
      </c>
      <c r="F377" t="s">
        <v>5101</v>
      </c>
    </row>
    <row r="378" spans="1:6" x14ac:dyDescent="0.15">
      <c r="A378" s="1">
        <v>41768</v>
      </c>
      <c r="B378" t="s">
        <v>3126</v>
      </c>
      <c r="C378" s="2" t="str">
        <f>HYPERLINK("http://snap.windin.com/ns/bulletin.php?id=49058214&amp;type=1", "南方传媒:首次公开发行股票招股说明书(申报稿2014年5月8日报送)")</f>
        <v>南方传媒:首次公开发行股票招股说明书(申报稿2014年5月8日报送)</v>
      </c>
      <c r="D378" t="s">
        <v>7131</v>
      </c>
      <c r="E378" t="s">
        <v>5102</v>
      </c>
      <c r="F378" t="s">
        <v>5041</v>
      </c>
    </row>
    <row r="379" spans="1:6" x14ac:dyDescent="0.15">
      <c r="A379" s="1">
        <v>41767</v>
      </c>
      <c r="B379" t="s">
        <v>2766</v>
      </c>
      <c r="C379" s="2" t="str">
        <f>HYPERLINK("http://snap.windin.com/ns/bulletin.php?id=49049120&amp;type=1", "腾信创新:创业板首次公开发行股票招股说明书(申报稿2014年5月8日报送)")</f>
        <v>腾信创新:创业板首次公开发行股票招股说明书(申报稿2014年5月8日报送)</v>
      </c>
      <c r="D379" t="s">
        <v>7132</v>
      </c>
      <c r="E379" t="s">
        <v>5103</v>
      </c>
      <c r="F379" t="s">
        <v>5104</v>
      </c>
    </row>
    <row r="380" spans="1:6" x14ac:dyDescent="0.15">
      <c r="A380" s="1">
        <v>41767</v>
      </c>
      <c r="B380" t="s">
        <v>3127</v>
      </c>
      <c r="C380" s="2" t="str">
        <f>HYPERLINK("http://snap.windin.com/ns/bulletin.php?id=49049748&amp;type=1", "三联虹普:创业板首次公开发行股票招股说明书(申报稿2014年5月8日报送)")</f>
        <v>三联虹普:创业板首次公开发行股票招股说明书(申报稿2014年5月8日报送)</v>
      </c>
      <c r="D380" t="s">
        <v>7133</v>
      </c>
      <c r="E380" t="s">
        <v>4647</v>
      </c>
      <c r="F380" t="s">
        <v>5104</v>
      </c>
    </row>
    <row r="381" spans="1:6" x14ac:dyDescent="0.15">
      <c r="A381" s="1">
        <v>41767</v>
      </c>
      <c r="B381" t="s">
        <v>3128</v>
      </c>
      <c r="C381" s="2" t="str">
        <f>HYPERLINK("http://snap.windin.com/ns/bulletin.php?id=49049220&amp;type=1", "重庆燃气:首次公开发行股票招股说明书(申报稿2014年5月7日报送)")</f>
        <v>重庆燃气:首次公开发行股票招股说明书(申报稿2014年5月7日报送)</v>
      </c>
      <c r="D381" t="s">
        <v>7134</v>
      </c>
      <c r="E381" t="s">
        <v>5105</v>
      </c>
      <c r="F381" t="s">
        <v>5085</v>
      </c>
    </row>
    <row r="382" spans="1:6" x14ac:dyDescent="0.15">
      <c r="A382" s="1">
        <v>41767</v>
      </c>
      <c r="B382" t="s">
        <v>3129</v>
      </c>
      <c r="C382" s="2" t="str">
        <f>HYPERLINK("http://snap.windin.com/ns/bulletin.php?id=49049744&amp;type=1", "顶点软件:创业板首次公开发行股票招股说明书(申报稿2014年5月8日报送)")</f>
        <v>顶点软件:创业板首次公开发行股票招股说明书(申报稿2014年5月8日报送)</v>
      </c>
      <c r="D382" t="s">
        <v>7135</v>
      </c>
      <c r="E382" t="s">
        <v>5106</v>
      </c>
      <c r="F382" t="s">
        <v>5104</v>
      </c>
    </row>
    <row r="383" spans="1:6" x14ac:dyDescent="0.15">
      <c r="A383" s="1">
        <v>41767</v>
      </c>
      <c r="B383" t="s">
        <v>3130</v>
      </c>
      <c r="C383" s="2" t="str">
        <f>HYPERLINK("http://snap.windin.com/ns/bulletin.php?id=49049150&amp;type=1", "泰德制药:创业板首次公开发行股票招股说明书(申报稿2014年5月8日报送)")</f>
        <v>泰德制药:创业板首次公开发行股票招股说明书(申报稿2014年5月8日报送)</v>
      </c>
      <c r="D383" t="s">
        <v>7136</v>
      </c>
      <c r="E383" t="s">
        <v>5107</v>
      </c>
      <c r="F383" t="s">
        <v>5104</v>
      </c>
    </row>
    <row r="384" spans="1:6" x14ac:dyDescent="0.15">
      <c r="A384" s="1">
        <v>41767</v>
      </c>
      <c r="B384" t="s">
        <v>3131</v>
      </c>
      <c r="C384" s="2" t="str">
        <f>HYPERLINK("http://snap.windin.com/ns/bulletin.php?id=49049228&amp;type=1", "华铭智能:创业板首次公开发行股票招股说明书(申报稿2014年5月8日报送)")</f>
        <v>华铭智能:创业板首次公开发行股票招股说明书(申报稿2014年5月8日报送)</v>
      </c>
      <c r="D384" t="s">
        <v>7137</v>
      </c>
      <c r="E384" t="s">
        <v>5108</v>
      </c>
      <c r="F384" t="s">
        <v>5104</v>
      </c>
    </row>
    <row r="385" spans="1:6" x14ac:dyDescent="0.15">
      <c r="A385" s="1">
        <v>41766</v>
      </c>
      <c r="B385" t="s">
        <v>3132</v>
      </c>
      <c r="C385" s="2" t="str">
        <f>HYPERLINK("http://snap.windin.com/ns/bulletin.php?id=49039012&amp;type=1", "达威科技:创业板首次公开发行股票招股说明书(申报稿2014年4月29日报送)")</f>
        <v>达威科技:创业板首次公开发行股票招股说明书(申报稿2014年4月29日报送)</v>
      </c>
      <c r="D385" t="s">
        <v>7138</v>
      </c>
      <c r="E385" t="s">
        <v>5109</v>
      </c>
      <c r="F385" t="s">
        <v>5110</v>
      </c>
    </row>
    <row r="386" spans="1:6" x14ac:dyDescent="0.15">
      <c r="A386" s="1">
        <v>41766</v>
      </c>
      <c r="B386" t="s">
        <v>3133</v>
      </c>
      <c r="C386" s="2" t="str">
        <f>HYPERLINK("http://snap.windin.com/ns/bulletin.php?id=49038994&amp;type=1", "东音泵业:首次公开发行股票招股说明书(申报稿2014年4月9日报送)")</f>
        <v>东音泵业:首次公开发行股票招股说明书(申报稿2014年4月9日报送)</v>
      </c>
      <c r="D386" t="s">
        <v>7139</v>
      </c>
      <c r="E386" t="s">
        <v>5111</v>
      </c>
      <c r="F386" t="s">
        <v>5112</v>
      </c>
    </row>
    <row r="387" spans="1:6" x14ac:dyDescent="0.15">
      <c r="A387" s="1">
        <v>41766</v>
      </c>
      <c r="B387" t="s">
        <v>3134</v>
      </c>
      <c r="C387" s="2" t="str">
        <f>HYPERLINK("http://snap.windin.com/ns/bulletin.php?id=49039008&amp;type=1", "深爱股份:首次公开发行股票招股说明书(申报稿2013年4月17日报送)")</f>
        <v>深爱股份:首次公开发行股票招股说明书(申报稿2013年4月17日报送)</v>
      </c>
      <c r="D387" t="s">
        <v>7140</v>
      </c>
      <c r="E387" t="s">
        <v>5113</v>
      </c>
      <c r="F387" t="s">
        <v>5114</v>
      </c>
    </row>
    <row r="388" spans="1:6" x14ac:dyDescent="0.15">
      <c r="A388" s="1">
        <v>41766</v>
      </c>
      <c r="B388" t="s">
        <v>3135</v>
      </c>
      <c r="C388" s="2" t="str">
        <f>HYPERLINK("http://snap.windin.com/ns/bulletin.php?id=49039004&amp;type=1", "佳发安泰:创业板首次公开发行股票招股说明书(申报稿2014年3月7日报送)")</f>
        <v>佳发安泰:创业板首次公开发行股票招股说明书(申报稿2014年3月7日报送)</v>
      </c>
      <c r="D388" t="s">
        <v>7141</v>
      </c>
      <c r="E388" t="s">
        <v>5115</v>
      </c>
      <c r="F388" t="s">
        <v>5116</v>
      </c>
    </row>
    <row r="389" spans="1:6" x14ac:dyDescent="0.15">
      <c r="A389" s="1">
        <v>41766</v>
      </c>
      <c r="B389" t="s">
        <v>3136</v>
      </c>
      <c r="C389" s="2" t="str">
        <f>HYPERLINK("http://snap.windin.com/ns/bulletin.php?id=49038998&amp;type=1", "通宇通讯:首次公开发行股票招股说明书(申报稿2014年4月22日报送)")</f>
        <v>通宇通讯:首次公开发行股票招股说明书(申报稿2014年4月22日报送)</v>
      </c>
      <c r="D389" t="s">
        <v>7142</v>
      </c>
      <c r="E389" t="s">
        <v>5117</v>
      </c>
      <c r="F389" t="s">
        <v>5118</v>
      </c>
    </row>
    <row r="390" spans="1:6" x14ac:dyDescent="0.15">
      <c r="A390" s="1">
        <v>41766</v>
      </c>
      <c r="B390" t="s">
        <v>3137</v>
      </c>
      <c r="C390" s="2" t="str">
        <f>HYPERLINK("http://snap.windin.com/ns/bulletin.php?id=49039010&amp;type=1", "环球印务:首次公开发行股票招股说明书(申报稿2014年4月30日报送)")</f>
        <v>环球印务:首次公开发行股票招股说明书(申报稿2014年4月30日报送)</v>
      </c>
      <c r="D390" t="s">
        <v>7143</v>
      </c>
      <c r="E390" t="s">
        <v>5119</v>
      </c>
      <c r="F390" t="s">
        <v>5039</v>
      </c>
    </row>
    <row r="391" spans="1:6" x14ac:dyDescent="0.15">
      <c r="A391" s="1">
        <v>41766</v>
      </c>
      <c r="B391" t="s">
        <v>3138</v>
      </c>
      <c r="C391" s="2" t="str">
        <f>HYPERLINK("http://snap.windin.com/ns/bulletin.php?id=49038996&amp;type=1", "龙宝参茸:首次公开发行股票招股说明书(申报稿2014年4月4日报送)")</f>
        <v>龙宝参茸:首次公开发行股票招股说明书(申报稿2014年4月4日报送)</v>
      </c>
      <c r="D391" t="s">
        <v>7144</v>
      </c>
      <c r="E391" t="s">
        <v>5120</v>
      </c>
      <c r="F391" t="s">
        <v>5121</v>
      </c>
    </row>
    <row r="392" spans="1:6" x14ac:dyDescent="0.15">
      <c r="A392" s="1">
        <v>41766</v>
      </c>
      <c r="B392" t="s">
        <v>3139</v>
      </c>
      <c r="C392" s="2" t="str">
        <f>HYPERLINK("http://snap.windin.com/ns/bulletin.php?id=49038990&amp;type=1", "迈普技术:首次公开发行股票招股说明书(申报稿2014年4月28日报送)")</f>
        <v>迈普技术:首次公开发行股票招股说明书(申报稿2014年4月28日报送)</v>
      </c>
      <c r="D392" t="s">
        <v>7145</v>
      </c>
      <c r="E392" t="s">
        <v>5122</v>
      </c>
      <c r="F392" t="s">
        <v>4938</v>
      </c>
    </row>
    <row r="393" spans="1:6" x14ac:dyDescent="0.15">
      <c r="A393" s="1">
        <v>41766</v>
      </c>
      <c r="B393" t="s">
        <v>2777</v>
      </c>
      <c r="C393" s="2" t="str">
        <f>HYPERLINK("http://snap.windin.com/ns/bulletin.php?id=49038986&amp;type=1", "九洲药业:首次公开发行股票招股说明书(申报稿2014年5月5日报送)")</f>
        <v>九洲药业:首次公开发行股票招股说明书(申报稿2014年5月5日报送)</v>
      </c>
      <c r="D393" t="s">
        <v>7146</v>
      </c>
      <c r="E393" t="s">
        <v>4632</v>
      </c>
      <c r="F393" t="s">
        <v>5047</v>
      </c>
    </row>
    <row r="394" spans="1:6" x14ac:dyDescent="0.15">
      <c r="A394" s="1">
        <v>41766</v>
      </c>
      <c r="B394" t="s">
        <v>3140</v>
      </c>
      <c r="C394" s="2" t="str">
        <f>HYPERLINK("http://snap.windin.com/ns/bulletin.php?id=49038984&amp;type=1", "建艺装饰:首次公开发行股票招股说明书(申报稿2014年4月28日报送)")</f>
        <v>建艺装饰:首次公开发行股票招股说明书(申报稿2014年4月28日报送)</v>
      </c>
      <c r="D394" t="s">
        <v>7147</v>
      </c>
      <c r="E394" t="s">
        <v>5123</v>
      </c>
      <c r="F394" t="s">
        <v>4938</v>
      </c>
    </row>
    <row r="395" spans="1:6" x14ac:dyDescent="0.15">
      <c r="A395" s="1">
        <v>41766</v>
      </c>
      <c r="B395" t="s">
        <v>3141</v>
      </c>
      <c r="C395" s="2" t="str">
        <f>HYPERLINK("http://snap.windin.com/ns/bulletin.php?id=49038982&amp;type=1", "凯莱英:首次公开发行股票招股说明书(申报稿2014年4月25日报送)")</f>
        <v>凯莱英:首次公开发行股票招股说明书(申报稿2014年4月25日报送)</v>
      </c>
      <c r="D395" t="s">
        <v>7148</v>
      </c>
      <c r="E395" t="s">
        <v>5124</v>
      </c>
      <c r="F395" t="s">
        <v>5006</v>
      </c>
    </row>
    <row r="396" spans="1:6" x14ac:dyDescent="0.15">
      <c r="A396" s="1">
        <v>41766</v>
      </c>
      <c r="B396" t="s">
        <v>3142</v>
      </c>
      <c r="C396" s="2" t="str">
        <f>HYPERLINK("http://snap.windin.com/ns/bulletin.php?id=49038952&amp;type=1", "红墙股份:首次公开发行股票招股说明书(申报稿2014年4月28日报送)")</f>
        <v>红墙股份:首次公开发行股票招股说明书(申报稿2014年4月28日报送)</v>
      </c>
      <c r="D396" t="s">
        <v>7149</v>
      </c>
      <c r="E396" t="s">
        <v>5125</v>
      </c>
      <c r="F396" t="s">
        <v>4938</v>
      </c>
    </row>
    <row r="397" spans="1:6" x14ac:dyDescent="0.15">
      <c r="A397" s="1">
        <v>41766</v>
      </c>
      <c r="B397" t="s">
        <v>3143</v>
      </c>
      <c r="C397" s="2" t="str">
        <f>HYPERLINK("http://snap.windin.com/ns/bulletin.php?id=49038962&amp;type=1", "比音勒芬:首次公开发行股票招股说明书(申报稿2014年4月25日报送)")</f>
        <v>比音勒芬:首次公开发行股票招股说明书(申报稿2014年4月25日报送)</v>
      </c>
      <c r="D397" t="s">
        <v>7150</v>
      </c>
      <c r="E397" t="s">
        <v>5126</v>
      </c>
      <c r="F397" t="s">
        <v>5006</v>
      </c>
    </row>
    <row r="398" spans="1:6" x14ac:dyDescent="0.15">
      <c r="A398" s="1">
        <v>41766</v>
      </c>
      <c r="B398" t="s">
        <v>3144</v>
      </c>
      <c r="C398" s="2" t="str">
        <f>HYPERLINK("http://snap.windin.com/ns/bulletin.php?id=49038960&amp;type=1", "亚泰国际:首次公开发行股票招股说明书(申报稿2014年4月30日报送)")</f>
        <v>亚泰国际:首次公开发行股票招股说明书(申报稿2014年4月30日报送)</v>
      </c>
      <c r="D398" t="s">
        <v>7151</v>
      </c>
      <c r="E398" t="s">
        <v>5127</v>
      </c>
      <c r="F398" t="s">
        <v>5039</v>
      </c>
    </row>
    <row r="399" spans="1:6" x14ac:dyDescent="0.15">
      <c r="A399" s="1">
        <v>41766</v>
      </c>
      <c r="B399" t="s">
        <v>3145</v>
      </c>
      <c r="C399" s="2" t="str">
        <f>HYPERLINK("http://snap.windin.com/ns/bulletin.php?id=49038920&amp;type=1", "流行美:首次公开发行股票招股说明书(申报稿2014年4月30日报送)")</f>
        <v>流行美:首次公开发行股票招股说明书(申报稿2014年4月30日报送)</v>
      </c>
      <c r="D399" t="s">
        <v>7152</v>
      </c>
      <c r="E399" t="s">
        <v>5128</v>
      </c>
      <c r="F399" t="s">
        <v>5039</v>
      </c>
    </row>
    <row r="400" spans="1:6" x14ac:dyDescent="0.15">
      <c r="A400" s="1">
        <v>41766</v>
      </c>
      <c r="B400" t="s">
        <v>3146</v>
      </c>
      <c r="C400" s="2" t="str">
        <f>HYPERLINK("http://snap.windin.com/ns/bulletin.php?id=49038964&amp;type=1", "网达软件:首次公开发行股票招股说明书(申报稿2014年4月18日报送)")</f>
        <v>网达软件:首次公开发行股票招股说明书(申报稿2014年4月18日报送)</v>
      </c>
      <c r="D400" t="s">
        <v>7153</v>
      </c>
      <c r="E400" t="s">
        <v>5129</v>
      </c>
      <c r="F400" t="s">
        <v>5130</v>
      </c>
    </row>
    <row r="401" spans="1:6" x14ac:dyDescent="0.15">
      <c r="A401" s="1">
        <v>41766</v>
      </c>
      <c r="B401" t="s">
        <v>3147</v>
      </c>
      <c r="C401" s="2" t="str">
        <f>HYPERLINK("http://snap.windin.com/ns/bulletin.php?id=49038936&amp;type=1", "华源包装:首次公开发行股票招股说明书(申报稿2014年3月17日报送)")</f>
        <v>华源包装:首次公开发行股票招股说明书(申报稿2014年3月17日报送)</v>
      </c>
      <c r="D401" t="s">
        <v>7154</v>
      </c>
      <c r="E401" t="s">
        <v>5131</v>
      </c>
      <c r="F401" t="s">
        <v>5132</v>
      </c>
    </row>
    <row r="402" spans="1:6" x14ac:dyDescent="0.15">
      <c r="A402" s="1">
        <v>41766</v>
      </c>
      <c r="B402" t="s">
        <v>3148</v>
      </c>
      <c r="C402" s="2" t="str">
        <f>HYPERLINK("http://snap.windin.com/ns/bulletin.php?id=49038970&amp;type=1", "春秋航空:首次公开发行股票招股说明书(申报稿2014年5月6日报送)")</f>
        <v>春秋航空:首次公开发行股票招股说明书(申报稿2014年5月6日报送)</v>
      </c>
      <c r="D402" t="s">
        <v>7155</v>
      </c>
      <c r="E402" t="s">
        <v>5133</v>
      </c>
      <c r="F402" t="s">
        <v>5045</v>
      </c>
    </row>
    <row r="403" spans="1:6" x14ac:dyDescent="0.15">
      <c r="A403" s="1">
        <v>41766</v>
      </c>
      <c r="B403" t="s">
        <v>3149</v>
      </c>
      <c r="C403" s="2" t="str">
        <f>HYPERLINK("http://snap.windin.com/ns/bulletin.php?id=49038908&amp;type=1", "华锋铝箔:首次公开发行股票招股说明书(申报稿2014年4月30日报送)")</f>
        <v>华锋铝箔:首次公开发行股票招股说明书(申报稿2014年4月30日报送)</v>
      </c>
      <c r="D403" t="s">
        <v>7156</v>
      </c>
      <c r="E403" t="s">
        <v>5134</v>
      </c>
      <c r="F403" t="s">
        <v>5039</v>
      </c>
    </row>
    <row r="404" spans="1:6" x14ac:dyDescent="0.15">
      <c r="A404" s="1">
        <v>41766</v>
      </c>
      <c r="B404" t="s">
        <v>3150</v>
      </c>
      <c r="C404" s="2" t="str">
        <f>HYPERLINK("http://snap.windin.com/ns/bulletin.php?id=49038914&amp;type=1", "中装建设:首次公开发行股票招股说明书(申报稿2014年4月29日报送)")</f>
        <v>中装建设:首次公开发行股票招股说明书(申报稿2014年4月29日报送)</v>
      </c>
      <c r="D404" t="s">
        <v>7157</v>
      </c>
      <c r="E404" t="s">
        <v>5135</v>
      </c>
      <c r="F404" t="s">
        <v>4666</v>
      </c>
    </row>
    <row r="405" spans="1:6" x14ac:dyDescent="0.15">
      <c r="A405" s="1">
        <v>41766</v>
      </c>
      <c r="B405" t="s">
        <v>3151</v>
      </c>
      <c r="C405" s="2" t="str">
        <f>HYPERLINK("http://snap.windin.com/ns/bulletin.php?id=49038910&amp;type=1", "陇神戎发:创业板首次公开发行股票招股说明书(申报稿2014年4月28日报送)")</f>
        <v>陇神戎发:创业板首次公开发行股票招股说明书(申报稿2014年4月28日报送)</v>
      </c>
      <c r="D405" t="s">
        <v>7158</v>
      </c>
      <c r="E405" t="s">
        <v>5136</v>
      </c>
      <c r="F405" t="s">
        <v>5052</v>
      </c>
    </row>
    <row r="406" spans="1:6" x14ac:dyDescent="0.15">
      <c r="A406" s="1">
        <v>41766</v>
      </c>
      <c r="B406" t="s">
        <v>3152</v>
      </c>
      <c r="C406" s="2" t="str">
        <f>HYPERLINK("http://snap.windin.com/ns/bulletin.php?id=49038878&amp;type=1", "双杰电气:创业板首次公开发行股票招股说明书(申报稿2014年5月7日报送)")</f>
        <v>双杰电气:创业板首次公开发行股票招股说明书(申报稿2014年5月7日报送)</v>
      </c>
      <c r="D406" t="s">
        <v>7159</v>
      </c>
      <c r="E406" t="s">
        <v>5137</v>
      </c>
      <c r="F406" t="s">
        <v>5138</v>
      </c>
    </row>
    <row r="407" spans="1:6" x14ac:dyDescent="0.15">
      <c r="A407" s="1">
        <v>41766</v>
      </c>
      <c r="B407" t="s">
        <v>3153</v>
      </c>
      <c r="C407" s="2" t="str">
        <f>HYPERLINK("http://snap.windin.com/ns/bulletin.php?id=49039712&amp;type=1", "黄山胶囊:首次公开发行股票招股说明书(申报稿2014年4月28日报送)")</f>
        <v>黄山胶囊:首次公开发行股票招股说明书(申报稿2014年4月28日报送)</v>
      </c>
      <c r="D407" t="s">
        <v>7160</v>
      </c>
      <c r="E407" t="s">
        <v>5139</v>
      </c>
      <c r="F407" t="s">
        <v>4938</v>
      </c>
    </row>
    <row r="408" spans="1:6" x14ac:dyDescent="0.15">
      <c r="A408" s="1">
        <v>41766</v>
      </c>
      <c r="B408" t="s">
        <v>3154</v>
      </c>
      <c r="C408" s="2" t="str">
        <f>HYPERLINK("http://snap.windin.com/ns/bulletin.php?id=49038980&amp;type=1", "共进电子:首次公开发行股票招股说明书(申报稿2014年5月7日报送)")</f>
        <v>共进电子:首次公开发行股票招股说明书(申报稿2014年5月7日报送)</v>
      </c>
      <c r="D408" t="s">
        <v>7161</v>
      </c>
      <c r="E408" t="s">
        <v>5140</v>
      </c>
      <c r="F408" t="s">
        <v>5085</v>
      </c>
    </row>
    <row r="409" spans="1:6" x14ac:dyDescent="0.15">
      <c r="A409" s="1">
        <v>41766</v>
      </c>
      <c r="B409" t="s">
        <v>2924</v>
      </c>
      <c r="C409" s="2" t="str">
        <f>HYPERLINK("http://snap.windin.com/ns/bulletin.php?id=49039000&amp;type=1", "今世缘:首次公开发行股票招股说明书(申报稿2014年5月6日报送)")</f>
        <v>今世缘:首次公开发行股票招股说明书(申报稿2014年5月6日报送)</v>
      </c>
      <c r="D409" t="s">
        <v>7162</v>
      </c>
      <c r="E409" t="s">
        <v>4841</v>
      </c>
      <c r="F409" t="s">
        <v>5045</v>
      </c>
    </row>
    <row r="410" spans="1:6" x14ac:dyDescent="0.15">
      <c r="A410" s="1">
        <v>41765</v>
      </c>
      <c r="B410" t="s">
        <v>3155</v>
      </c>
      <c r="C410" s="2" t="str">
        <f>HYPERLINK("http://snap.windin.com/ns/bulletin.php?id=49029310&amp;type=1", "健盛集团:首次公开发行招股说明书(申报稿2014年5月6日报送)")</f>
        <v>健盛集团:首次公开发行招股说明书(申报稿2014年5月6日报送)</v>
      </c>
      <c r="D410" t="s">
        <v>7163</v>
      </c>
      <c r="E410" t="s">
        <v>5141</v>
      </c>
      <c r="F410" t="s">
        <v>5142</v>
      </c>
    </row>
    <row r="411" spans="1:6" x14ac:dyDescent="0.15">
      <c r="A411" s="1">
        <v>41765</v>
      </c>
      <c r="B411" t="s">
        <v>3156</v>
      </c>
      <c r="C411" s="2" t="str">
        <f>HYPERLINK("http://snap.windin.com/ns/bulletin.php?id=49029330&amp;type=1", "汇顶科技:首次公开发行股票招股说明书(申报稿2014年5月6日报送)")</f>
        <v>汇顶科技:首次公开发行股票招股说明书(申报稿2014年5月6日报送)</v>
      </c>
      <c r="D411" t="s">
        <v>7164</v>
      </c>
      <c r="E411" t="s">
        <v>5143</v>
      </c>
      <c r="F411" t="s">
        <v>5045</v>
      </c>
    </row>
    <row r="412" spans="1:6" x14ac:dyDescent="0.15">
      <c r="A412" s="1">
        <v>41765</v>
      </c>
      <c r="B412" t="s">
        <v>3157</v>
      </c>
      <c r="C412" s="2" t="str">
        <f>HYPERLINK("http://snap.windin.com/ns/bulletin.php?id=49029222&amp;type=1", "东方集成:首次公开发行股票招股说明书(申报稿2014年4月29日报送)")</f>
        <v>东方集成:首次公开发行股票招股说明书(申报稿2014年4月29日报送)</v>
      </c>
      <c r="D412" t="s">
        <v>7165</v>
      </c>
      <c r="E412" t="s">
        <v>5144</v>
      </c>
      <c r="F412" t="s">
        <v>4666</v>
      </c>
    </row>
    <row r="413" spans="1:6" x14ac:dyDescent="0.15">
      <c r="A413" s="1">
        <v>41765</v>
      </c>
      <c r="B413" t="s">
        <v>3158</v>
      </c>
      <c r="C413" s="2" t="str">
        <f>HYPERLINK("http://snap.windin.com/ns/bulletin.php?id=49029304&amp;type=1", "华鹏玻璃:首次公开发行股票招股说明书(申报稿2014年4月30日报送)")</f>
        <v>华鹏玻璃:首次公开发行股票招股说明书(申报稿2014年4月30日报送)</v>
      </c>
      <c r="D413" t="s">
        <v>7166</v>
      </c>
      <c r="E413" t="s">
        <v>5145</v>
      </c>
      <c r="F413" t="s">
        <v>5039</v>
      </c>
    </row>
    <row r="414" spans="1:6" x14ac:dyDescent="0.15">
      <c r="A414" s="1">
        <v>41765</v>
      </c>
      <c r="B414" t="s">
        <v>3159</v>
      </c>
      <c r="C414" s="2" t="str">
        <f>HYPERLINK("http://snap.windin.com/ns/bulletin.php?id=49029386&amp;type=1", "高能时代:首次公开发行股票招股说明书(申报稿2014年5月6日报送)")</f>
        <v>高能时代:首次公开发行股票招股说明书(申报稿2014年5月6日报送)</v>
      </c>
      <c r="D414" t="s">
        <v>7167</v>
      </c>
      <c r="E414" t="s">
        <v>5146</v>
      </c>
      <c r="F414" t="s">
        <v>5045</v>
      </c>
    </row>
    <row r="415" spans="1:6" x14ac:dyDescent="0.15">
      <c r="A415" s="1">
        <v>41765</v>
      </c>
      <c r="B415" t="s">
        <v>3160</v>
      </c>
      <c r="C415" s="2" t="str">
        <f>HYPERLINK("http://snap.windin.com/ns/bulletin.php?id=49029288&amp;type=1", "杭州电缆:首次公开发行股票招股说明书(申报稿2014年4月25日报送)")</f>
        <v>杭州电缆:首次公开发行股票招股说明书(申报稿2014年4月25日报送)</v>
      </c>
      <c r="D415" t="s">
        <v>7168</v>
      </c>
      <c r="E415" t="s">
        <v>5147</v>
      </c>
      <c r="F415" t="s">
        <v>5006</v>
      </c>
    </row>
    <row r="416" spans="1:6" x14ac:dyDescent="0.15">
      <c r="A416" s="1">
        <v>41765</v>
      </c>
      <c r="B416" t="s">
        <v>3161</v>
      </c>
      <c r="C416" s="2" t="str">
        <f>HYPERLINK("http://snap.windin.com/ns/bulletin.php?id=49029302&amp;type=1", "鹭燕药业:首次公开发行股票招股说明书(申报稿2014年4月28日报送)")</f>
        <v>鹭燕药业:首次公开发行股票招股说明书(申报稿2014年4月28日报送)</v>
      </c>
      <c r="D416" t="s">
        <v>7169</v>
      </c>
      <c r="E416" t="s">
        <v>5148</v>
      </c>
      <c r="F416" t="s">
        <v>4938</v>
      </c>
    </row>
    <row r="417" spans="1:6" x14ac:dyDescent="0.15">
      <c r="A417" s="1">
        <v>41765</v>
      </c>
      <c r="B417" t="s">
        <v>3162</v>
      </c>
      <c r="C417" s="2" t="str">
        <f>HYPERLINK("http://snap.windin.com/ns/bulletin.php?id=49029234&amp;type=1", "世名科技:创业板首次公开发行股票招股说明书(申报稿2014年3月20日报送)")</f>
        <v>世名科技:创业板首次公开发行股票招股说明书(申报稿2014年3月20日报送)</v>
      </c>
      <c r="D417" t="s">
        <v>7170</v>
      </c>
      <c r="E417" t="s">
        <v>5149</v>
      </c>
      <c r="F417" t="s">
        <v>5150</v>
      </c>
    </row>
    <row r="418" spans="1:6" x14ac:dyDescent="0.15">
      <c r="A418" s="1">
        <v>41765</v>
      </c>
      <c r="B418" t="s">
        <v>3163</v>
      </c>
      <c r="C418" s="2" t="str">
        <f>HYPERLINK("http://snap.windin.com/ns/bulletin.php?id=49029236&amp;type=1", "中盟科技:创业板首次公开发行股票招股说明书(申报稿2014年4月28日报送)")</f>
        <v>中盟科技:创业板首次公开发行股票招股说明书(申报稿2014年4月28日报送)</v>
      </c>
      <c r="D418" t="s">
        <v>7171</v>
      </c>
      <c r="E418" t="s">
        <v>5151</v>
      </c>
      <c r="F418" t="s">
        <v>5052</v>
      </c>
    </row>
    <row r="419" spans="1:6" x14ac:dyDescent="0.15">
      <c r="A419" s="1">
        <v>41765</v>
      </c>
      <c r="B419" t="s">
        <v>3164</v>
      </c>
      <c r="C419" s="2" t="str">
        <f>HYPERLINK("http://snap.windin.com/ns/bulletin.php?id=49029238&amp;type=1", "蓝海华腾:创业板首次公开发行股票招股说明书(申报稿2014年5月5日报送)")</f>
        <v>蓝海华腾:创业板首次公开发行股票招股说明书(申报稿2014年5月5日报送)</v>
      </c>
      <c r="D419" t="s">
        <v>7172</v>
      </c>
      <c r="E419" t="s">
        <v>5152</v>
      </c>
      <c r="F419" t="s">
        <v>5153</v>
      </c>
    </row>
    <row r="420" spans="1:6" x14ac:dyDescent="0.15">
      <c r="A420" s="1">
        <v>41765</v>
      </c>
      <c r="B420" t="s">
        <v>3165</v>
      </c>
      <c r="C420" s="2" t="str">
        <f>HYPERLINK("http://snap.windin.com/ns/bulletin.php?id=49029230&amp;type=1", "路通视信:创业板首次公开发行股票招股说明书(申报稿2014年4月21日报送)")</f>
        <v>路通视信:创业板首次公开发行股票招股说明书(申报稿2014年4月21日报送)</v>
      </c>
      <c r="D420" t="s">
        <v>7173</v>
      </c>
      <c r="E420" t="s">
        <v>5154</v>
      </c>
      <c r="F420" t="s">
        <v>5155</v>
      </c>
    </row>
    <row r="421" spans="1:6" x14ac:dyDescent="0.15">
      <c r="A421" s="1">
        <v>41765</v>
      </c>
      <c r="B421" t="s">
        <v>3166</v>
      </c>
      <c r="C421" s="2" t="str">
        <f>HYPERLINK("http://snap.windin.com/ns/bulletin.php?id=49029242&amp;type=1", "三恒科技:创业板首次公开发行股票招股说明书(申报稿2014年4月28日报送)")</f>
        <v>三恒科技:创业板首次公开发行股票招股说明书(申报稿2014年4月28日报送)</v>
      </c>
      <c r="D421" t="s">
        <v>7174</v>
      </c>
      <c r="E421" t="s">
        <v>5156</v>
      </c>
      <c r="F421" t="s">
        <v>5052</v>
      </c>
    </row>
    <row r="422" spans="1:6" x14ac:dyDescent="0.15">
      <c r="A422" s="1">
        <v>41765</v>
      </c>
      <c r="B422" t="s">
        <v>3167</v>
      </c>
      <c r="C422" s="2" t="str">
        <f>HYPERLINK("http://snap.windin.com/ns/bulletin.php?id=49029232&amp;type=1", "川环科技:创业板首次公开发行股票招股说明书(申报稿2014年4月28日报送)")</f>
        <v>川环科技:创业板首次公开发行股票招股说明书(申报稿2014年4月28日报送)</v>
      </c>
      <c r="D422" t="s">
        <v>7175</v>
      </c>
      <c r="E422" t="s">
        <v>5157</v>
      </c>
      <c r="F422" t="s">
        <v>5052</v>
      </c>
    </row>
    <row r="423" spans="1:6" x14ac:dyDescent="0.15">
      <c r="A423" s="1">
        <v>41765</v>
      </c>
      <c r="B423" t="s">
        <v>3168</v>
      </c>
      <c r="C423" s="2" t="str">
        <f>HYPERLINK("http://snap.windin.com/ns/bulletin.php?id=49029286&amp;type=1", "好莱客:首次公开发行股票招股说明书(申报稿2014年5月6日报送)")</f>
        <v>好莱客:首次公开发行股票招股说明书(申报稿2014年5月6日报送)</v>
      </c>
      <c r="D423" t="s">
        <v>7176</v>
      </c>
      <c r="E423" t="s">
        <v>5158</v>
      </c>
      <c r="F423" t="s">
        <v>5045</v>
      </c>
    </row>
    <row r="424" spans="1:6" x14ac:dyDescent="0.15">
      <c r="A424" s="1">
        <v>41765</v>
      </c>
      <c r="B424" t="s">
        <v>3169</v>
      </c>
      <c r="C424" s="2" t="str">
        <f>HYPERLINK("http://snap.windin.com/ns/bulletin.php?id=49029240&amp;type=1", "富临精工:创业板首次公开发行股票招股说明书(申报稿2014年5月5日报送)")</f>
        <v>富临精工:创业板首次公开发行股票招股说明书(申报稿2014年5月5日报送)</v>
      </c>
      <c r="D424" t="s">
        <v>7177</v>
      </c>
      <c r="E424" t="s">
        <v>5159</v>
      </c>
      <c r="F424" t="s">
        <v>5153</v>
      </c>
    </row>
    <row r="425" spans="1:6" x14ac:dyDescent="0.15">
      <c r="A425" s="1">
        <v>41765</v>
      </c>
      <c r="B425" t="s">
        <v>3170</v>
      </c>
      <c r="C425" s="2" t="str">
        <f>HYPERLINK("http://snap.windin.com/ns/bulletin.php?id=49029290&amp;type=1", "建工集团:首次公开发行股票招股说明书(申报稿2014年4月4日报送)")</f>
        <v>建工集团:首次公开发行股票招股说明书(申报稿2014年4月4日报送)</v>
      </c>
      <c r="D425" t="s">
        <v>7178</v>
      </c>
      <c r="E425" t="s">
        <v>5160</v>
      </c>
      <c r="F425" t="s">
        <v>5121</v>
      </c>
    </row>
    <row r="426" spans="1:6" x14ac:dyDescent="0.15">
      <c r="A426" s="1">
        <v>41765</v>
      </c>
      <c r="B426" t="s">
        <v>3171</v>
      </c>
      <c r="C426" s="2" t="str">
        <f>HYPERLINK("http://snap.windin.com/ns/bulletin.php?id=49029308&amp;type=1", "基美传媒:首次公开发行股票招股说明书(申报稿2014年5月6日报送)")</f>
        <v>基美传媒:首次公开发行股票招股说明书(申报稿2014年5月6日报送)</v>
      </c>
      <c r="D426" t="s">
        <v>7179</v>
      </c>
      <c r="E426" t="s">
        <v>5161</v>
      </c>
      <c r="F426" t="s">
        <v>5045</v>
      </c>
    </row>
    <row r="427" spans="1:6" x14ac:dyDescent="0.15">
      <c r="A427" s="1">
        <v>41765</v>
      </c>
      <c r="B427" t="s">
        <v>3172</v>
      </c>
      <c r="C427" s="2" t="str">
        <f>HYPERLINK("http://snap.windin.com/ns/bulletin.php?id=49029292&amp;type=1", "可一文化:首次公开发行股票招股说明书(申报稿2014年4月28日报送)")</f>
        <v>可一文化:首次公开发行股票招股说明书(申报稿2014年4月28日报送)</v>
      </c>
      <c r="D427" t="s">
        <v>7180</v>
      </c>
      <c r="E427" t="s">
        <v>5162</v>
      </c>
      <c r="F427" t="s">
        <v>4938</v>
      </c>
    </row>
    <row r="428" spans="1:6" x14ac:dyDescent="0.15">
      <c r="A428" s="1">
        <v>41765</v>
      </c>
      <c r="B428" t="s">
        <v>3173</v>
      </c>
      <c r="C428" s="2" t="str">
        <f>HYPERLINK("http://snap.windin.com/ns/bulletin.php?id=49029306&amp;type=1", "城地建设:首次公开发行股票招股说明书(申报稿2014年4月28日报送)")</f>
        <v>城地建设:首次公开发行股票招股说明书(申报稿2014年4月28日报送)</v>
      </c>
      <c r="D428" t="s">
        <v>7181</v>
      </c>
      <c r="E428" t="s">
        <v>5163</v>
      </c>
      <c r="F428" t="s">
        <v>4938</v>
      </c>
    </row>
    <row r="429" spans="1:6" x14ac:dyDescent="0.15">
      <c r="A429" s="1">
        <v>41765</v>
      </c>
      <c r="B429" t="s">
        <v>3174</v>
      </c>
      <c r="C429" s="2" t="str">
        <f>HYPERLINK("http://snap.windin.com/ns/bulletin.php?id=49029300&amp;type=1", "三祥新材:首次公开发行股票招股说明书(申报稿2014年4月29日报送)")</f>
        <v>三祥新材:首次公开发行股票招股说明书(申报稿2014年4月29日报送)</v>
      </c>
      <c r="D429" t="s">
        <v>7182</v>
      </c>
      <c r="E429" t="s">
        <v>5164</v>
      </c>
      <c r="F429" t="s">
        <v>4666</v>
      </c>
    </row>
    <row r="430" spans="1:6" x14ac:dyDescent="0.15">
      <c r="A430" s="1">
        <v>41765</v>
      </c>
      <c r="B430" t="s">
        <v>3175</v>
      </c>
      <c r="C430" s="2" t="str">
        <f>HYPERLINK("http://snap.windin.com/ns/bulletin.php?id=49029224&amp;type=1", "中潜股份:创业板首次公开发行股票招股说明书(申报稿2014年4月22日报送)")</f>
        <v>中潜股份:创业板首次公开发行股票招股说明书(申报稿2014年4月22日报送)</v>
      </c>
      <c r="D430" t="s">
        <v>7183</v>
      </c>
      <c r="E430" t="s">
        <v>5165</v>
      </c>
      <c r="F430" t="s">
        <v>5166</v>
      </c>
    </row>
    <row r="431" spans="1:6" x14ac:dyDescent="0.15">
      <c r="A431" s="1">
        <v>41765</v>
      </c>
      <c r="B431" t="s">
        <v>3176</v>
      </c>
      <c r="C431" s="2" t="str">
        <f>HYPERLINK("http://snap.windin.com/ns/bulletin.php?id=49029226&amp;type=1", "中科创达:创业板首次公开发行股票招股说明书(申报稿2014年4月11日报送)")</f>
        <v>中科创达:创业板首次公开发行股票招股说明书(申报稿2014年4月11日报送)</v>
      </c>
      <c r="D431" t="s">
        <v>7184</v>
      </c>
      <c r="E431" t="s">
        <v>5167</v>
      </c>
      <c r="F431" t="s">
        <v>5168</v>
      </c>
    </row>
    <row r="432" spans="1:6" x14ac:dyDescent="0.15">
      <c r="A432" s="1">
        <v>41765</v>
      </c>
      <c r="B432" t="s">
        <v>3177</v>
      </c>
      <c r="C432" s="2" t="str">
        <f>HYPERLINK("http://snap.windin.com/ns/bulletin.php?id=49029228&amp;type=1", "智讯创源:创业板首次公开发行股票招股说明书(申报稿2014年4月29日报送)")</f>
        <v>智讯创源:创业板首次公开发行股票招股说明书(申报稿2014年4月29日报送)</v>
      </c>
      <c r="D432" t="s">
        <v>7185</v>
      </c>
      <c r="E432" t="s">
        <v>5169</v>
      </c>
      <c r="F432" t="s">
        <v>5110</v>
      </c>
    </row>
    <row r="433" spans="1:6" x14ac:dyDescent="0.15">
      <c r="A433" s="1">
        <v>41765</v>
      </c>
      <c r="B433" t="s">
        <v>3178</v>
      </c>
      <c r="C433" s="2" t="str">
        <f>HYPERLINK("http://snap.windin.com/ns/bulletin.php?id=49029220&amp;type=1", "凤形耐磨:首次公开发行股票招股说明书(申报稿2014年3月4日报送)")</f>
        <v>凤形耐磨:首次公开发行股票招股说明书(申报稿2014年3月4日报送)</v>
      </c>
      <c r="D433" t="s">
        <v>7186</v>
      </c>
      <c r="E433" t="s">
        <v>5170</v>
      </c>
      <c r="F433" t="s">
        <v>5171</v>
      </c>
    </row>
    <row r="434" spans="1:6" x14ac:dyDescent="0.15">
      <c r="A434" s="1">
        <v>41765</v>
      </c>
      <c r="B434" t="s">
        <v>3179</v>
      </c>
      <c r="C434" s="2" t="str">
        <f>HYPERLINK("http://snap.windin.com/ns/bulletin.php?id=49029322&amp;type=1", "创力集团:首次公开发行股票招股说明书(申报稿2014年5月5日报送)")</f>
        <v>创力集团:首次公开发行股票招股说明书(申报稿2014年5月5日报送)</v>
      </c>
      <c r="D434" t="s">
        <v>7187</v>
      </c>
      <c r="E434" t="s">
        <v>5172</v>
      </c>
      <c r="F434" t="s">
        <v>5047</v>
      </c>
    </row>
    <row r="435" spans="1:6" x14ac:dyDescent="0.15">
      <c r="A435" s="1">
        <v>41765</v>
      </c>
      <c r="B435" t="s">
        <v>3180</v>
      </c>
      <c r="C435" s="2" t="str">
        <f>HYPERLINK("http://snap.windin.com/ns/bulletin.php?id=49029314&amp;type=1", "华盛中天:首次公开发行股票招股说明书(申报稿2014年4月29日报送)")</f>
        <v>华盛中天:首次公开发行股票招股说明书(申报稿2014年4月29日报送)</v>
      </c>
      <c r="D435" t="s">
        <v>7188</v>
      </c>
      <c r="E435" t="s">
        <v>5173</v>
      </c>
      <c r="F435" t="s">
        <v>4666</v>
      </c>
    </row>
    <row r="436" spans="1:6" x14ac:dyDescent="0.15">
      <c r="A436" s="1">
        <v>41765</v>
      </c>
      <c r="B436" t="s">
        <v>3181</v>
      </c>
      <c r="C436" s="2" t="str">
        <f>HYPERLINK("http://snap.windin.com/ns/bulletin.php?id=49029318&amp;type=1", "索通发展:首次公开发行股票招股说明书(申报稿2014年4月28日报送)")</f>
        <v>索通发展:首次公开发行股票招股说明书(申报稿2014年4月28日报送)</v>
      </c>
      <c r="D436" t="s">
        <v>7189</v>
      </c>
      <c r="E436" t="s">
        <v>5174</v>
      </c>
      <c r="F436" t="s">
        <v>4938</v>
      </c>
    </row>
    <row r="437" spans="1:6" x14ac:dyDescent="0.15">
      <c r="A437" s="1">
        <v>41765</v>
      </c>
      <c r="B437" t="s">
        <v>3182</v>
      </c>
      <c r="C437" s="2" t="str">
        <f>HYPERLINK("http://snap.windin.com/ns/bulletin.php?id=49029324&amp;type=1", "宏盛股份:首次公开发行股票招股说明书(申报稿2014年4月25日报送)")</f>
        <v>宏盛股份:首次公开发行股票招股说明书(申报稿2014年4月25日报送)</v>
      </c>
      <c r="D437" t="s">
        <v>7190</v>
      </c>
      <c r="E437" t="s">
        <v>5175</v>
      </c>
      <c r="F437" t="s">
        <v>5006</v>
      </c>
    </row>
    <row r="438" spans="1:6" x14ac:dyDescent="0.15">
      <c r="A438" s="1">
        <v>41765</v>
      </c>
      <c r="B438" t="s">
        <v>3183</v>
      </c>
      <c r="C438" s="2" t="str">
        <f>HYPERLINK("http://snap.windin.com/ns/bulletin.php?id=49029312&amp;type=1", "兆易创新:首次公开发行股票招股说明书(申报稿2014年4月17日报送)")</f>
        <v>兆易创新:首次公开发行股票招股说明书(申报稿2014年4月17日报送)</v>
      </c>
      <c r="D438" t="s">
        <v>7191</v>
      </c>
      <c r="E438" t="s">
        <v>5176</v>
      </c>
      <c r="F438" t="s">
        <v>5177</v>
      </c>
    </row>
    <row r="439" spans="1:6" x14ac:dyDescent="0.15">
      <c r="A439" s="1">
        <v>41765</v>
      </c>
      <c r="B439" t="s">
        <v>3184</v>
      </c>
      <c r="C439" s="2" t="str">
        <f>HYPERLINK("http://snap.windin.com/ns/bulletin.php?id=49029320&amp;type=1", "南威软件:首次公开发行股票招股说明书(申报稿2014年5月6日报送)")</f>
        <v>南威软件:首次公开发行股票招股说明书(申报稿2014年5月6日报送)</v>
      </c>
      <c r="D439" t="s">
        <v>7192</v>
      </c>
      <c r="E439" t="s">
        <v>5178</v>
      </c>
      <c r="F439" t="s">
        <v>5045</v>
      </c>
    </row>
    <row r="440" spans="1:6" x14ac:dyDescent="0.15">
      <c r="A440" s="1">
        <v>41765</v>
      </c>
      <c r="B440" t="s">
        <v>2943</v>
      </c>
      <c r="C440" s="2" t="str">
        <f>HYPERLINK("http://snap.windin.com/ns/bulletin.php?id=49029328&amp;type=1", "联明机械:首次公开发行股票招股说明书(申报稿2014年5月6日报送)")</f>
        <v>联明机械:首次公开发行股票招股说明书(申报稿2014年5月6日报送)</v>
      </c>
      <c r="D440" t="s">
        <v>7193</v>
      </c>
      <c r="E440" t="s">
        <v>5179</v>
      </c>
      <c r="F440" t="s">
        <v>5045</v>
      </c>
    </row>
    <row r="441" spans="1:6" x14ac:dyDescent="0.15">
      <c r="A441" s="1">
        <v>41765</v>
      </c>
      <c r="B441" t="s">
        <v>3185</v>
      </c>
      <c r="C441" s="2" t="str">
        <f>HYPERLINK("http://snap.windin.com/ns/bulletin.php?id=49029332&amp;type=1", "里伍铜业:首次公开发行股票招股说明书(申报稿2014年4月30日报送)")</f>
        <v>里伍铜业:首次公开发行股票招股说明书(申报稿2014年4月30日报送)</v>
      </c>
      <c r="D441" t="s">
        <v>7194</v>
      </c>
      <c r="E441" t="s">
        <v>5180</v>
      </c>
      <c r="F441" t="s">
        <v>5039</v>
      </c>
    </row>
    <row r="442" spans="1:6" x14ac:dyDescent="0.15">
      <c r="A442" s="1">
        <v>41764</v>
      </c>
      <c r="B442" t="s">
        <v>3186</v>
      </c>
      <c r="C442" s="2" t="str">
        <f>HYPERLINK("http://snap.windin.com/ns/bulletin.php?id=47802912&amp;type=1", "长久物流:首次公开发行股票招股说明书(申报稿2014年4月25日报送)")</f>
        <v>长久物流:首次公开发行股票招股说明书(申报稿2014年4月25日报送)</v>
      </c>
      <c r="D442" t="s">
        <v>7195</v>
      </c>
      <c r="E442" t="s">
        <v>5181</v>
      </c>
      <c r="F442" t="s">
        <v>5006</v>
      </c>
    </row>
    <row r="443" spans="1:6" x14ac:dyDescent="0.15">
      <c r="A443" s="1">
        <v>41764</v>
      </c>
      <c r="B443" t="s">
        <v>3187</v>
      </c>
      <c r="C443" s="2" t="str">
        <f>HYPERLINK("http://snap.windin.com/ns/bulletin.php?id=47802538&amp;type=1", "顾家家居:首次公开发行股票招股说明书(申报稿2014年4月4日报送)")</f>
        <v>顾家家居:首次公开发行股票招股说明书(申报稿2014年4月4日报送)</v>
      </c>
      <c r="D443" t="s">
        <v>7196</v>
      </c>
      <c r="E443" t="s">
        <v>5182</v>
      </c>
      <c r="F443" t="s">
        <v>5121</v>
      </c>
    </row>
    <row r="444" spans="1:6" x14ac:dyDescent="0.15">
      <c r="A444" s="1">
        <v>41764</v>
      </c>
      <c r="B444" t="s">
        <v>3188</v>
      </c>
      <c r="C444" s="2" t="str">
        <f>HYPERLINK("http://snap.windin.com/ns/bulletin.php?id=47804524&amp;type=1", "万向新元:创业板首次公开发行股票招股说明书(申报稿2014年4月28日报送)")</f>
        <v>万向新元:创业板首次公开发行股票招股说明书(申报稿2014年4月28日报送)</v>
      </c>
      <c r="D444" t="s">
        <v>7197</v>
      </c>
      <c r="E444" t="s">
        <v>5183</v>
      </c>
      <c r="F444" t="s">
        <v>5052</v>
      </c>
    </row>
    <row r="445" spans="1:6" x14ac:dyDescent="0.15">
      <c r="A445" s="1">
        <v>41764</v>
      </c>
      <c r="B445" t="s">
        <v>3189</v>
      </c>
      <c r="C445" s="2" t="str">
        <f>HYPERLINK("http://snap.windin.com/ns/bulletin.php?id=47804408&amp;type=1", "华气厚普:创业板首次公开发行股票招股说明书(申报稿2014年4月28日报送)")</f>
        <v>华气厚普:创业板首次公开发行股票招股说明书(申报稿2014年4月28日报送)</v>
      </c>
      <c r="D445" t="s">
        <v>7198</v>
      </c>
      <c r="E445" t="s">
        <v>5184</v>
      </c>
      <c r="F445" t="s">
        <v>5052</v>
      </c>
    </row>
    <row r="446" spans="1:6" x14ac:dyDescent="0.15">
      <c r="A446" s="1">
        <v>41764</v>
      </c>
      <c r="B446" t="s">
        <v>3190</v>
      </c>
      <c r="C446" s="2" t="str">
        <f>HYPERLINK("http://snap.windin.com/ns/bulletin.php?id=47804348&amp;type=1", "高新橡塑:创业板首次公开发行股票招股说明书(申报稿2014年4月28日报送)")</f>
        <v>高新橡塑:创业板首次公开发行股票招股说明书(申报稿2014年4月28日报送)</v>
      </c>
      <c r="D446" t="s">
        <v>7199</v>
      </c>
      <c r="E446" t="s">
        <v>5185</v>
      </c>
      <c r="F446" t="s">
        <v>5052</v>
      </c>
    </row>
    <row r="447" spans="1:6" x14ac:dyDescent="0.15">
      <c r="A447" s="1">
        <v>41764</v>
      </c>
      <c r="B447" t="s">
        <v>3191</v>
      </c>
      <c r="C447" s="2" t="str">
        <f>HYPERLINK("http://snap.windin.com/ns/bulletin.php?id=47820364&amp;type=1", "新华文轩:首次公开发行股票招股说明书(申报稿2014年5月5日报送)")</f>
        <v>新华文轩:首次公开发行股票招股说明书(申报稿2014年5月5日报送)</v>
      </c>
      <c r="D447" t="s">
        <v>7200</v>
      </c>
      <c r="E447" t="s">
        <v>5186</v>
      </c>
      <c r="F447" t="s">
        <v>5047</v>
      </c>
    </row>
    <row r="448" spans="1:6" x14ac:dyDescent="0.15">
      <c r="A448" s="1">
        <v>41764</v>
      </c>
      <c r="B448" t="s">
        <v>3192</v>
      </c>
      <c r="C448" s="2" t="str">
        <f>HYPERLINK("http://snap.windin.com/ns/bulletin.php?id=47821732&amp;type=1", "金徽股份:首次公开发行股票招股说明书(申报稿2014年4月28日报送)")</f>
        <v>金徽股份:首次公开发行股票招股说明书(申报稿2014年4月28日报送)</v>
      </c>
      <c r="D448" t="s">
        <v>7201</v>
      </c>
      <c r="E448" t="s">
        <v>5187</v>
      </c>
      <c r="F448" t="s">
        <v>4938</v>
      </c>
    </row>
    <row r="449" spans="1:6" x14ac:dyDescent="0.15">
      <c r="A449" s="1">
        <v>41764</v>
      </c>
      <c r="B449" t="s">
        <v>3193</v>
      </c>
      <c r="C449" s="2" t="str">
        <f>HYPERLINK("http://snap.windin.com/ns/bulletin.php?id=47820190&amp;type=1", "普路通:首次公开发行股票招股说明书(申报稿2014年4月28日报送)")</f>
        <v>普路通:首次公开发行股票招股说明书(申报稿2014年4月28日报送)</v>
      </c>
      <c r="D449" t="s">
        <v>7202</v>
      </c>
      <c r="E449" t="s">
        <v>5188</v>
      </c>
      <c r="F449" t="s">
        <v>4938</v>
      </c>
    </row>
    <row r="450" spans="1:6" x14ac:dyDescent="0.15">
      <c r="A450" s="1">
        <v>41764</v>
      </c>
      <c r="B450" t="s">
        <v>3194</v>
      </c>
      <c r="C450" s="2" t="str">
        <f>HYPERLINK("http://snap.windin.com/ns/bulletin.php?id=47820192&amp;type=1", "欧普股份:首次公开发行股票招股说明书(申报稿2014年4月27日报送)")</f>
        <v>欧普股份:首次公开发行股票招股说明书(申报稿2014年4月27日报送)</v>
      </c>
      <c r="D450" t="s">
        <v>7203</v>
      </c>
      <c r="E450" t="s">
        <v>5189</v>
      </c>
      <c r="F450" t="s">
        <v>5190</v>
      </c>
    </row>
    <row r="451" spans="1:6" x14ac:dyDescent="0.15">
      <c r="A451" s="1">
        <v>41764</v>
      </c>
      <c r="B451" t="s">
        <v>3195</v>
      </c>
      <c r="C451" s="2" t="str">
        <f>HYPERLINK("http://snap.windin.com/ns/bulletin.php?id=47820014&amp;type=1", "金发拉比:首次公开发行股票招股说明书(申报稿2014年4月29日报送)")</f>
        <v>金发拉比:首次公开发行股票招股说明书(申报稿2014年4月29日报送)</v>
      </c>
      <c r="D451" t="s">
        <v>7204</v>
      </c>
      <c r="E451" t="s">
        <v>5191</v>
      </c>
      <c r="F451" t="s">
        <v>4666</v>
      </c>
    </row>
    <row r="452" spans="1:6" x14ac:dyDescent="0.15">
      <c r="A452" s="1">
        <v>41764</v>
      </c>
      <c r="B452" t="s">
        <v>3196</v>
      </c>
      <c r="C452" s="2" t="str">
        <f>HYPERLINK("http://snap.windin.com/ns/bulletin.php?id=47819970&amp;type=1", "飞科电器:首次公开发行股票招股说明书(申报稿2014年4月28日报送)")</f>
        <v>飞科电器:首次公开发行股票招股说明书(申报稿2014年4月28日报送)</v>
      </c>
      <c r="D452" t="s">
        <v>7205</v>
      </c>
      <c r="E452" t="s">
        <v>5192</v>
      </c>
      <c r="F452" t="s">
        <v>4938</v>
      </c>
    </row>
    <row r="453" spans="1:6" x14ac:dyDescent="0.15">
      <c r="A453" s="1">
        <v>41764</v>
      </c>
      <c r="B453" t="s">
        <v>3197</v>
      </c>
      <c r="C453" s="2" t="str">
        <f>HYPERLINK("http://snap.windin.com/ns/bulletin.php?id=47819278&amp;type=1", "索菱股份:首次公开发行股票招股说明书(申报稿2014年4月28日报送)")</f>
        <v>索菱股份:首次公开发行股票招股说明书(申报稿2014年4月28日报送)</v>
      </c>
      <c r="D453" t="s">
        <v>7206</v>
      </c>
      <c r="E453" t="s">
        <v>5193</v>
      </c>
      <c r="F453" t="s">
        <v>4938</v>
      </c>
    </row>
    <row r="454" spans="1:6" x14ac:dyDescent="0.15">
      <c r="A454" s="1">
        <v>41764</v>
      </c>
      <c r="B454" t="s">
        <v>3198</v>
      </c>
      <c r="C454" s="2" t="str">
        <f>HYPERLINK("http://snap.windin.com/ns/bulletin.php?id=47818192&amp;type=1", "银龙股份:首次公开发行股票招股说明书(申报稿2014年4月28日报送)")</f>
        <v>银龙股份:首次公开发行股票招股说明书(申报稿2014年4月28日报送)</v>
      </c>
      <c r="D454" t="s">
        <v>7207</v>
      </c>
      <c r="E454" t="s">
        <v>5194</v>
      </c>
      <c r="F454" t="s">
        <v>4938</v>
      </c>
    </row>
    <row r="455" spans="1:6" x14ac:dyDescent="0.15">
      <c r="A455" s="1">
        <v>41764</v>
      </c>
      <c r="B455" t="s">
        <v>3199</v>
      </c>
      <c r="C455" s="2" t="str">
        <f>HYPERLINK("http://snap.windin.com/ns/bulletin.php?id=47818084&amp;type=1", "海兴电力:首次公开发行股票招股说明书(申报稿2014年4月30日报送)")</f>
        <v>海兴电力:首次公开发行股票招股说明书(申报稿2014年4月30日报送)</v>
      </c>
      <c r="D455" t="s">
        <v>7208</v>
      </c>
      <c r="E455" t="s">
        <v>5195</v>
      </c>
      <c r="F455" t="s">
        <v>5039</v>
      </c>
    </row>
    <row r="456" spans="1:6" x14ac:dyDescent="0.15">
      <c r="A456" s="1">
        <v>41764</v>
      </c>
      <c r="B456" t="s">
        <v>3200</v>
      </c>
      <c r="C456" s="2" t="str">
        <f>HYPERLINK("http://snap.windin.com/ns/bulletin.php?id=47818106&amp;type=1", "文科园林:首次公开发行股票招股说明书(申报稿2014年4月30日报送)")</f>
        <v>文科园林:首次公开发行股票招股说明书(申报稿2014年4月30日报送)</v>
      </c>
      <c r="D456" t="s">
        <v>7209</v>
      </c>
      <c r="E456" t="s">
        <v>5196</v>
      </c>
      <c r="F456" t="s">
        <v>5039</v>
      </c>
    </row>
    <row r="457" spans="1:6" x14ac:dyDescent="0.15">
      <c r="A457" s="1">
        <v>41764</v>
      </c>
      <c r="B457" t="s">
        <v>3201</v>
      </c>
      <c r="C457" s="2" t="str">
        <f>HYPERLINK("http://snap.windin.com/ns/bulletin.php?id=47817890&amp;type=1", "汇洁股份:首次公开发行股票招股说明书(申报稿2014年4月29日报送)")</f>
        <v>汇洁股份:首次公开发行股票招股说明书(申报稿2014年4月29日报送)</v>
      </c>
      <c r="D457" t="s">
        <v>7210</v>
      </c>
      <c r="E457" t="s">
        <v>5197</v>
      </c>
      <c r="F457" t="s">
        <v>4666</v>
      </c>
    </row>
    <row r="458" spans="1:6" x14ac:dyDescent="0.15">
      <c r="A458" s="1">
        <v>41764</v>
      </c>
      <c r="B458" t="s">
        <v>3202</v>
      </c>
      <c r="C458" s="2" t="str">
        <f>HYPERLINK("http://snap.windin.com/ns/bulletin.php?id=47817892&amp;type=1", "三达膜:首次公开发行股票招股说明书(申报稿2014年4月25日报送)")</f>
        <v>三达膜:首次公开发行股票招股说明书(申报稿2014年4月25日报送)</v>
      </c>
      <c r="D458" t="s">
        <v>7211</v>
      </c>
      <c r="E458" t="s">
        <v>5198</v>
      </c>
      <c r="F458" t="s">
        <v>5006</v>
      </c>
    </row>
    <row r="459" spans="1:6" x14ac:dyDescent="0.15">
      <c r="A459" s="1">
        <v>41764</v>
      </c>
      <c r="B459" t="s">
        <v>3203</v>
      </c>
      <c r="C459" s="2" t="str">
        <f>HYPERLINK("http://snap.windin.com/ns/bulletin.php?id=47817888&amp;type=1", "科达科技:首次公开发行股票招股说明书(申报稿2014年4月28日报送)")</f>
        <v>科达科技:首次公开发行股票招股说明书(申报稿2014年4月28日报送)</v>
      </c>
      <c r="D459" t="s">
        <v>7212</v>
      </c>
      <c r="E459" t="s">
        <v>5199</v>
      </c>
      <c r="F459" t="s">
        <v>4938</v>
      </c>
    </row>
    <row r="460" spans="1:6" x14ac:dyDescent="0.15">
      <c r="A460" s="1">
        <v>41764</v>
      </c>
      <c r="B460" t="s">
        <v>3204</v>
      </c>
      <c r="C460" s="2" t="str">
        <f>HYPERLINK("http://snap.windin.com/ns/bulletin.php?id=47804212&amp;type=1", "中飞股份:创业板首次公开发行股票招股说明书(申报稿2014年4月30日报送)")</f>
        <v>中飞股份:创业板首次公开发行股票招股说明书(申报稿2014年4月30日报送)</v>
      </c>
      <c r="D460" t="s">
        <v>7213</v>
      </c>
      <c r="E460" t="s">
        <v>5200</v>
      </c>
      <c r="F460" t="s">
        <v>5101</v>
      </c>
    </row>
    <row r="461" spans="1:6" x14ac:dyDescent="0.15">
      <c r="A461" s="1">
        <v>41764</v>
      </c>
      <c r="B461" t="s">
        <v>3205</v>
      </c>
      <c r="C461" s="2" t="str">
        <f>HYPERLINK("http://snap.windin.com/ns/bulletin.php?id=47803954&amp;type=1", "盛天网络:创业板首次公开发行股票招股说明书(申报稿2014年4月28日报送)")</f>
        <v>盛天网络:创业板首次公开发行股票招股说明书(申报稿2014年4月28日报送)</v>
      </c>
      <c r="D461" t="s">
        <v>7214</v>
      </c>
      <c r="E461" t="s">
        <v>5201</v>
      </c>
      <c r="F461" t="s">
        <v>5052</v>
      </c>
    </row>
    <row r="462" spans="1:6" x14ac:dyDescent="0.15">
      <c r="A462" s="1">
        <v>41764</v>
      </c>
      <c r="B462" t="s">
        <v>3206</v>
      </c>
      <c r="C462" s="2" t="str">
        <f>HYPERLINK("http://snap.windin.com/ns/bulletin.php?id=47803718&amp;type=1", "华自科技:创业板首次公开发行股票招股说明书(申报稿2014年4月28日报送)")</f>
        <v>华自科技:创业板首次公开发行股票招股说明书(申报稿2014年4月28日报送)</v>
      </c>
      <c r="D462" t="s">
        <v>7215</v>
      </c>
      <c r="E462" t="s">
        <v>5202</v>
      </c>
      <c r="F462" t="s">
        <v>5052</v>
      </c>
    </row>
    <row r="463" spans="1:6" x14ac:dyDescent="0.15">
      <c r="A463" s="1">
        <v>41764</v>
      </c>
      <c r="B463" t="s">
        <v>3207</v>
      </c>
      <c r="C463" s="2" t="str">
        <f>HYPERLINK("http://snap.windin.com/ns/bulletin.php?id=47803492&amp;type=1", "东杰装备:创业板首次公开发行股票招股说明书(申报稿2014年4月28日报送)")</f>
        <v>东杰装备:创业板首次公开发行股票招股说明书(申报稿2014年4月28日报送)</v>
      </c>
      <c r="D463" t="s">
        <v>7216</v>
      </c>
      <c r="E463" t="s">
        <v>5203</v>
      </c>
      <c r="F463" t="s">
        <v>5052</v>
      </c>
    </row>
    <row r="464" spans="1:6" x14ac:dyDescent="0.15">
      <c r="A464" s="1">
        <v>41764</v>
      </c>
      <c r="B464" t="s">
        <v>3208</v>
      </c>
      <c r="C464" s="2" t="str">
        <f>HYPERLINK("http://snap.windin.com/ns/bulletin.php?id=47803488&amp;type=1", "斯迪克:创业板首次公开发行股票招股说明书(申报稿2014年4月29日报送)")</f>
        <v>斯迪克:创业板首次公开发行股票招股说明书(申报稿2014年4月29日报送)</v>
      </c>
      <c r="D464" t="s">
        <v>7217</v>
      </c>
      <c r="E464" t="s">
        <v>5204</v>
      </c>
      <c r="F464" t="s">
        <v>5110</v>
      </c>
    </row>
    <row r="465" spans="1:6" x14ac:dyDescent="0.15">
      <c r="A465" s="1">
        <v>41764</v>
      </c>
      <c r="B465" t="s">
        <v>3209</v>
      </c>
      <c r="C465" s="2" t="str">
        <f>HYPERLINK("http://snap.windin.com/ns/bulletin.php?id=47803372&amp;type=1", "宏大真空:创业板首次公开发行股票招股说明书(申报稿2014年4月25日报送)")</f>
        <v>宏大真空:创业板首次公开发行股票招股说明书(申报稿2014年4月25日报送)</v>
      </c>
      <c r="D465" t="s">
        <v>7218</v>
      </c>
      <c r="E465" t="s">
        <v>5205</v>
      </c>
      <c r="F465" t="s">
        <v>5206</v>
      </c>
    </row>
    <row r="466" spans="1:6" x14ac:dyDescent="0.15">
      <c r="A466" s="1">
        <v>41764</v>
      </c>
      <c r="B466" t="s">
        <v>3210</v>
      </c>
      <c r="C466" s="2" t="str">
        <f>HYPERLINK("http://snap.windin.com/ns/bulletin.php?id=47803122&amp;type=1", "光力科技:创业板首次公开发行股票招股说明书(申报稿2014年4月30日报送)")</f>
        <v>光力科技:创业板首次公开发行股票招股说明书(申报稿2014年4月30日报送)</v>
      </c>
      <c r="D466" t="s">
        <v>7219</v>
      </c>
      <c r="E466" t="s">
        <v>5207</v>
      </c>
      <c r="F466" t="s">
        <v>5101</v>
      </c>
    </row>
    <row r="467" spans="1:6" x14ac:dyDescent="0.15">
      <c r="A467" s="1">
        <v>41764</v>
      </c>
      <c r="B467" t="s">
        <v>3211</v>
      </c>
      <c r="C467" s="2" t="str">
        <f>HYPERLINK("http://snap.windin.com/ns/bulletin.php?id=47817458&amp;type=1", "宝钢包装:首次公开发行股票招股说明书(申报稿2014年3月13日报送)")</f>
        <v>宝钢包装:首次公开发行股票招股说明书(申报稿2014年3月13日报送)</v>
      </c>
      <c r="D467" t="s">
        <v>7220</v>
      </c>
      <c r="E467" t="s">
        <v>5208</v>
      </c>
      <c r="F467" t="s">
        <v>5209</v>
      </c>
    </row>
    <row r="468" spans="1:6" x14ac:dyDescent="0.15">
      <c r="A468" s="1">
        <v>41764</v>
      </c>
      <c r="B468" t="s">
        <v>3212</v>
      </c>
      <c r="C468" s="2" t="str">
        <f>HYPERLINK("http://snap.windin.com/ns/bulletin.php?id=47817190&amp;type=1", "精达成形:首次公开发行股票招股说明书(申报稿2014年4月30日报送)")</f>
        <v>精达成形:首次公开发行股票招股说明书(申报稿2014年4月30日报送)</v>
      </c>
      <c r="D468" t="s">
        <v>7221</v>
      </c>
      <c r="E468" t="s">
        <v>5210</v>
      </c>
      <c r="F468" t="s">
        <v>5039</v>
      </c>
    </row>
    <row r="469" spans="1:6" x14ac:dyDescent="0.15">
      <c r="A469" s="1">
        <v>41764</v>
      </c>
      <c r="B469" t="s">
        <v>3213</v>
      </c>
      <c r="C469" s="2" t="str">
        <f>HYPERLINK("http://snap.windin.com/ns/bulletin.php?id=47813560&amp;type=1", "五洲新春:首次公开发行股票招股说明书(申报稿2014年4月25日报送)")</f>
        <v>五洲新春:首次公开发行股票招股说明书(申报稿2014年4月25日报送)</v>
      </c>
      <c r="D469" t="s">
        <v>7222</v>
      </c>
      <c r="E469" t="s">
        <v>5211</v>
      </c>
      <c r="F469" t="s">
        <v>5006</v>
      </c>
    </row>
    <row r="470" spans="1:6" x14ac:dyDescent="0.15">
      <c r="A470" s="1">
        <v>41764</v>
      </c>
      <c r="B470" t="s">
        <v>3214</v>
      </c>
      <c r="C470" s="2" t="str">
        <f>HYPERLINK("http://snap.windin.com/ns/bulletin.php?id=47822760&amp;type=1", "鼎信通讯:首次公开发行股票招股说明书(申报稿2014年4月30日报送)")</f>
        <v>鼎信通讯:首次公开发行股票招股说明书(申报稿2014年4月30日报送)</v>
      </c>
      <c r="D470" t="s">
        <v>7223</v>
      </c>
      <c r="E470" t="s">
        <v>5212</v>
      </c>
      <c r="F470" t="s">
        <v>5039</v>
      </c>
    </row>
    <row r="471" spans="1:6" x14ac:dyDescent="0.15">
      <c r="A471" s="1">
        <v>41763</v>
      </c>
      <c r="B471" t="s">
        <v>3215</v>
      </c>
      <c r="C471" s="2" t="str">
        <f>HYPERLINK("http://snap.windin.com/ns/bulletin.php?id=46240520&amp;type=1", "龙津药业:首次公开发行股票招股说明书(申报稿2014年4月30日报送)")</f>
        <v>龙津药业:首次公开发行股票招股说明书(申报稿2014年4月30日报送)</v>
      </c>
      <c r="D471" t="s">
        <v>7224</v>
      </c>
      <c r="E471" t="s">
        <v>5213</v>
      </c>
      <c r="F471" t="s">
        <v>5039</v>
      </c>
    </row>
    <row r="472" spans="1:6" x14ac:dyDescent="0.15">
      <c r="A472" s="1">
        <v>41763</v>
      </c>
      <c r="B472" t="s">
        <v>3216</v>
      </c>
      <c r="C472" s="2" t="str">
        <f>HYPERLINK("http://snap.windin.com/ns/bulletin.php?id=46240442&amp;type=1", "大豪科技:首次公开发行股票招股说明书(申报稿2014年4月25日报送)")</f>
        <v>大豪科技:首次公开发行股票招股说明书(申报稿2014年4月25日报送)</v>
      </c>
      <c r="D472" t="s">
        <v>7225</v>
      </c>
      <c r="E472" t="s">
        <v>5214</v>
      </c>
      <c r="F472" t="s">
        <v>5006</v>
      </c>
    </row>
    <row r="473" spans="1:6" x14ac:dyDescent="0.15">
      <c r="A473" s="1">
        <v>41763</v>
      </c>
      <c r="B473" t="s">
        <v>3217</v>
      </c>
      <c r="C473" s="2" t="str">
        <f>HYPERLINK("http://snap.windin.com/ns/bulletin.php?id=46240434&amp;type=1", "星徽精密:创业板首次公开发行股票招股说明书(申报稿2014年4月25日报送)")</f>
        <v>星徽精密:创业板首次公开发行股票招股说明书(申报稿2014年4月25日报送)</v>
      </c>
      <c r="D473" t="s">
        <v>7226</v>
      </c>
      <c r="E473" t="s">
        <v>5215</v>
      </c>
      <c r="F473" t="s">
        <v>5206</v>
      </c>
    </row>
    <row r="474" spans="1:6" x14ac:dyDescent="0.15">
      <c r="A474" s="1">
        <v>41763</v>
      </c>
      <c r="B474" t="s">
        <v>3218</v>
      </c>
      <c r="C474" s="2" t="str">
        <f>HYPERLINK("http://snap.windin.com/ns/bulletin.php?id=46240320&amp;type=1", "沈鼓集团:首次公开发行股票招股说明书(申报稿2014年4月29日报送)")</f>
        <v>沈鼓集团:首次公开发行股票招股说明书(申报稿2014年4月29日报送)</v>
      </c>
      <c r="D474" t="s">
        <v>7227</v>
      </c>
      <c r="E474" t="s">
        <v>5216</v>
      </c>
      <c r="F474" t="s">
        <v>4666</v>
      </c>
    </row>
    <row r="475" spans="1:6" x14ac:dyDescent="0.15">
      <c r="A475" s="1">
        <v>41763</v>
      </c>
      <c r="B475" t="s">
        <v>2773</v>
      </c>
      <c r="C475" s="2" t="str">
        <f>HYPERLINK("http://snap.windin.com/ns/bulletin.php?id=46240260&amp;type=1", "黑猫焦化:首次公开发行股票招股说明书(申报稿2014年4月30日报送)")</f>
        <v>黑猫焦化:首次公开发行股票招股说明书(申报稿2014年4月30日报送)</v>
      </c>
      <c r="D475" t="s">
        <v>7228</v>
      </c>
      <c r="E475" t="s">
        <v>4626</v>
      </c>
      <c r="F475" t="s">
        <v>5039</v>
      </c>
    </row>
    <row r="476" spans="1:6" x14ac:dyDescent="0.15">
      <c r="A476" s="1">
        <v>41763</v>
      </c>
      <c r="B476" t="s">
        <v>3219</v>
      </c>
      <c r="C476" s="2" t="str">
        <f>HYPERLINK("http://snap.windin.com/ns/bulletin.php?id=46240104&amp;type=1", "航新科技:创业板首次公开发行股票招股说明书(申报稿2014年4月24日报送)")</f>
        <v>航新科技:创业板首次公开发行股票招股说明书(申报稿2014年4月24日报送)</v>
      </c>
      <c r="D476" t="s">
        <v>7229</v>
      </c>
      <c r="E476" t="s">
        <v>5217</v>
      </c>
      <c r="F476" t="s">
        <v>5050</v>
      </c>
    </row>
    <row r="477" spans="1:6" x14ac:dyDescent="0.15">
      <c r="A477" s="1">
        <v>41763</v>
      </c>
      <c r="B477" t="s">
        <v>3220</v>
      </c>
      <c r="C477" s="2" t="str">
        <f>HYPERLINK("http://snap.windin.com/ns/bulletin.php?id=46240024&amp;type=1", "中信信息:创业板首次公开发行股票招股说明书(申报稿2014年4月17日报送)")</f>
        <v>中信信息:创业板首次公开发行股票招股说明书(申报稿2014年4月17日报送)</v>
      </c>
      <c r="D477" t="s">
        <v>7230</v>
      </c>
      <c r="E477" t="s">
        <v>5218</v>
      </c>
      <c r="F477" t="s">
        <v>5219</v>
      </c>
    </row>
    <row r="478" spans="1:6" x14ac:dyDescent="0.15">
      <c r="A478" s="1">
        <v>41763</v>
      </c>
      <c r="B478" t="s">
        <v>3221</v>
      </c>
      <c r="C478" s="2" t="str">
        <f>HYPERLINK("http://snap.windin.com/ns/bulletin.php?id=46240026&amp;type=1", "神思电子:创业板首次公开发行股票招股说明书(申报稿2014年4月23日报送)")</f>
        <v>神思电子:创业板首次公开发行股票招股说明书(申报稿2014年4月23日报送)</v>
      </c>
      <c r="D478" t="s">
        <v>7231</v>
      </c>
      <c r="E478" t="s">
        <v>5220</v>
      </c>
      <c r="F478" t="s">
        <v>5221</v>
      </c>
    </row>
    <row r="479" spans="1:6" x14ac:dyDescent="0.15">
      <c r="A479" s="1">
        <v>41763</v>
      </c>
      <c r="B479" t="s">
        <v>3222</v>
      </c>
      <c r="C479" s="2" t="str">
        <f>HYPERLINK("http://snap.windin.com/ns/bulletin.php?id=46240022&amp;type=1", "凯龙化工:首次公开发行股票招股说明书(申报稿2014年4月28日报送)")</f>
        <v>凯龙化工:首次公开发行股票招股说明书(申报稿2014年4月28日报送)</v>
      </c>
      <c r="D479" t="s">
        <v>7232</v>
      </c>
      <c r="E479" t="s">
        <v>5222</v>
      </c>
      <c r="F479" t="s">
        <v>4938</v>
      </c>
    </row>
    <row r="480" spans="1:6" x14ac:dyDescent="0.15">
      <c r="A480" s="1">
        <v>41763</v>
      </c>
      <c r="B480" t="s">
        <v>3223</v>
      </c>
      <c r="C480" s="2" t="str">
        <f>HYPERLINK("http://snap.windin.com/ns/bulletin.php?id=46239814&amp;type=1", "世纪光电:首次公开发行股票招股说明书(申报稿2014年4月30日报送)")</f>
        <v>世纪光电:首次公开发行股票招股说明书(申报稿2014年4月30日报送)</v>
      </c>
      <c r="D480" t="s">
        <v>7233</v>
      </c>
      <c r="E480" t="s">
        <v>5223</v>
      </c>
      <c r="F480" t="s">
        <v>5039</v>
      </c>
    </row>
    <row r="481" spans="1:7" x14ac:dyDescent="0.15">
      <c r="A481" s="1">
        <v>41763</v>
      </c>
      <c r="B481" t="s">
        <v>3224</v>
      </c>
      <c r="C481" s="2" t="str">
        <f>HYPERLINK("http://snap.windin.com/ns/bulletin.php?id=46240020&amp;type=1", "山鼎设计:创业板首次公开发行股票招股说明书(申报稿2014年4月30日报送)")</f>
        <v>山鼎设计:创业板首次公开发行股票招股说明书(申报稿2014年4月30日报送)</v>
      </c>
      <c r="D481" t="s">
        <v>7234</v>
      </c>
      <c r="E481" t="s">
        <v>5224</v>
      </c>
      <c r="F481" t="s">
        <v>5101</v>
      </c>
    </row>
    <row r="482" spans="1:7" x14ac:dyDescent="0.15">
      <c r="A482" s="1">
        <v>41763</v>
      </c>
      <c r="B482" t="s">
        <v>3225</v>
      </c>
      <c r="C482" s="2" t="str">
        <f>HYPERLINK("http://snap.windin.com/ns/bulletin.php?id=46239936&amp;type=1", "西部黄金:首次公开发行股票招股说明书(申报稿2014年4月24日报送)")</f>
        <v>西部黄金:首次公开发行股票招股说明书(申报稿2014年4月24日报送)</v>
      </c>
      <c r="D482" t="s">
        <v>7235</v>
      </c>
      <c r="E482" t="s">
        <v>5225</v>
      </c>
      <c r="F482" t="s">
        <v>4690</v>
      </c>
    </row>
    <row r="483" spans="1:7" x14ac:dyDescent="0.15">
      <c r="A483" s="1">
        <v>41763</v>
      </c>
      <c r="B483" t="s">
        <v>3226</v>
      </c>
      <c r="C483" s="2" t="str">
        <f>HYPERLINK("http://snap.windin.com/ns/bulletin.php?id=46239832&amp;type=1", "国光农化:首次公开发行股票招股说明书(申报稿2014年4月28日报送)")</f>
        <v>国光农化:首次公开发行股票招股说明书(申报稿2014年4月28日报送)</v>
      </c>
      <c r="D483" t="s">
        <v>7236</v>
      </c>
      <c r="E483" t="s">
        <v>5226</v>
      </c>
      <c r="F483" t="s">
        <v>4938</v>
      </c>
    </row>
    <row r="484" spans="1:7" x14ac:dyDescent="0.15">
      <c r="A484" s="1">
        <v>41763</v>
      </c>
      <c r="B484" t="s">
        <v>3227</v>
      </c>
      <c r="C484" s="2" t="str">
        <f>HYPERLINK("http://snap.windin.com/ns/bulletin.php?id=46240018&amp;type=1", "中国核电:首次公开发行股票招股说明书(申报稿2014年4月25日报送)")</f>
        <v>中国核电:首次公开发行股票招股说明书(申报稿2014年4月25日报送)</v>
      </c>
      <c r="D484" t="s">
        <v>7237</v>
      </c>
      <c r="E484" t="s">
        <v>5227</v>
      </c>
      <c r="F484" t="s">
        <v>5006</v>
      </c>
    </row>
    <row r="485" spans="1:7" x14ac:dyDescent="0.15">
      <c r="A485" s="1">
        <v>41763</v>
      </c>
      <c r="B485" t="s">
        <v>3228</v>
      </c>
      <c r="C485" s="2" t="str">
        <f>HYPERLINK("http://snap.windin.com/ns/bulletin.php?id=46240016&amp;type=1", "鑫广绿环:首次公开发行股票招股说明书(申报稿2014年4月28日报送)")</f>
        <v>鑫广绿环:首次公开发行股票招股说明书(申报稿2014年4月28日报送)</v>
      </c>
      <c r="D485" t="s">
        <v>7238</v>
      </c>
      <c r="E485" t="s">
        <v>5228</v>
      </c>
      <c r="F485" t="s">
        <v>4938</v>
      </c>
    </row>
    <row r="486" spans="1:7" x14ac:dyDescent="0.15">
      <c r="A486" s="1">
        <v>41763</v>
      </c>
      <c r="B486" t="s">
        <v>3229</v>
      </c>
      <c r="C486" s="2" t="str">
        <f>HYPERLINK("http://snap.windin.com/ns/bulletin.php?id=46239884&amp;type=1", "海天精工:首次公开发行股票招股说明书(申报稿2014年4月30日报送)")</f>
        <v>海天精工:首次公开发行股票招股说明书(申报稿2014年4月30日报送)</v>
      </c>
      <c r="D486" t="s">
        <v>7239</v>
      </c>
      <c r="E486" t="s">
        <v>5229</v>
      </c>
      <c r="F486" t="s">
        <v>5039</v>
      </c>
    </row>
    <row r="487" spans="1:7" x14ac:dyDescent="0.15">
      <c r="A487" s="1">
        <v>41763</v>
      </c>
      <c r="B487" t="s">
        <v>3230</v>
      </c>
      <c r="C487" s="2" t="str">
        <f>HYPERLINK("http://snap.windin.com/ns/bulletin.php?id=46239774&amp;type=1", "中新集团:首次公开发行股票招股说明书(申报稿2014年4月30日报送)")</f>
        <v>中新集团:首次公开发行股票招股说明书(申报稿2014年4月30日报送)</v>
      </c>
      <c r="D487" t="s">
        <v>7240</v>
      </c>
      <c r="E487" t="s">
        <v>5230</v>
      </c>
      <c r="F487" t="s">
        <v>5039</v>
      </c>
    </row>
    <row r="488" spans="1:7" x14ac:dyDescent="0.15">
      <c r="A488" s="1">
        <v>41763</v>
      </c>
      <c r="B488" t="s">
        <v>3231</v>
      </c>
      <c r="C488" s="2" t="str">
        <f>HYPERLINK("http://snap.windin.com/ns/bulletin.php?id=46239776&amp;type=1", "东方新星:首次公开发行股票招股说明书(申报稿2014年4月28日报送)")</f>
        <v>东方新星:首次公开发行股票招股说明书(申报稿2014年4月28日报送)</v>
      </c>
      <c r="D488" t="s">
        <v>7241</v>
      </c>
      <c r="E488" t="s">
        <v>5231</v>
      </c>
      <c r="F488" t="s">
        <v>4938</v>
      </c>
    </row>
    <row r="489" spans="1:7" x14ac:dyDescent="0.15">
      <c r="A489" s="1">
        <v>41763</v>
      </c>
      <c r="B489" t="s">
        <v>3232</v>
      </c>
      <c r="C489" s="2" t="str">
        <f>HYPERLINK("http://snap.windin.com/ns/bulletin.php?id=46239772&amp;type=1", "赛摩电气:创业板首次公开发行股票招股说明书(申报稿报送日期:2014年4月30日)")</f>
        <v>赛摩电气:创业板首次公开发行股票招股说明书(申报稿报送日期:2014年4月30日)</v>
      </c>
      <c r="D489" t="s">
        <v>7242</v>
      </c>
      <c r="E489" t="s">
        <v>5232</v>
      </c>
      <c r="F489" t="s">
        <v>5233</v>
      </c>
      <c r="G489" t="s">
        <v>5234</v>
      </c>
    </row>
    <row r="490" spans="1:7" x14ac:dyDescent="0.15">
      <c r="A490" s="1">
        <v>41763</v>
      </c>
      <c r="B490" t="s">
        <v>3233</v>
      </c>
      <c r="C490" s="2" t="str">
        <f>HYPERLINK("http://snap.windin.com/ns/bulletin.php?id=46239766&amp;type=1", "大中矿业:首次公开发行股票招股说明书(申报稿2014年4月30日报送)")</f>
        <v>大中矿业:首次公开发行股票招股说明书(申报稿2014年4月30日报送)</v>
      </c>
      <c r="D490" t="s">
        <v>7243</v>
      </c>
      <c r="E490" t="s">
        <v>5235</v>
      </c>
      <c r="F490" t="s">
        <v>5039</v>
      </c>
    </row>
    <row r="491" spans="1:7" x14ac:dyDescent="0.15">
      <c r="A491" s="1">
        <v>41763</v>
      </c>
      <c r="B491" t="s">
        <v>3234</v>
      </c>
      <c r="C491" s="2" t="str">
        <f>HYPERLINK("http://snap.windin.com/ns/bulletin.php?id=46239768&amp;type=1", "川仪股份:首次公开发行股票招股说明书(申报稿2014年5月4日报送)")</f>
        <v>川仪股份:首次公开发行股票招股说明书(申报稿2014年5月4日报送)</v>
      </c>
      <c r="D491" t="s">
        <v>7244</v>
      </c>
      <c r="E491" t="s">
        <v>4656</v>
      </c>
      <c r="F491" t="s">
        <v>5236</v>
      </c>
    </row>
    <row r="492" spans="1:7" x14ac:dyDescent="0.15">
      <c r="A492" s="1">
        <v>41763</v>
      </c>
      <c r="B492" t="s">
        <v>3235</v>
      </c>
      <c r="C492" s="2" t="str">
        <f>HYPERLINK("http://snap.windin.com/ns/bulletin.php?id=46240794&amp;type=1", "高伟达:创业板首次公开发行股票招股说明书(申报稿2014年4月28日报送)")</f>
        <v>高伟达:创业板首次公开发行股票招股说明书(申报稿2014年4月28日报送)</v>
      </c>
      <c r="D492" t="s">
        <v>7245</v>
      </c>
      <c r="E492" t="s">
        <v>5237</v>
      </c>
      <c r="F492" t="s">
        <v>5052</v>
      </c>
    </row>
    <row r="493" spans="1:7" x14ac:dyDescent="0.15">
      <c r="A493" s="1">
        <v>41763</v>
      </c>
      <c r="B493" t="s">
        <v>3236</v>
      </c>
      <c r="C493" s="2" t="str">
        <f>HYPERLINK("http://snap.windin.com/ns/bulletin.php?id=46240792&amp;type=1", "美尚生态:创业板首次公开发行股票招股说明书(申报稿2014年4月17日报送)")</f>
        <v>美尚生态:创业板首次公开发行股票招股说明书(申报稿2014年4月17日报送)</v>
      </c>
      <c r="D493" t="s">
        <v>7246</v>
      </c>
      <c r="E493" t="s">
        <v>5238</v>
      </c>
      <c r="F493" t="s">
        <v>5219</v>
      </c>
    </row>
    <row r="494" spans="1:7" x14ac:dyDescent="0.15">
      <c r="A494" s="1">
        <v>41763</v>
      </c>
      <c r="B494" t="s">
        <v>3237</v>
      </c>
      <c r="C494" s="2" t="str">
        <f>HYPERLINK("http://snap.windin.com/ns/bulletin.php?id=46240420&amp;type=1", "葵花药业:首次公开发行股票招股说明书(申报稿2014年4月29日报送)")</f>
        <v>葵花药业:首次公开发行股票招股说明书(申报稿2014年4月29日报送)</v>
      </c>
      <c r="D494" t="s">
        <v>7247</v>
      </c>
      <c r="E494" t="s">
        <v>5239</v>
      </c>
      <c r="F494" t="s">
        <v>4666</v>
      </c>
    </row>
    <row r="495" spans="1:7" x14ac:dyDescent="0.15">
      <c r="A495" s="1">
        <v>41763</v>
      </c>
      <c r="B495" t="s">
        <v>3238</v>
      </c>
      <c r="C495" s="2" t="str">
        <f>HYPERLINK("http://snap.windin.com/ns/bulletin.php?id=46239876&amp;type=1", "福斯特:首次公开发行股票招股说明书(申报稿2014年5月4日报送)")</f>
        <v>福斯特:首次公开发行股票招股说明书(申报稿2014年5月4日报送)</v>
      </c>
      <c r="D495" t="s">
        <v>7248</v>
      </c>
      <c r="E495" t="s">
        <v>5240</v>
      </c>
      <c r="F495" t="s">
        <v>5236</v>
      </c>
    </row>
    <row r="496" spans="1:7" x14ac:dyDescent="0.15">
      <c r="A496" s="1">
        <v>41759</v>
      </c>
      <c r="B496" t="s">
        <v>3239</v>
      </c>
      <c r="C496" s="2" t="str">
        <f>HYPERLINK("http://snap.windin.com/ns/bulletin.php?id=39401832&amp;type=1", "康斯特:创业板首次公开发行股票招股说明书(申报稿2014年3月7日报送)")</f>
        <v>康斯特:创业板首次公开发行股票招股说明书(申报稿2014年3月7日报送)</v>
      </c>
      <c r="D496" t="s">
        <v>7249</v>
      </c>
      <c r="E496" t="s">
        <v>5241</v>
      </c>
      <c r="F496" t="s">
        <v>5116</v>
      </c>
    </row>
    <row r="497" spans="1:6" x14ac:dyDescent="0.15">
      <c r="A497" s="1">
        <v>41759</v>
      </c>
      <c r="B497" t="s">
        <v>3240</v>
      </c>
      <c r="C497" s="2" t="str">
        <f>HYPERLINK("http://snap.windin.com/ns/bulletin.php?id=39401894&amp;type=1", "设计院:首次公开发行股票招股说明书(申报稿2014年4月28日报送)")</f>
        <v>设计院:首次公开发行股票招股说明书(申报稿2014年4月28日报送)</v>
      </c>
      <c r="D497" t="s">
        <v>7250</v>
      </c>
      <c r="E497" t="s">
        <v>5242</v>
      </c>
      <c r="F497" t="s">
        <v>4938</v>
      </c>
    </row>
    <row r="498" spans="1:6" x14ac:dyDescent="0.15">
      <c r="A498" s="1">
        <v>41759</v>
      </c>
      <c r="B498" t="s">
        <v>3241</v>
      </c>
      <c r="C498" s="2" t="str">
        <f>HYPERLINK("http://snap.windin.com/ns/bulletin.php?id=39401916&amp;type=1", "三夫户外:首次公开发行股票招股说明书(申报稿2014年4月30日报送)")</f>
        <v>三夫户外:首次公开发行股票招股说明书(申报稿2014年4月30日报送)</v>
      </c>
      <c r="D498" t="s">
        <v>7251</v>
      </c>
      <c r="E498" t="s">
        <v>5243</v>
      </c>
      <c r="F498" t="s">
        <v>5039</v>
      </c>
    </row>
    <row r="499" spans="1:6" x14ac:dyDescent="0.15">
      <c r="A499" s="1">
        <v>41759</v>
      </c>
      <c r="B499" t="s">
        <v>3242</v>
      </c>
      <c r="C499" s="2" t="str">
        <f>HYPERLINK("http://snap.windin.com/ns/bulletin.php?id=39401880&amp;type=1", "同方环境:首次公开发行股票招股说明书(申报稿2014年3月31日报送)")</f>
        <v>同方环境:首次公开发行股票招股说明书(申报稿2014年3月31日报送)</v>
      </c>
      <c r="D499" t="s">
        <v>7252</v>
      </c>
      <c r="E499" t="s">
        <v>5244</v>
      </c>
      <c r="F499" t="s">
        <v>5245</v>
      </c>
    </row>
    <row r="500" spans="1:6" x14ac:dyDescent="0.15">
      <c r="A500" s="1">
        <v>41759</v>
      </c>
      <c r="B500" t="s">
        <v>3243</v>
      </c>
      <c r="C500" s="2" t="str">
        <f>HYPERLINK("http://snap.windin.com/ns/bulletin.php?id=39401924&amp;type=1", "珍宝岛:首次公开发行股票招股说明书(申报稿2014年4月28日报送)")</f>
        <v>珍宝岛:首次公开发行股票招股说明书(申报稿2014年4月28日报送)</v>
      </c>
      <c r="D500" t="s">
        <v>7253</v>
      </c>
      <c r="E500" t="s">
        <v>5246</v>
      </c>
      <c r="F500" t="s">
        <v>4938</v>
      </c>
    </row>
    <row r="501" spans="1:6" x14ac:dyDescent="0.15">
      <c r="A501" s="1">
        <v>41759</v>
      </c>
      <c r="B501" t="s">
        <v>3244</v>
      </c>
      <c r="C501" s="2" t="str">
        <f>HYPERLINK("http://snap.windin.com/ns/bulletin.php?id=39401698&amp;type=1", "昆仑万维:创业板首次公开发行股票招股说明书(申报稿2014年3月28日报送)")</f>
        <v>昆仑万维:创业板首次公开发行股票招股说明书(申报稿2014年3月28日报送)</v>
      </c>
      <c r="D501" t="s">
        <v>7254</v>
      </c>
      <c r="E501" t="s">
        <v>5247</v>
      </c>
      <c r="F501" t="s">
        <v>5248</v>
      </c>
    </row>
    <row r="502" spans="1:6" x14ac:dyDescent="0.15">
      <c r="A502" s="1">
        <v>41759</v>
      </c>
      <c r="B502" t="s">
        <v>3245</v>
      </c>
      <c r="C502" s="2" t="str">
        <f>HYPERLINK("http://snap.windin.com/ns/bulletin.php?id=39401658&amp;type=1", "永创智能:首次公开发行股票招股说明书(申报稿2014年4月29日报送)")</f>
        <v>永创智能:首次公开发行股票招股说明书(申报稿2014年4月29日报送)</v>
      </c>
      <c r="D502" t="s">
        <v>7255</v>
      </c>
      <c r="E502" t="s">
        <v>5249</v>
      </c>
      <c r="F502" t="s">
        <v>4666</v>
      </c>
    </row>
    <row r="503" spans="1:6" x14ac:dyDescent="0.15">
      <c r="A503" s="1">
        <v>41759</v>
      </c>
      <c r="B503" t="s">
        <v>3246</v>
      </c>
      <c r="C503" s="2" t="str">
        <f>HYPERLINK("http://snap.windin.com/ns/bulletin.php?id=39401726&amp;type=1", "七洲化工:首次公开发行股票招股说明书(申报稿2014年4月28日报送)")</f>
        <v>七洲化工:首次公开发行股票招股说明书(申报稿2014年4月28日报送)</v>
      </c>
      <c r="D503" t="s">
        <v>7256</v>
      </c>
      <c r="E503" t="s">
        <v>5250</v>
      </c>
      <c r="F503" t="s">
        <v>4938</v>
      </c>
    </row>
    <row r="504" spans="1:6" x14ac:dyDescent="0.15">
      <c r="A504" s="1">
        <v>41759</v>
      </c>
      <c r="B504" t="s">
        <v>3247</v>
      </c>
      <c r="C504" s="2" t="str">
        <f>HYPERLINK("http://snap.windin.com/ns/bulletin.php?id=39401700&amp;type=1", "运达科技:创业板首次公开发行股票招股说明书(申报稿2014年4月22日报送)")</f>
        <v>运达科技:创业板首次公开发行股票招股说明书(申报稿2014年4月22日报送)</v>
      </c>
      <c r="D504" t="s">
        <v>7257</v>
      </c>
      <c r="E504" t="s">
        <v>5251</v>
      </c>
      <c r="F504" t="s">
        <v>5166</v>
      </c>
    </row>
    <row r="505" spans="1:6" x14ac:dyDescent="0.15">
      <c r="A505" s="1">
        <v>41759</v>
      </c>
      <c r="B505" t="s">
        <v>3248</v>
      </c>
      <c r="C505" s="2" t="str">
        <f>HYPERLINK("http://snap.windin.com/ns/bulletin.php?id=39401714&amp;type=1", "光华科技:首次公开发行股票招股说明书(申报稿2014年4月21日报送)")</f>
        <v>光华科技:首次公开发行股票招股说明书(申报稿2014年4月21日报送)</v>
      </c>
      <c r="D505" t="s">
        <v>7258</v>
      </c>
      <c r="E505" t="s">
        <v>5252</v>
      </c>
      <c r="F505" t="s">
        <v>5253</v>
      </c>
    </row>
    <row r="506" spans="1:6" x14ac:dyDescent="0.15">
      <c r="A506" s="1">
        <v>41759</v>
      </c>
      <c r="B506" t="s">
        <v>3249</v>
      </c>
      <c r="C506" s="2" t="str">
        <f>HYPERLINK("http://snap.windin.com/ns/bulletin.php?id=39401712&amp;type=1", "惠州元晖:首次公开发行股票招股说明书(申报稿2014年4月28日报送)")</f>
        <v>惠州元晖:首次公开发行股票招股说明书(申报稿2014年4月28日报送)</v>
      </c>
      <c r="D506" t="s">
        <v>7259</v>
      </c>
      <c r="E506" t="s">
        <v>5254</v>
      </c>
      <c r="F506" t="s">
        <v>4938</v>
      </c>
    </row>
    <row r="507" spans="1:6" x14ac:dyDescent="0.15">
      <c r="A507" s="1">
        <v>41759</v>
      </c>
      <c r="B507" t="s">
        <v>2771</v>
      </c>
      <c r="C507" s="2" t="str">
        <f>HYPERLINK("http://snap.windin.com/ns/bulletin.php?id=39401702&amp;type=1", "凯发电气:创业板首次公开发行股票招股说明书(申报稿2014年3月12日报送)")</f>
        <v>凯发电气:创业板首次公开发行股票招股说明书(申报稿2014年3月12日报送)</v>
      </c>
      <c r="D507" t="s">
        <v>7260</v>
      </c>
      <c r="E507" t="s">
        <v>4623</v>
      </c>
      <c r="F507" t="s">
        <v>5255</v>
      </c>
    </row>
    <row r="508" spans="1:6" x14ac:dyDescent="0.15">
      <c r="A508" s="1">
        <v>41759</v>
      </c>
      <c r="B508" t="s">
        <v>3250</v>
      </c>
      <c r="C508" s="2" t="str">
        <f>HYPERLINK("http://snap.windin.com/ns/bulletin.php?id=39401708&amp;type=1", "康普顿:首次公开发行股票招股说明书(申报稿2014年4月28日报送)")</f>
        <v>康普顿:首次公开发行股票招股说明书(申报稿2014年4月28日报送)</v>
      </c>
      <c r="D508" t="s">
        <v>7261</v>
      </c>
      <c r="E508" t="s">
        <v>5256</v>
      </c>
      <c r="F508" t="s">
        <v>4938</v>
      </c>
    </row>
    <row r="509" spans="1:6" x14ac:dyDescent="0.15">
      <c r="A509" s="1">
        <v>41759</v>
      </c>
      <c r="B509" t="s">
        <v>3251</v>
      </c>
      <c r="C509" s="2" t="str">
        <f>HYPERLINK("http://snap.windin.com/ns/bulletin.php?id=39401706&amp;type=1", "恒通赛木:创业板首次公开发行股票招股说明书(申报稿2014年4月30日报送)")</f>
        <v>恒通赛木:创业板首次公开发行股票招股说明书(申报稿2014年4月30日报送)</v>
      </c>
      <c r="D509" t="s">
        <v>7262</v>
      </c>
      <c r="E509" t="s">
        <v>5257</v>
      </c>
      <c r="F509" t="s">
        <v>5101</v>
      </c>
    </row>
    <row r="510" spans="1:6" x14ac:dyDescent="0.15">
      <c r="A510" s="1">
        <v>41759</v>
      </c>
      <c r="B510" t="s">
        <v>3252</v>
      </c>
      <c r="C510" s="2" t="str">
        <f>HYPERLINK("http://snap.windin.com/ns/bulletin.php?id=39401426&amp;type=1", "金桥信息:首次公开发行股票招股说明书(申报稿2014年4月28日报送)")</f>
        <v>金桥信息:首次公开发行股票招股说明书(申报稿2014年4月28日报送)</v>
      </c>
      <c r="D510" t="s">
        <v>7263</v>
      </c>
      <c r="E510" t="s">
        <v>5258</v>
      </c>
      <c r="F510" t="s">
        <v>4938</v>
      </c>
    </row>
    <row r="511" spans="1:6" x14ac:dyDescent="0.15">
      <c r="A511" s="1">
        <v>41759</v>
      </c>
      <c r="B511" t="s">
        <v>3253</v>
      </c>
      <c r="C511" s="2" t="str">
        <f>HYPERLINK("http://snap.windin.com/ns/bulletin.php?id=39401474&amp;type=1", "健帆生物:创业板首次公开发行股票招股说明书(申报稿2014年4月25日报送)")</f>
        <v>健帆生物:创业板首次公开发行股票招股说明书(申报稿2014年4月25日报送)</v>
      </c>
      <c r="D511" t="s">
        <v>7264</v>
      </c>
      <c r="E511" t="s">
        <v>5259</v>
      </c>
      <c r="F511" t="s">
        <v>5206</v>
      </c>
    </row>
    <row r="512" spans="1:6" x14ac:dyDescent="0.15">
      <c r="A512" s="1">
        <v>41759</v>
      </c>
      <c r="B512" t="s">
        <v>3254</v>
      </c>
      <c r="C512" s="2" t="str">
        <f>HYPERLINK("http://snap.windin.com/ns/bulletin.php?id=39401430&amp;type=1", "方盛制药:首次公开发行股票招股说明书(申报稿2014年4月28日报送)")</f>
        <v>方盛制药:首次公开发行股票招股说明书(申报稿2014年4月28日报送)</v>
      </c>
      <c r="D512" t="s">
        <v>7265</v>
      </c>
      <c r="E512" t="s">
        <v>5260</v>
      </c>
      <c r="F512" t="s">
        <v>4938</v>
      </c>
    </row>
    <row r="513" spans="1:7" x14ac:dyDescent="0.15">
      <c r="A513" s="1">
        <v>41759</v>
      </c>
      <c r="B513" t="s">
        <v>3255</v>
      </c>
      <c r="C513" s="2" t="str">
        <f>HYPERLINK("http://snap.windin.com/ns/bulletin.php?id=39401538&amp;type=1", "强力新材:创业板首次公开发行股票招股说明书(申报稿2014年3月5日报送)")</f>
        <v>强力新材:创业板首次公开发行股票招股说明书(申报稿2014年3月5日报送)</v>
      </c>
      <c r="D513" t="s">
        <v>7266</v>
      </c>
      <c r="E513" t="s">
        <v>5261</v>
      </c>
      <c r="F513" t="s">
        <v>5262</v>
      </c>
    </row>
    <row r="514" spans="1:7" x14ac:dyDescent="0.15">
      <c r="A514" s="1">
        <v>41759</v>
      </c>
      <c r="B514" t="s">
        <v>3256</v>
      </c>
      <c r="C514" s="2" t="str">
        <f>HYPERLINK("http://snap.windin.com/ns/bulletin.php?id=39401598&amp;type=1", "万集股份:创业板首次公开发行股票招股说明书(申报稿2014年4月30日报送)")</f>
        <v>万集股份:创业板首次公开发行股票招股说明书(申报稿2014年4月30日报送)</v>
      </c>
      <c r="D514" t="s">
        <v>7267</v>
      </c>
      <c r="E514" t="s">
        <v>5263</v>
      </c>
      <c r="F514" t="s">
        <v>5101</v>
      </c>
    </row>
    <row r="515" spans="1:7" x14ac:dyDescent="0.15">
      <c r="A515" s="1">
        <v>41759</v>
      </c>
      <c r="B515" t="s">
        <v>2761</v>
      </c>
      <c r="C515" s="2" t="str">
        <f>HYPERLINK("http://snap.windin.com/ns/bulletin.php?id=39401518&amp;type=1", "华强文化:创业板首次公开发行股票招股说明书(申报稿2014年4月28日报送)")</f>
        <v>华强文化:创业板首次公开发行股票招股说明书(申报稿2014年4月28日报送)</v>
      </c>
      <c r="D515" t="s">
        <v>7268</v>
      </c>
      <c r="E515" t="s">
        <v>4609</v>
      </c>
      <c r="F515" t="s">
        <v>5052</v>
      </c>
    </row>
    <row r="516" spans="1:7" x14ac:dyDescent="0.15">
      <c r="A516" s="1">
        <v>41759</v>
      </c>
      <c r="B516" t="s">
        <v>3257</v>
      </c>
      <c r="C516" s="2" t="str">
        <f>HYPERLINK("http://snap.windin.com/ns/bulletin.php?id=39401326&amp;type=1", "埃斯顿:首次公开发行股票招股说明书(申报稿2014年4月29日报送)")</f>
        <v>埃斯顿:首次公开发行股票招股说明书(申报稿2014年4月29日报送)</v>
      </c>
      <c r="D516" t="s">
        <v>7269</v>
      </c>
      <c r="E516" t="s">
        <v>5264</v>
      </c>
      <c r="F516" t="s">
        <v>4666</v>
      </c>
    </row>
    <row r="517" spans="1:7" x14ac:dyDescent="0.15">
      <c r="A517" s="1">
        <v>41759</v>
      </c>
      <c r="B517" t="s">
        <v>3258</v>
      </c>
      <c r="C517" s="2" t="str">
        <f>HYPERLINK("http://snap.windin.com/ns/bulletin.php?id=39401452&amp;type=1", "好利来:首次公开发行股票招股说明书(申报稿2014年4月24日报送)")</f>
        <v>好利来:首次公开发行股票招股说明书(申报稿2014年4月24日报送)</v>
      </c>
      <c r="D517" t="s">
        <v>7270</v>
      </c>
      <c r="E517" t="s">
        <v>4909</v>
      </c>
      <c r="F517" t="s">
        <v>4690</v>
      </c>
    </row>
    <row r="518" spans="1:7" x14ac:dyDescent="0.15">
      <c r="A518" s="1">
        <v>41759</v>
      </c>
      <c r="B518" t="s">
        <v>3259</v>
      </c>
      <c r="C518" s="2" t="str">
        <f>HYPERLINK("http://snap.windin.com/ns/bulletin.php?id=39401424&amp;type=1", "雄韬电源:首次公开发行股票招股说明书(申报稿2014年4月28日报送)")</f>
        <v>雄韬电源:首次公开发行股票招股说明书(申报稿2014年4月28日报送)</v>
      </c>
      <c r="D518" t="s">
        <v>7271</v>
      </c>
      <c r="E518" t="s">
        <v>5265</v>
      </c>
      <c r="F518" t="s">
        <v>4938</v>
      </c>
    </row>
    <row r="519" spans="1:7" x14ac:dyDescent="0.15">
      <c r="A519" s="1">
        <v>41759</v>
      </c>
      <c r="B519" t="s">
        <v>3260</v>
      </c>
      <c r="C519" s="2" t="str">
        <f>HYPERLINK("http://snap.windin.com/ns/bulletin.php?id=39401288&amp;type=1", "维格娜丝:首次公开发行股票招股说明书(申报稿报送日期2014年4月17日)")</f>
        <v>维格娜丝:首次公开发行股票招股说明书(申报稿报送日期2014年4月17日)</v>
      </c>
      <c r="D519" t="s">
        <v>7272</v>
      </c>
      <c r="E519" t="s">
        <v>5266</v>
      </c>
      <c r="F519" t="s">
        <v>5267</v>
      </c>
    </row>
    <row r="520" spans="1:7" x14ac:dyDescent="0.15">
      <c r="A520" s="1">
        <v>41759</v>
      </c>
      <c r="B520" t="s">
        <v>3261</v>
      </c>
      <c r="C520" s="2" t="str">
        <f>HYPERLINK("http://snap.windin.com/ns/bulletin.php?id=39400876&amp;type=1", "司太立:首次公开发行股票招股说明书(申报稿2014年4月16日报送)")</f>
        <v>司太立:首次公开发行股票招股说明书(申报稿2014年4月16日报送)</v>
      </c>
      <c r="D520" t="s">
        <v>7273</v>
      </c>
      <c r="E520" t="s">
        <v>5268</v>
      </c>
      <c r="F520" t="s">
        <v>5269</v>
      </c>
    </row>
    <row r="521" spans="1:7" x14ac:dyDescent="0.15">
      <c r="A521" s="1">
        <v>41759</v>
      </c>
      <c r="B521" t="s">
        <v>3262</v>
      </c>
      <c r="C521" s="2" t="str">
        <f>HYPERLINK("http://snap.windin.com/ns/bulletin.php?id=39401020&amp;type=1", "安德利:首次公开发行股票招股说明书(申报稿2014年4月29日报送)")</f>
        <v>安德利:首次公开发行股票招股说明书(申报稿2014年4月29日报送)</v>
      </c>
      <c r="D521" t="s">
        <v>7274</v>
      </c>
      <c r="E521" t="s">
        <v>5270</v>
      </c>
      <c r="F521" t="s">
        <v>4666</v>
      </c>
    </row>
    <row r="522" spans="1:7" x14ac:dyDescent="0.15">
      <c r="A522" s="1">
        <v>41759</v>
      </c>
      <c r="B522" t="s">
        <v>3263</v>
      </c>
      <c r="C522" s="2" t="str">
        <f>HYPERLINK("http://snap.windin.com/ns/bulletin.php?id=39401106&amp;type=1", "天创时尚:首次公开发行股票招股说明书(申报稿2014年04月29日报送)")</f>
        <v>天创时尚:首次公开发行股票招股说明书(申报稿2014年04月29日报送)</v>
      </c>
      <c r="D522" t="s">
        <v>7275</v>
      </c>
      <c r="E522" t="s">
        <v>5271</v>
      </c>
      <c r="F522" t="s">
        <v>5272</v>
      </c>
    </row>
    <row r="523" spans="1:7" x14ac:dyDescent="0.15">
      <c r="A523" s="1">
        <v>41759</v>
      </c>
      <c r="B523" t="s">
        <v>3264</v>
      </c>
      <c r="C523" s="2" t="str">
        <f>HYPERLINK("http://snap.windin.com/ns/bulletin.php?id=39400874&amp;type=1", "读者传媒:首次公开发行股票招股说明书(申报稿2014年4月28日报送)")</f>
        <v>读者传媒:首次公开发行股票招股说明书(申报稿2014年4月28日报送)</v>
      </c>
      <c r="D523" t="s">
        <v>7276</v>
      </c>
      <c r="E523" t="s">
        <v>5273</v>
      </c>
      <c r="F523" t="s">
        <v>4938</v>
      </c>
    </row>
    <row r="524" spans="1:7" x14ac:dyDescent="0.15">
      <c r="A524" s="1">
        <v>41759</v>
      </c>
      <c r="B524" t="s">
        <v>3265</v>
      </c>
      <c r="C524" s="2" t="str">
        <f>HYPERLINK("http://snap.windin.com/ns/bulletin.php?id=39401108&amp;type=1", "盛洋科技:首次公开发行股票招股说明书(申报稿2014年4月25日报送)")</f>
        <v>盛洋科技:首次公开发行股票招股说明书(申报稿2014年4月25日报送)</v>
      </c>
      <c r="D524" t="s">
        <v>7277</v>
      </c>
      <c r="E524" t="s">
        <v>5274</v>
      </c>
      <c r="F524" t="s">
        <v>5006</v>
      </c>
    </row>
    <row r="525" spans="1:7" x14ac:dyDescent="0.15">
      <c r="A525" s="1">
        <v>41759</v>
      </c>
      <c r="B525" t="s">
        <v>3266</v>
      </c>
      <c r="C525" s="2" t="str">
        <f>HYPERLINK("http://snap.windin.com/ns/bulletin.php?id=39512034&amp;type=1", "威龙股份:首次公开发行股票招股说明书(报送日期:2014年4月30日)")</f>
        <v>威龙股份:首次公开发行股票招股说明书(报送日期:2014年4月30日)</v>
      </c>
      <c r="D525" t="s">
        <v>7278</v>
      </c>
      <c r="E525" t="s">
        <v>5275</v>
      </c>
      <c r="F525" t="s">
        <v>5276</v>
      </c>
      <c r="G525" t="s">
        <v>5234</v>
      </c>
    </row>
    <row r="526" spans="1:7" x14ac:dyDescent="0.15">
      <c r="A526" s="1">
        <v>41759</v>
      </c>
      <c r="B526" t="s">
        <v>3267</v>
      </c>
      <c r="C526" s="2" t="str">
        <f>HYPERLINK("http://snap.windin.com/ns/bulletin.php?id=65435858&amp;type=1", "元晖光电:首次公开发行股票招股说明书(申报稿2014年4月28日报送)")</f>
        <v>元晖光电:首次公开发行股票招股说明书(申报稿2014年4月28日报送)</v>
      </c>
      <c r="D526" t="s">
        <v>7279</v>
      </c>
      <c r="E526" t="s">
        <v>5277</v>
      </c>
      <c r="F526" t="s">
        <v>4938</v>
      </c>
    </row>
    <row r="527" spans="1:7" x14ac:dyDescent="0.15">
      <c r="A527" s="1">
        <v>41759</v>
      </c>
      <c r="B527" t="s">
        <v>2974</v>
      </c>
      <c r="C527" s="2" t="str">
        <f>HYPERLINK("http://snap.windin.com/ns/bulletin.php?id=68017238&amp;type=1", "好利来:首次公开发行股票招股说明书(申报稿2014年4月24日报送)")</f>
        <v>好利来:首次公开发行股票招股说明书(申报稿2014年4月24日报送)</v>
      </c>
      <c r="D527" t="s">
        <v>7280</v>
      </c>
      <c r="E527" t="s">
        <v>4909</v>
      </c>
      <c r="F527" t="s">
        <v>4690</v>
      </c>
    </row>
    <row r="528" spans="1:7" x14ac:dyDescent="0.15">
      <c r="A528" s="1">
        <v>41758</v>
      </c>
      <c r="B528" t="s">
        <v>3268</v>
      </c>
      <c r="C528" s="2" t="str">
        <f>HYPERLINK("http://snap.windin.com/ns/bulletin.php?id=38069114&amp;type=1", "禾丰牧业:首次公开发行股票招股说明书(申报稿2014年4月24日报送)")</f>
        <v>禾丰牧业:首次公开发行股票招股说明书(申报稿2014年4月24日报送)</v>
      </c>
      <c r="D528" t="s">
        <v>7281</v>
      </c>
      <c r="E528" t="s">
        <v>4640</v>
      </c>
      <c r="F528" t="s">
        <v>4690</v>
      </c>
    </row>
    <row r="529" spans="1:6" x14ac:dyDescent="0.15">
      <c r="A529" s="1">
        <v>41758</v>
      </c>
      <c r="B529" t="s">
        <v>3269</v>
      </c>
      <c r="C529" s="2" t="str">
        <f>HYPERLINK("http://snap.windin.com/ns/bulletin.php?id=38069118&amp;type=1", "多伦科技:首次公开发行股票招股说明书(申报稿2014年4月28日报送)")</f>
        <v>多伦科技:首次公开发行股票招股说明书(申报稿2014年4月28日报送)</v>
      </c>
      <c r="D529" t="s">
        <v>7282</v>
      </c>
      <c r="E529" t="s">
        <v>5278</v>
      </c>
      <c r="F529" t="s">
        <v>4938</v>
      </c>
    </row>
    <row r="530" spans="1:6" x14ac:dyDescent="0.15">
      <c r="A530" s="1">
        <v>41758</v>
      </c>
      <c r="B530" t="s">
        <v>3270</v>
      </c>
      <c r="C530" s="2" t="str">
        <f>HYPERLINK("http://snap.windin.com/ns/bulletin.php?id=38069120&amp;type=1", "广信农化:首次公开发行股票招股说明书(申报稿2014年4月25日报送)")</f>
        <v>广信农化:首次公开发行股票招股说明书(申报稿2014年4月25日报送)</v>
      </c>
      <c r="D530" t="s">
        <v>7283</v>
      </c>
      <c r="E530" t="s">
        <v>5279</v>
      </c>
      <c r="F530" t="s">
        <v>5006</v>
      </c>
    </row>
    <row r="531" spans="1:6" x14ac:dyDescent="0.15">
      <c r="A531" s="1">
        <v>41758</v>
      </c>
      <c r="B531" t="s">
        <v>3271</v>
      </c>
      <c r="C531" s="2" t="str">
        <f>HYPERLINK("http://snap.windin.com/ns/bulletin.php?id=38069566&amp;type=1", "王子新材:首次公开发行股票招股说明书(申报稿2014年4月25日报送)")</f>
        <v>王子新材:首次公开发行股票招股说明书(申报稿2014年4月25日报送)</v>
      </c>
      <c r="D531" t="s">
        <v>7284</v>
      </c>
      <c r="E531" t="s">
        <v>5280</v>
      </c>
      <c r="F531" t="s">
        <v>5006</v>
      </c>
    </row>
    <row r="532" spans="1:6" x14ac:dyDescent="0.15">
      <c r="A532" s="1">
        <v>41758</v>
      </c>
      <c r="B532" t="s">
        <v>3272</v>
      </c>
      <c r="C532" s="2" t="str">
        <f>HYPERLINK("http://snap.windin.com/ns/bulletin.php?id=38069508&amp;type=1", "吉祥航空:首次公开发行股票招股说明书(申报稿2014年4月25日报送)")</f>
        <v>吉祥航空:首次公开发行股票招股说明书(申报稿2014年4月25日报送)</v>
      </c>
      <c r="D532" t="s">
        <v>7285</v>
      </c>
      <c r="E532" t="s">
        <v>5281</v>
      </c>
      <c r="F532" t="s">
        <v>5006</v>
      </c>
    </row>
    <row r="533" spans="1:6" x14ac:dyDescent="0.15">
      <c r="A533" s="1">
        <v>41758</v>
      </c>
      <c r="B533" t="s">
        <v>3273</v>
      </c>
      <c r="C533" s="2" t="str">
        <f>HYPERLINK("http://snap.windin.com/ns/bulletin.php?id=38064700&amp;type=1", "富森美:首次公开发行股票招股说明书(申报稿2014年4月24日报送)")</f>
        <v>富森美:首次公开发行股票招股说明书(申报稿2014年4月24日报送)</v>
      </c>
      <c r="D533" t="s">
        <v>7286</v>
      </c>
      <c r="E533" t="s">
        <v>5282</v>
      </c>
      <c r="F533" t="s">
        <v>4690</v>
      </c>
    </row>
    <row r="534" spans="1:6" x14ac:dyDescent="0.15">
      <c r="A534" s="1">
        <v>41758</v>
      </c>
      <c r="B534" t="s">
        <v>3274</v>
      </c>
      <c r="C534" s="2" t="str">
        <f>HYPERLINK("http://snap.windin.com/ns/bulletin.php?id=38064602&amp;type=1", "汇嘉时代:首次公开发行股票招股说明书(申报稿2014年4月28日报送)")</f>
        <v>汇嘉时代:首次公开发行股票招股说明书(申报稿2014年4月28日报送)</v>
      </c>
      <c r="D534" t="s">
        <v>7287</v>
      </c>
      <c r="E534" t="s">
        <v>5283</v>
      </c>
      <c r="F534" t="s">
        <v>4938</v>
      </c>
    </row>
    <row r="535" spans="1:6" x14ac:dyDescent="0.15">
      <c r="A535" s="1">
        <v>41758</v>
      </c>
      <c r="B535" t="s">
        <v>3275</v>
      </c>
      <c r="C535" s="2" t="str">
        <f>HYPERLINK("http://snap.windin.com/ns/bulletin.php?id=38065058&amp;type=1", "福达股份:首次公开发行股票招股说明书(申报稿2014年4月28日报送)")</f>
        <v>福达股份:首次公开发行股票招股说明书(申报稿2014年4月28日报送)</v>
      </c>
      <c r="D535" t="s">
        <v>7288</v>
      </c>
      <c r="E535" t="s">
        <v>5284</v>
      </c>
      <c r="F535" t="s">
        <v>4938</v>
      </c>
    </row>
    <row r="536" spans="1:6" x14ac:dyDescent="0.15">
      <c r="A536" s="1">
        <v>41758</v>
      </c>
      <c r="B536" t="s">
        <v>3276</v>
      </c>
      <c r="C536" s="2" t="str">
        <f>HYPERLINK("http://snap.windin.com/ns/bulletin.php?id=38064698&amp;type=1", "先锋电子:首次公开发行股票招股说明书(申报稿2014年4月24日报送)")</f>
        <v>先锋电子:首次公开发行股票招股说明书(申报稿2014年4月24日报送)</v>
      </c>
      <c r="D536" t="s">
        <v>7289</v>
      </c>
      <c r="E536" t="s">
        <v>5285</v>
      </c>
      <c r="F536" t="s">
        <v>4690</v>
      </c>
    </row>
    <row r="537" spans="1:6" x14ac:dyDescent="0.15">
      <c r="A537" s="1">
        <v>41758</v>
      </c>
      <c r="B537" t="s">
        <v>3277</v>
      </c>
      <c r="C537" s="2" t="str">
        <f>HYPERLINK("http://snap.windin.com/ns/bulletin.php?id=38065646&amp;type=1", "老百姓:首次公开发行股票招股说明书(申报稿2014年4月25日报送)")</f>
        <v>老百姓:首次公开发行股票招股说明书(申报稿2014年4月25日报送)</v>
      </c>
      <c r="D537" t="s">
        <v>7290</v>
      </c>
      <c r="E537" t="s">
        <v>5286</v>
      </c>
      <c r="F537" t="s">
        <v>5006</v>
      </c>
    </row>
    <row r="538" spans="1:6" x14ac:dyDescent="0.15">
      <c r="A538" s="1">
        <v>41758</v>
      </c>
      <c r="B538" t="s">
        <v>3278</v>
      </c>
      <c r="C538" s="2" t="str">
        <f>HYPERLINK("http://snap.windin.com/ns/bulletin.php?id=38069116&amp;type=1", "合诚咨询:首次公开发行股票招股说明书(申报稿2014年4月25日报送)")</f>
        <v>合诚咨询:首次公开发行股票招股说明书(申报稿2014年4月25日报送)</v>
      </c>
      <c r="D538" t="s">
        <v>7291</v>
      </c>
      <c r="E538" t="s">
        <v>5287</v>
      </c>
      <c r="F538" t="s">
        <v>5006</v>
      </c>
    </row>
    <row r="539" spans="1:6" x14ac:dyDescent="0.15">
      <c r="A539" s="1">
        <v>41757</v>
      </c>
      <c r="B539" t="s">
        <v>3279</v>
      </c>
      <c r="C539" s="2" t="str">
        <f>HYPERLINK("http://snap.windin.com/ns/bulletin.php?id=36824744&amp;type=1", "亚邦染料:首次公开发行股票招股说明书(申报稿2014年4月25日报送)")</f>
        <v>亚邦染料:首次公开发行股票招股说明书(申报稿2014年4月25日报送)</v>
      </c>
      <c r="D539" t="s">
        <v>7292</v>
      </c>
      <c r="E539" t="s">
        <v>4902</v>
      </c>
      <c r="F539" t="s">
        <v>5006</v>
      </c>
    </row>
    <row r="540" spans="1:6" x14ac:dyDescent="0.15">
      <c r="A540" s="1">
        <v>41757</v>
      </c>
      <c r="B540" t="s">
        <v>3280</v>
      </c>
      <c r="C540" s="2" t="str">
        <f>HYPERLINK("http://snap.windin.com/ns/bulletin.php?id=36824942&amp;type=1", "雪榕生物:创业板首次公开发行股票招股说明书(申报稿2014年4月25日报送)")</f>
        <v>雪榕生物:创业板首次公开发行股票招股说明书(申报稿2014年4月25日报送)</v>
      </c>
      <c r="D540" t="s">
        <v>7293</v>
      </c>
      <c r="E540" t="s">
        <v>5288</v>
      </c>
      <c r="F540" t="s">
        <v>5206</v>
      </c>
    </row>
    <row r="541" spans="1:6" x14ac:dyDescent="0.15">
      <c r="A541" s="1">
        <v>41757</v>
      </c>
      <c r="B541" t="s">
        <v>3281</v>
      </c>
      <c r="C541" s="2" t="str">
        <f>HYPERLINK("http://snap.windin.com/ns/bulletin.php?id=36824742&amp;type=1", "台城制药:首次公开发行股票招股说明书(申报稿2014年4月20日报送)")</f>
        <v>台城制药:首次公开发行股票招股说明书(申报稿2014年4月20日报送)</v>
      </c>
      <c r="D541" t="s">
        <v>7294</v>
      </c>
      <c r="E541" t="s">
        <v>4652</v>
      </c>
      <c r="F541" t="s">
        <v>5289</v>
      </c>
    </row>
    <row r="542" spans="1:6" x14ac:dyDescent="0.15">
      <c r="A542" s="1">
        <v>41757</v>
      </c>
      <c r="B542" t="s">
        <v>3130</v>
      </c>
      <c r="C542" s="2" t="str">
        <f>HYPERLINK("http://snap.windin.com/ns/bulletin.php?id=36824750&amp;type=1", "泰德制药:创业板首次公开发行股票招股说明书(申报稿2014年4月28日报送)")</f>
        <v>泰德制药:创业板首次公开发行股票招股说明书(申报稿2014年4月28日报送)</v>
      </c>
      <c r="D542" t="s">
        <v>7295</v>
      </c>
      <c r="E542" t="s">
        <v>5107</v>
      </c>
      <c r="F542" t="s">
        <v>5052</v>
      </c>
    </row>
    <row r="543" spans="1:6" x14ac:dyDescent="0.15">
      <c r="A543" s="1">
        <v>41757</v>
      </c>
      <c r="B543" t="s">
        <v>3069</v>
      </c>
      <c r="C543" s="2" t="str">
        <f>HYPERLINK("http://snap.windin.com/ns/bulletin.php?id=36824746&amp;type=1", "九强生物:创业板首次公开发行股票招股说明书(申报稿2014年4月25日报送)")</f>
        <v>九强生物:创业板首次公开发行股票招股说明书(申报稿2014年4月25日报送)</v>
      </c>
      <c r="D543" t="s">
        <v>7296</v>
      </c>
      <c r="E543" t="s">
        <v>5027</v>
      </c>
      <c r="F543" t="s">
        <v>5206</v>
      </c>
    </row>
    <row r="544" spans="1:6" x14ac:dyDescent="0.15">
      <c r="A544" s="1">
        <v>41757</v>
      </c>
      <c r="B544" t="s">
        <v>3282</v>
      </c>
      <c r="C544" s="2" t="str">
        <f>HYPERLINK("http://snap.windin.com/ns/bulletin.php?id=36825138&amp;type=1", "恒泰实达:创业板首次公开发行股票招股说明书(申报稿2014年4月20日报送)")</f>
        <v>恒泰实达:创业板首次公开发行股票招股说明书(申报稿2014年4月20日报送)</v>
      </c>
      <c r="D544" t="s">
        <v>7297</v>
      </c>
      <c r="E544" t="s">
        <v>5290</v>
      </c>
      <c r="F544" t="s">
        <v>5291</v>
      </c>
    </row>
    <row r="545" spans="1:6" x14ac:dyDescent="0.15">
      <c r="A545" s="1">
        <v>41757</v>
      </c>
      <c r="B545" t="s">
        <v>3283</v>
      </c>
      <c r="C545" s="2" t="str">
        <f>HYPERLINK("http://snap.windin.com/ns/bulletin.php?id=36825118&amp;type=1", "蜻蜓股份:首次公开发行股票招股说明书(申报稿2014年4月25日报送)")</f>
        <v>蜻蜓股份:首次公开发行股票招股说明书(申报稿2014年4月25日报送)</v>
      </c>
      <c r="D545" t="s">
        <v>7298</v>
      </c>
      <c r="E545" t="s">
        <v>5292</v>
      </c>
      <c r="F545" t="s">
        <v>5006</v>
      </c>
    </row>
    <row r="546" spans="1:6" x14ac:dyDescent="0.15">
      <c r="A546" s="1">
        <v>41757</v>
      </c>
      <c r="B546" t="s">
        <v>3284</v>
      </c>
      <c r="C546" s="2" t="str">
        <f>HYPERLINK("http://snap.windin.com/ns/bulletin.php?id=36825140&amp;type=1", "银宝山新:首次公开发行股票招股说明书(申报稿2014年4月21日报送)")</f>
        <v>银宝山新:首次公开发行股票招股说明书(申报稿2014年4月21日报送)</v>
      </c>
      <c r="D546" t="s">
        <v>7299</v>
      </c>
      <c r="E546" t="s">
        <v>5293</v>
      </c>
      <c r="F546" t="s">
        <v>5253</v>
      </c>
    </row>
    <row r="547" spans="1:6" x14ac:dyDescent="0.15">
      <c r="A547" s="1">
        <v>41757</v>
      </c>
      <c r="B547" t="s">
        <v>3285</v>
      </c>
      <c r="C547" s="2" t="str">
        <f>HYPERLINK("http://snap.windin.com/ns/bulletin.php?id=36825144&amp;type=1", "东方节能:创业板首次公开发行股票招股说明书(申报稿2013年4月3日报送)")</f>
        <v>东方节能:创业板首次公开发行股票招股说明书(申报稿2013年4月3日报送)</v>
      </c>
      <c r="D547" t="s">
        <v>7300</v>
      </c>
      <c r="E547" t="s">
        <v>5294</v>
      </c>
      <c r="F547" t="s">
        <v>5295</v>
      </c>
    </row>
    <row r="548" spans="1:6" x14ac:dyDescent="0.15">
      <c r="A548" s="1">
        <v>41757</v>
      </c>
      <c r="B548" t="s">
        <v>3286</v>
      </c>
      <c r="C548" s="2" t="str">
        <f>HYPERLINK("http://snap.windin.com/ns/bulletin.php?id=36854724&amp;type=1", "壮丽彩印:首次公开发行股票招股说明书(申报稿2014年4月24日报送)")</f>
        <v>壮丽彩印:首次公开发行股票招股说明书(申报稿2014年4月24日报送)</v>
      </c>
      <c r="D548" t="s">
        <v>7301</v>
      </c>
      <c r="E548" t="s">
        <v>5296</v>
      </c>
      <c r="F548" t="s">
        <v>4690</v>
      </c>
    </row>
    <row r="549" spans="1:6" x14ac:dyDescent="0.15">
      <c r="A549" s="1">
        <v>41757</v>
      </c>
      <c r="B549" t="s">
        <v>3287</v>
      </c>
      <c r="C549" s="2" t="str">
        <f>HYPERLINK("http://snap.windin.com/ns/bulletin.php?id=36854722&amp;type=1", "利民化工:首次公开发行股票招股说明书(申报稿2014年4月25日报送)")</f>
        <v>利民化工:首次公开发行股票招股说明书(申报稿2014年4月25日报送)</v>
      </c>
      <c r="D549" t="s">
        <v>7302</v>
      </c>
      <c r="E549" t="s">
        <v>5297</v>
      </c>
      <c r="F549" t="s">
        <v>5006</v>
      </c>
    </row>
    <row r="550" spans="1:6" x14ac:dyDescent="0.15">
      <c r="A550" s="1">
        <v>41757</v>
      </c>
      <c r="B550" t="s">
        <v>3288</v>
      </c>
      <c r="C550" s="2" t="str">
        <f>HYPERLINK("http://snap.windin.com/ns/bulletin.php?id=36825142&amp;type=1", "沈阳桃李:首次公开发行股票招股说明书(申报稿2014年4月24日报送)")</f>
        <v>沈阳桃李:首次公开发行股票招股说明书(申报稿2014年4月24日报送)</v>
      </c>
      <c r="D550" t="s">
        <v>7303</v>
      </c>
      <c r="E550" t="s">
        <v>5298</v>
      </c>
      <c r="F550" t="s">
        <v>4690</v>
      </c>
    </row>
    <row r="551" spans="1:6" x14ac:dyDescent="0.15">
      <c r="A551" s="1">
        <v>41757</v>
      </c>
      <c r="B551" t="s">
        <v>3289</v>
      </c>
      <c r="C551" s="2" t="str">
        <f>HYPERLINK("http://snap.windin.com/ns/bulletin.php?id=36825146&amp;type=1", "江苏有线:首次公开发行股票招股说明书(申报稿2014年3月7日报送)")</f>
        <v>江苏有线:首次公开发行股票招股说明书(申报稿2014年3月7日报送)</v>
      </c>
      <c r="D551" t="s">
        <v>7304</v>
      </c>
      <c r="E551" t="s">
        <v>5299</v>
      </c>
      <c r="F551" t="s">
        <v>5300</v>
      </c>
    </row>
    <row r="552" spans="1:6" x14ac:dyDescent="0.15">
      <c r="A552" s="1">
        <v>41757</v>
      </c>
      <c r="B552" t="s">
        <v>3290</v>
      </c>
      <c r="C552" s="2" t="str">
        <f>HYPERLINK("http://snap.windin.com/ns/bulletin.php?id=36825148&amp;type=1", "柏堡龙:首次公开发行股票招股说明书(申报稿2014年4月24日报送)")</f>
        <v>柏堡龙:首次公开发行股票招股说明书(申报稿2014年4月24日报送)</v>
      </c>
      <c r="D552" t="s">
        <v>7305</v>
      </c>
      <c r="E552" t="s">
        <v>5301</v>
      </c>
      <c r="F552" t="s">
        <v>4690</v>
      </c>
    </row>
    <row r="553" spans="1:6" x14ac:dyDescent="0.15">
      <c r="A553" s="1">
        <v>41757</v>
      </c>
      <c r="B553" t="s">
        <v>3291</v>
      </c>
      <c r="C553" s="2" t="str">
        <f>HYPERLINK("http://snap.windin.com/ns/bulletin.php?id=36854788&amp;type=1", "中节能:首次公开发行股票招股说明书(申报稿2014年4月22日报送)")</f>
        <v>中节能:首次公开发行股票招股说明书(申报稿2014年4月22日报送)</v>
      </c>
      <c r="D553" t="s">
        <v>7306</v>
      </c>
      <c r="E553" t="s">
        <v>5302</v>
      </c>
      <c r="F553" t="s">
        <v>5118</v>
      </c>
    </row>
    <row r="554" spans="1:6" x14ac:dyDescent="0.15">
      <c r="A554" s="1">
        <v>41757</v>
      </c>
      <c r="B554" t="s">
        <v>2995</v>
      </c>
      <c r="C554" s="2" t="str">
        <f>HYPERLINK("http://snap.windin.com/ns/bulletin.php?id=36854886&amp;type=1", "岱美股份:首次公开发行股票招股说明书(申报稿2014年4月25日报送)")</f>
        <v>岱美股份:首次公开发行股票招股说明书(申报稿2014年4月25日报送)</v>
      </c>
      <c r="D554" t="s">
        <v>7307</v>
      </c>
      <c r="E554" t="s">
        <v>4934</v>
      </c>
      <c r="F554" t="s">
        <v>5006</v>
      </c>
    </row>
    <row r="555" spans="1:6" x14ac:dyDescent="0.15">
      <c r="A555" s="1">
        <v>41757</v>
      </c>
      <c r="B555" t="s">
        <v>3292</v>
      </c>
      <c r="C555" s="2" t="str">
        <f>HYPERLINK("http://snap.windin.com/ns/bulletin.php?id=36854890&amp;type=1", "佳化化学:首次公开发行股票招股说明书(申报稿2014年4月9日报送)")</f>
        <v>佳化化学:首次公开发行股票招股说明书(申报稿2014年4月9日报送)</v>
      </c>
      <c r="D555" t="s">
        <v>7308</v>
      </c>
      <c r="E555" t="s">
        <v>5303</v>
      </c>
      <c r="F555" t="s">
        <v>5112</v>
      </c>
    </row>
    <row r="556" spans="1:6" x14ac:dyDescent="0.15">
      <c r="A556" s="1">
        <v>41757</v>
      </c>
      <c r="B556" t="s">
        <v>3293</v>
      </c>
      <c r="C556" s="2" t="str">
        <f>HYPERLINK("http://snap.windin.com/ns/bulletin.php?id=36854730&amp;type=1", "浩云科技:创业板首次公开发行股票招股说明书(申报稿4月23日报送)")</f>
        <v>浩云科技:创业板首次公开发行股票招股说明书(申报稿4月23日报送)</v>
      </c>
      <c r="D556" t="s">
        <v>7309</v>
      </c>
      <c r="E556" t="s">
        <v>5304</v>
      </c>
      <c r="F556" t="s">
        <v>5305</v>
      </c>
    </row>
    <row r="557" spans="1:6" x14ac:dyDescent="0.15">
      <c r="A557" s="1">
        <v>41757</v>
      </c>
      <c r="B557" t="s">
        <v>3294</v>
      </c>
      <c r="C557" s="2" t="str">
        <f>HYPERLINK("http://snap.windin.com/ns/bulletin.php?id=36854726&amp;type=1", "真视通:首次公开发行股票招股说明书(申报稿2014年4月25日报送)")</f>
        <v>真视通:首次公开发行股票招股说明书(申报稿2014年4月25日报送)</v>
      </c>
      <c r="D557" t="s">
        <v>7310</v>
      </c>
      <c r="E557" t="s">
        <v>5306</v>
      </c>
      <c r="F557" t="s">
        <v>5006</v>
      </c>
    </row>
    <row r="558" spans="1:6" x14ac:dyDescent="0.15">
      <c r="A558" s="1">
        <v>41757</v>
      </c>
      <c r="B558" t="s">
        <v>3127</v>
      </c>
      <c r="C558" s="2" t="str">
        <f>HYPERLINK("http://snap.windin.com/ns/bulletin.php?id=36822734&amp;type=1", "三联虹普:创业板首次公开发行股票招股说明书(申报稿2014年4月22日报送)")</f>
        <v>三联虹普:创业板首次公开发行股票招股说明书(申报稿2014年4月22日报送)</v>
      </c>
      <c r="D558" t="s">
        <v>7311</v>
      </c>
      <c r="E558" t="s">
        <v>4647</v>
      </c>
      <c r="F558" t="s">
        <v>5166</v>
      </c>
    </row>
    <row r="559" spans="1:6" x14ac:dyDescent="0.15">
      <c r="A559" s="1">
        <v>41757</v>
      </c>
      <c r="B559" t="s">
        <v>2968</v>
      </c>
      <c r="C559" s="2" t="str">
        <f>HYPERLINK("http://snap.windin.com/ns/bulletin.php?id=68017338&amp;type=1", "亚邦染料:首次公开发行股票招股说明书(申报稿2014年4月25日报送)")</f>
        <v>亚邦染料:首次公开发行股票招股说明书(申报稿2014年4月25日报送)</v>
      </c>
      <c r="D559" t="s">
        <v>7312</v>
      </c>
      <c r="E559" t="s">
        <v>4902</v>
      </c>
      <c r="F559" t="s">
        <v>5006</v>
      </c>
    </row>
    <row r="560" spans="1:6" x14ac:dyDescent="0.15">
      <c r="A560" s="1">
        <v>41757</v>
      </c>
      <c r="B560" t="s">
        <v>3295</v>
      </c>
      <c r="C560" s="2" t="str">
        <f>HYPERLINK("http://snap.windin.com/ns/bulletin.php?id=68017336&amp;type=1", "中节能:首次公开发行股票招股说明书(申报稿2014年4月22日报送)")</f>
        <v>中节能:首次公开发行股票招股说明书(申报稿2014年4月22日报送)</v>
      </c>
      <c r="D560" t="s">
        <v>7313</v>
      </c>
      <c r="E560" t="s">
        <v>5302</v>
      </c>
      <c r="F560" t="s">
        <v>5118</v>
      </c>
    </row>
    <row r="561" spans="1:6" x14ac:dyDescent="0.15">
      <c r="A561" s="1">
        <v>41754</v>
      </c>
      <c r="B561" t="s">
        <v>3296</v>
      </c>
      <c r="C561" s="2" t="str">
        <f>HYPERLINK("http://snap.windin.com/ns/bulletin.php?id=33105194&amp;type=1", "迪贝电气:首次公开发行股票招股说明书(申报稿2014年4月24日报送)")</f>
        <v>迪贝电气:首次公开发行股票招股说明书(申报稿2014年4月24日报送)</v>
      </c>
      <c r="D561" t="s">
        <v>7314</v>
      </c>
      <c r="E561" t="s">
        <v>5307</v>
      </c>
      <c r="F561" t="s">
        <v>4690</v>
      </c>
    </row>
    <row r="562" spans="1:6" x14ac:dyDescent="0.15">
      <c r="A562" s="1">
        <v>41754</v>
      </c>
      <c r="B562" t="s">
        <v>3297</v>
      </c>
      <c r="C562" s="2" t="str">
        <f>HYPERLINK("http://snap.windin.com/ns/bulletin.php?id=33105294&amp;type=1", "辰安科技:创业板首次公开发行招股说明书(申报稿2014年4月21日报送)")</f>
        <v>辰安科技:创业板首次公开发行招股说明书(申报稿2014年4月21日报送)</v>
      </c>
      <c r="D562" t="s">
        <v>7315</v>
      </c>
      <c r="E562" t="s">
        <v>5308</v>
      </c>
      <c r="F562" t="s">
        <v>5309</v>
      </c>
    </row>
    <row r="563" spans="1:6" x14ac:dyDescent="0.15">
      <c r="A563" s="1">
        <v>41754</v>
      </c>
      <c r="B563" t="s">
        <v>3298</v>
      </c>
      <c r="C563" s="2" t="str">
        <f>HYPERLINK("http://snap.windin.com/ns/bulletin.php?id=33105196&amp;type=1", "亚普汽车:首次公开发行股票招股说明书(申报稿2014年4月24日报送)")</f>
        <v>亚普汽车:首次公开发行股票招股说明书(申报稿2014年4月24日报送)</v>
      </c>
      <c r="D563" t="s">
        <v>7316</v>
      </c>
      <c r="E563" t="s">
        <v>5310</v>
      </c>
      <c r="F563" t="s">
        <v>4690</v>
      </c>
    </row>
    <row r="564" spans="1:6" x14ac:dyDescent="0.15">
      <c r="A564" s="1">
        <v>41754</v>
      </c>
      <c r="B564" t="s">
        <v>3299</v>
      </c>
      <c r="C564" s="2" t="str">
        <f>HYPERLINK("http://snap.windin.com/ns/bulletin.php?id=33104960&amp;type=1", "派思燃气:首次公开发行股票招股说明书(申报稿2014年4月24日报送)")</f>
        <v>派思燃气:首次公开发行股票招股说明书(申报稿2014年4月24日报送)</v>
      </c>
      <c r="D564" t="s">
        <v>7317</v>
      </c>
      <c r="E564" t="s">
        <v>5311</v>
      </c>
      <c r="F564" t="s">
        <v>4690</v>
      </c>
    </row>
    <row r="565" spans="1:6" x14ac:dyDescent="0.15">
      <c r="A565" s="1">
        <v>41754</v>
      </c>
      <c r="B565" t="s">
        <v>3300</v>
      </c>
      <c r="C565" s="2" t="str">
        <f>HYPERLINK("http://snap.windin.com/ns/bulletin.php?id=33104964&amp;type=1", "三圣特材:首次公开发行股票招股说明书(申报稿2014年4月24日报送)")</f>
        <v>三圣特材:首次公开发行股票招股说明书(申报稿2014年4月24日报送)</v>
      </c>
      <c r="D565" t="s">
        <v>7318</v>
      </c>
      <c r="E565" t="s">
        <v>5312</v>
      </c>
      <c r="F565" t="s">
        <v>4690</v>
      </c>
    </row>
    <row r="566" spans="1:6" x14ac:dyDescent="0.15">
      <c r="A566" s="1">
        <v>41754</v>
      </c>
      <c r="B566" t="s">
        <v>3301</v>
      </c>
      <c r="C566" s="2" t="str">
        <f>HYPERLINK("http://snap.windin.com/ns/bulletin.php?id=33105198&amp;type=1", "弘讯科技:首次公开发行股票招股说明书(申报稿2014年4月24日报送)")</f>
        <v>弘讯科技:首次公开发行股票招股说明书(申报稿2014年4月24日报送)</v>
      </c>
      <c r="D566" t="s">
        <v>7319</v>
      </c>
      <c r="E566" t="s">
        <v>5313</v>
      </c>
      <c r="F566" t="s">
        <v>4690</v>
      </c>
    </row>
    <row r="567" spans="1:6" x14ac:dyDescent="0.15">
      <c r="A567" s="1">
        <v>41754</v>
      </c>
      <c r="B567" t="s">
        <v>2976</v>
      </c>
      <c r="C567" s="2" t="str">
        <f>HYPERLINK("http://snap.windin.com/ns/bulletin.php?id=33105296&amp;type=1", "东方电缆:首次公开发行股票招股说明书(申报稿2014年4月24日报送)")</f>
        <v>东方电缆:首次公开发行股票招股说明书(申报稿2014年4月24日报送)</v>
      </c>
      <c r="D567" t="s">
        <v>7320</v>
      </c>
      <c r="E567" t="s">
        <v>4912</v>
      </c>
      <c r="F567" t="s">
        <v>4690</v>
      </c>
    </row>
    <row r="568" spans="1:6" x14ac:dyDescent="0.15">
      <c r="A568" s="1">
        <v>41754</v>
      </c>
      <c r="B568" t="s">
        <v>3302</v>
      </c>
      <c r="C568" s="2" t="str">
        <f>HYPERLINK("http://snap.windin.com/ns/bulletin.php?id=33104880&amp;type=1", "金雷风电:创业板首次公开发行股票招股说明书(申报稿2014年4月23日报送)")</f>
        <v>金雷风电:创业板首次公开发行股票招股说明书(申报稿2014年4月23日报送)</v>
      </c>
      <c r="D568" t="s">
        <v>7321</v>
      </c>
      <c r="E568" t="s">
        <v>5314</v>
      </c>
      <c r="F568" t="s">
        <v>5221</v>
      </c>
    </row>
    <row r="569" spans="1:6" x14ac:dyDescent="0.15">
      <c r="A569" s="1">
        <v>41754</v>
      </c>
      <c r="B569" t="s">
        <v>3303</v>
      </c>
      <c r="C569" s="2" t="str">
        <f>HYPERLINK("http://snap.windin.com/ns/bulletin.php?id=33104962&amp;type=1", "朗迪集团:首次公开发行股票招股说明书(申报稿2014年4月23日报送)")</f>
        <v>朗迪集团:首次公开发行股票招股说明书(申报稿2014年4月23日报送)</v>
      </c>
      <c r="D569" t="s">
        <v>7322</v>
      </c>
      <c r="E569" t="s">
        <v>5315</v>
      </c>
      <c r="F569" t="s">
        <v>5316</v>
      </c>
    </row>
    <row r="570" spans="1:6" x14ac:dyDescent="0.15">
      <c r="A570" s="1">
        <v>41754</v>
      </c>
      <c r="B570" t="s">
        <v>3304</v>
      </c>
      <c r="C570" s="2" t="str">
        <f>HYPERLINK("http://snap.windin.com/ns/bulletin.php?id=33068792&amp;type=1", "多喜爱:首次公开发行股票招股说明书(申报稿2014年4月23日报送)")</f>
        <v>多喜爱:首次公开发行股票招股说明书(申报稿2014年4月23日报送)</v>
      </c>
      <c r="D570" t="s">
        <v>7323</v>
      </c>
      <c r="E570" t="s">
        <v>5317</v>
      </c>
      <c r="F570" t="s">
        <v>5316</v>
      </c>
    </row>
    <row r="571" spans="1:6" x14ac:dyDescent="0.15">
      <c r="A571" s="1">
        <v>41754</v>
      </c>
      <c r="B571" t="s">
        <v>3305</v>
      </c>
      <c r="C571" s="2" t="str">
        <f>HYPERLINK("http://snap.windin.com/ns/bulletin.php?id=33068890&amp;type=1", "百利科技:首次公开发行股票招股说明书(申报稿2014年4月24日报送)")</f>
        <v>百利科技:首次公开发行股票招股说明书(申报稿2014年4月24日报送)</v>
      </c>
      <c r="D571" t="s">
        <v>7324</v>
      </c>
      <c r="E571" t="s">
        <v>5318</v>
      </c>
      <c r="F571" t="s">
        <v>4690</v>
      </c>
    </row>
    <row r="572" spans="1:6" x14ac:dyDescent="0.15">
      <c r="A572" s="1">
        <v>41754</v>
      </c>
      <c r="B572" t="s">
        <v>3306</v>
      </c>
      <c r="C572" s="2" t="str">
        <f>HYPERLINK("http://snap.windin.com/ns/bulletin.php?id=33072070&amp;type=1", "坚朗股份:首次公开发行股票招股说明书(申报稿2014年4月24日报送)")</f>
        <v>坚朗股份:首次公开发行股票招股说明书(申报稿2014年4月24日报送)</v>
      </c>
      <c r="D572" t="s">
        <v>7325</v>
      </c>
      <c r="E572" t="s">
        <v>5319</v>
      </c>
      <c r="F572" t="s">
        <v>4690</v>
      </c>
    </row>
    <row r="573" spans="1:6" x14ac:dyDescent="0.15">
      <c r="A573" s="1">
        <v>41754</v>
      </c>
      <c r="B573" t="s">
        <v>3307</v>
      </c>
      <c r="C573" s="2" t="str">
        <f>HYPERLINK("http://snap.windin.com/ns/bulletin.php?id=33104724&amp;type=1", "迈克生物:创业板首次公开发行股票招股说明书(申报稿2014年4月17日报送)")</f>
        <v>迈克生物:创业板首次公开发行股票招股说明书(申报稿2014年4月17日报送)</v>
      </c>
      <c r="D573" t="s">
        <v>7326</v>
      </c>
      <c r="E573" t="s">
        <v>5320</v>
      </c>
      <c r="F573" t="s">
        <v>5219</v>
      </c>
    </row>
    <row r="574" spans="1:6" x14ac:dyDescent="0.15">
      <c r="A574" s="1">
        <v>41754</v>
      </c>
      <c r="B574" t="s">
        <v>2978</v>
      </c>
      <c r="C574" s="2" t="str">
        <f>HYPERLINK("http://snap.windin.com/ns/bulletin.php?id=33068932&amp;type=1", "电光防爆:首次公开发行股票招股说明书(申报稿2014年4月24日报送)")</f>
        <v>电光防爆:首次公开发行股票招股说明书(申报稿2014年4月24日报送)</v>
      </c>
      <c r="D574" t="s">
        <v>7327</v>
      </c>
      <c r="E574" t="s">
        <v>4914</v>
      </c>
      <c r="F574" t="s">
        <v>4690</v>
      </c>
    </row>
    <row r="575" spans="1:6" x14ac:dyDescent="0.15">
      <c r="A575" s="1">
        <v>41754</v>
      </c>
      <c r="B575" t="s">
        <v>2782</v>
      </c>
      <c r="C575" s="2" t="str">
        <f>HYPERLINK("http://snap.windin.com/ns/bulletin.php?id=33104726&amp;type=1", "飞凯股份:创业板首次公开发行股票招股说明书(申报稿2014年4月23日报送)")</f>
        <v>飞凯股份:创业板首次公开发行股票招股说明书(申报稿2014年4月23日报送)</v>
      </c>
      <c r="D575" t="s">
        <v>7328</v>
      </c>
      <c r="E575" t="s">
        <v>4641</v>
      </c>
      <c r="F575" t="s">
        <v>5221</v>
      </c>
    </row>
    <row r="576" spans="1:6" x14ac:dyDescent="0.15">
      <c r="A576" s="1">
        <v>41754</v>
      </c>
      <c r="B576" t="s">
        <v>3308</v>
      </c>
      <c r="C576" s="2" t="str">
        <f>HYPERLINK("http://snap.windin.com/ns/bulletin.php?id=33068910&amp;type=1", "南京恒燃:首次公开发行股票招股说明书(申报稿2014年4月23日报送)")</f>
        <v>南京恒燃:首次公开发行股票招股说明书(申报稿2014年4月23日报送)</v>
      </c>
      <c r="D576" t="s">
        <v>7329</v>
      </c>
      <c r="E576" t="s">
        <v>5321</v>
      </c>
      <c r="F576" t="s">
        <v>5316</v>
      </c>
    </row>
    <row r="577" spans="1:6" x14ac:dyDescent="0.15">
      <c r="A577" s="1">
        <v>41754</v>
      </c>
      <c r="B577" t="s">
        <v>3309</v>
      </c>
      <c r="C577" s="2" t="str">
        <f>HYPERLINK("http://snap.windin.com/ns/bulletin.php?id=33104782&amp;type=1", "康拓红外:创业板首次公开发行股票招股说明书(申报稿2014年4月23日报送)")</f>
        <v>康拓红外:创业板首次公开发行股票招股说明书(申报稿2014年4月23日报送)</v>
      </c>
      <c r="D577" t="s">
        <v>7330</v>
      </c>
      <c r="E577" t="s">
        <v>5322</v>
      </c>
      <c r="F577" t="s">
        <v>5221</v>
      </c>
    </row>
    <row r="578" spans="1:6" x14ac:dyDescent="0.15">
      <c r="A578" s="1">
        <v>41754</v>
      </c>
      <c r="B578" t="s">
        <v>3310</v>
      </c>
      <c r="C578" s="2" t="str">
        <f>HYPERLINK("http://snap.windin.com/ns/bulletin.php?id=33068930&amp;type=1", "燕塘乳业:首次公开发行股票招股说明书(申报稿2014年4月23日报送)")</f>
        <v>燕塘乳业:首次公开发行股票招股说明书(申报稿2014年4月23日报送)</v>
      </c>
      <c r="D578" t="s">
        <v>7331</v>
      </c>
      <c r="E578" t="s">
        <v>5323</v>
      </c>
      <c r="F578" t="s">
        <v>5316</v>
      </c>
    </row>
    <row r="579" spans="1:6" x14ac:dyDescent="0.15">
      <c r="A579" s="1">
        <v>41754</v>
      </c>
      <c r="B579" t="s">
        <v>3311</v>
      </c>
      <c r="C579" s="2" t="str">
        <f>HYPERLINK("http://snap.windin.com/ns/bulletin.php?id=33104842&amp;type=1", "汉邦高科:创业板首次公开发行股票招股说明书（申报稿2014年4月24日报送）")</f>
        <v>汉邦高科:创业板首次公开发行股票招股说明书（申报稿2014年4月24日报送）</v>
      </c>
      <c r="D579" t="s">
        <v>7332</v>
      </c>
      <c r="E579" t="s">
        <v>5324</v>
      </c>
      <c r="F579" t="s">
        <v>5325</v>
      </c>
    </row>
    <row r="580" spans="1:6" x14ac:dyDescent="0.15">
      <c r="A580" s="1">
        <v>41753</v>
      </c>
      <c r="B580" t="s">
        <v>3312</v>
      </c>
      <c r="C580" s="2" t="str">
        <f>HYPERLINK("http://snap.windin.com/ns/bulletin.php?id=32208538&amp;type=1", "国祯环保:创业板首次公开发行股票招股说明书(申报稿2014年4月18日报送)")</f>
        <v>国祯环保:创业板首次公开发行股票招股说明书(申报稿2014年4月18日报送)</v>
      </c>
      <c r="D580" t="s">
        <v>7333</v>
      </c>
      <c r="E580" t="s">
        <v>4645</v>
      </c>
      <c r="F580" t="s">
        <v>5326</v>
      </c>
    </row>
    <row r="581" spans="1:6" x14ac:dyDescent="0.15">
      <c r="A581" s="1">
        <v>41753</v>
      </c>
      <c r="B581" t="s">
        <v>3313</v>
      </c>
      <c r="C581" s="2" t="str">
        <f>HYPERLINK("http://snap.windin.com/ns/bulletin.php?id=32258244&amp;type=1", "舟港股份:首次公开发行股票招股说明书(申报稿2014年4月22日报送)")</f>
        <v>舟港股份:首次公开发行股票招股说明书(申报稿2014年4月22日报送)</v>
      </c>
      <c r="D581" t="s">
        <v>7334</v>
      </c>
      <c r="E581" t="s">
        <v>5327</v>
      </c>
      <c r="F581" t="s">
        <v>5118</v>
      </c>
    </row>
    <row r="582" spans="1:6" x14ac:dyDescent="0.15">
      <c r="A582" s="1">
        <v>41753</v>
      </c>
      <c r="B582" t="s">
        <v>3314</v>
      </c>
      <c r="C582" s="2" t="str">
        <f>HYPERLINK("http://snap.windin.com/ns/bulletin.php?id=32207914&amp;type=1", "永祥粮机:创业板首次公开发行股票招股说明书(申报稿2014年4月21日报送)")</f>
        <v>永祥粮机:创业板首次公开发行股票招股说明书(申报稿2014年4月21日报送)</v>
      </c>
      <c r="D582" t="s">
        <v>7335</v>
      </c>
      <c r="E582" t="s">
        <v>5328</v>
      </c>
      <c r="F582" t="s">
        <v>5155</v>
      </c>
    </row>
    <row r="583" spans="1:6" x14ac:dyDescent="0.15">
      <c r="A583" s="1">
        <v>41753</v>
      </c>
      <c r="B583" t="s">
        <v>3315</v>
      </c>
      <c r="C583" s="2" t="str">
        <f>HYPERLINK("http://snap.windin.com/ns/bulletin.php?id=32208504&amp;type=1", "合纵科技:创业板首次公开发行股票招股说明书(申报稿2014年4月16日报送)")</f>
        <v>合纵科技:创业板首次公开发行股票招股说明书(申报稿2014年4月16日报送)</v>
      </c>
      <c r="D583" t="s">
        <v>7336</v>
      </c>
      <c r="E583" t="s">
        <v>5329</v>
      </c>
      <c r="F583" t="s">
        <v>5330</v>
      </c>
    </row>
    <row r="584" spans="1:6" x14ac:dyDescent="0.15">
      <c r="A584" s="1">
        <v>41753</v>
      </c>
      <c r="B584" t="s">
        <v>3316</v>
      </c>
      <c r="C584" s="2" t="str">
        <f>HYPERLINK("http://snap.windin.com/ns/bulletin.php?id=32208528&amp;type=1", "海顺新材:创业板首次公开发行股票招股说明书(申报稿2014年4月22日报送)")</f>
        <v>海顺新材:创业板首次公开发行股票招股说明书(申报稿2014年4月22日报送)</v>
      </c>
      <c r="D584" t="s">
        <v>7337</v>
      </c>
      <c r="E584" t="s">
        <v>5331</v>
      </c>
      <c r="F584" t="s">
        <v>5166</v>
      </c>
    </row>
    <row r="585" spans="1:6" x14ac:dyDescent="0.15">
      <c r="A585" s="1">
        <v>41753</v>
      </c>
      <c r="B585" t="s">
        <v>3317</v>
      </c>
      <c r="C585" s="2" t="str">
        <f>HYPERLINK("http://snap.windin.com/ns/bulletin.php?id=32208812&amp;type=1", "今世缘:首次公开发行股票招股说明书(申报稿2014年4月23日报送)")</f>
        <v>今世缘:首次公开发行股票招股说明书(申报稿2014年4月23日报送)</v>
      </c>
      <c r="D585" t="s">
        <v>7338</v>
      </c>
      <c r="E585" t="s">
        <v>4841</v>
      </c>
      <c r="F585" t="s">
        <v>5316</v>
      </c>
    </row>
    <row r="586" spans="1:6" x14ac:dyDescent="0.15">
      <c r="A586" s="1">
        <v>41753</v>
      </c>
      <c r="B586" t="s">
        <v>3318</v>
      </c>
      <c r="C586" s="2" t="str">
        <f>HYPERLINK("http://snap.windin.com/ns/bulletin.php?id=32208536&amp;type=1", "南华仪器:创业板首次公开发行股票招股说明书(申报稿2014年4月22日报送)")</f>
        <v>南华仪器:创业板首次公开发行股票招股说明书(申报稿2014年4月22日报送)</v>
      </c>
      <c r="D586" t="s">
        <v>7339</v>
      </c>
      <c r="E586" t="s">
        <v>5332</v>
      </c>
      <c r="F586" t="s">
        <v>5166</v>
      </c>
    </row>
    <row r="587" spans="1:6" x14ac:dyDescent="0.15">
      <c r="A587" s="1">
        <v>41753</v>
      </c>
      <c r="B587" t="s">
        <v>3319</v>
      </c>
      <c r="C587" s="2" t="str">
        <f>HYPERLINK("http://snap.windin.com/ns/bulletin.php?id=32208582&amp;type=1", "合锻股份:首次公开发行股票招股说明书(申报稿2014年4月23日报送)")</f>
        <v>合锻股份:首次公开发行股票招股说明书(申报稿2014年4月23日报送)</v>
      </c>
      <c r="D587" t="s">
        <v>7340</v>
      </c>
      <c r="E587" t="s">
        <v>5333</v>
      </c>
      <c r="F587" t="s">
        <v>5316</v>
      </c>
    </row>
    <row r="588" spans="1:6" x14ac:dyDescent="0.15">
      <c r="A588" s="1">
        <v>41753</v>
      </c>
      <c r="B588" t="s">
        <v>3148</v>
      </c>
      <c r="C588" s="2" t="str">
        <f>HYPERLINK("http://snap.windin.com/ns/bulletin.php?id=32209416&amp;type=1", "春秋航空:首次公开发行股票招股说明书(申报稿2014年4月22日报送)")</f>
        <v>春秋航空:首次公开发行股票招股说明书(申报稿2014年4月22日报送)</v>
      </c>
      <c r="D588" t="s">
        <v>7341</v>
      </c>
      <c r="E588" t="s">
        <v>5133</v>
      </c>
      <c r="F588" t="s">
        <v>5118</v>
      </c>
    </row>
    <row r="589" spans="1:6" x14ac:dyDescent="0.15">
      <c r="A589" s="1">
        <v>41753</v>
      </c>
      <c r="B589" t="s">
        <v>3320</v>
      </c>
      <c r="C589" s="2" t="str">
        <f>HYPERLINK("http://snap.windin.com/ns/bulletin.php?id=32209594&amp;type=1", "航天工程:首次公开发行股票招股说明书(申报稿2014年2月20日报送)")</f>
        <v>航天工程:首次公开发行股票招股说明书(申报稿2014年2月20日报送)</v>
      </c>
      <c r="D589" t="s">
        <v>7342</v>
      </c>
      <c r="E589" t="s">
        <v>5334</v>
      </c>
      <c r="F589" t="s">
        <v>5335</v>
      </c>
    </row>
    <row r="590" spans="1:6" x14ac:dyDescent="0.15">
      <c r="A590" s="1">
        <v>41753</v>
      </c>
      <c r="B590" t="s">
        <v>3321</v>
      </c>
      <c r="C590" s="2" t="str">
        <f>HYPERLINK("http://snap.windin.com/ns/bulletin.php?id=32209466&amp;type=1", "道氏股份:创业板首次公开发行股票招股说明书(申报稿2014年4月23日报送)")</f>
        <v>道氏股份:创业板首次公开发行股票招股说明书(申报稿2014年4月23日报送)</v>
      </c>
      <c r="D590" t="s">
        <v>7343</v>
      </c>
      <c r="E590" t="s">
        <v>5336</v>
      </c>
      <c r="F590" t="s">
        <v>5221</v>
      </c>
    </row>
    <row r="591" spans="1:6" x14ac:dyDescent="0.15">
      <c r="A591" s="1">
        <v>41753</v>
      </c>
      <c r="B591" t="s">
        <v>3322</v>
      </c>
      <c r="C591" s="2" t="str">
        <f>HYPERLINK("http://snap.windin.com/ns/bulletin.php?id=32208922&amp;type=1", "清水源:创业板首次公开发行股票招股说明书(申报稿2014年4月21日报送)")</f>
        <v>清水源:创业板首次公开发行股票招股说明书(申报稿2014年4月21日报送)</v>
      </c>
      <c r="D591" t="s">
        <v>7344</v>
      </c>
      <c r="E591" t="s">
        <v>5337</v>
      </c>
      <c r="F591" t="s">
        <v>5155</v>
      </c>
    </row>
    <row r="592" spans="1:6" x14ac:dyDescent="0.15">
      <c r="A592" s="1">
        <v>41753</v>
      </c>
      <c r="B592" t="s">
        <v>3323</v>
      </c>
      <c r="C592" s="2" t="str">
        <f>HYPERLINK("http://snap.windin.com/ns/bulletin.php?id=32209408&amp;type=1", "天鸟股份:创业板首次公开发行股票招股说明书(申报稿2014年4月22日报送)")</f>
        <v>天鸟股份:创业板首次公开发行股票招股说明书(申报稿2014年4月22日报送)</v>
      </c>
      <c r="D592" t="s">
        <v>7345</v>
      </c>
      <c r="E592" t="s">
        <v>5338</v>
      </c>
      <c r="F592" t="s">
        <v>5166</v>
      </c>
    </row>
    <row r="593" spans="1:6" x14ac:dyDescent="0.15">
      <c r="A593" s="1">
        <v>41753</v>
      </c>
      <c r="B593" t="s">
        <v>3324</v>
      </c>
      <c r="C593" s="2" t="str">
        <f>HYPERLINK("http://snap.windin.com/ns/bulletin.php?id=32209382&amp;type=1", "飞天诚信:创业板首次公开发行股票招股说明书(申报稿2014年4月21日报送)")</f>
        <v>飞天诚信:创业板首次公开发行股票招股说明书(申报稿2014年4月21日报送)</v>
      </c>
      <c r="D593" t="s">
        <v>7346</v>
      </c>
      <c r="E593" t="s">
        <v>382</v>
      </c>
      <c r="F593" t="s">
        <v>5155</v>
      </c>
    </row>
    <row r="594" spans="1:6" x14ac:dyDescent="0.15">
      <c r="A594" s="1">
        <v>41753</v>
      </c>
      <c r="B594" t="s">
        <v>3325</v>
      </c>
      <c r="C594" s="2" t="str">
        <f>HYPERLINK("http://snap.windin.com/ns/bulletin.php?id=32209410&amp;type=1", "中公高科:创业板首次公开发行股票招股说明书(申报稿2014年3月11日报送)")</f>
        <v>中公高科:创业板首次公开发行股票招股说明书(申报稿2014年3月11日报送)</v>
      </c>
      <c r="D594" t="s">
        <v>7347</v>
      </c>
      <c r="E594" t="s">
        <v>5339</v>
      </c>
      <c r="F594" t="s">
        <v>5340</v>
      </c>
    </row>
    <row r="595" spans="1:6" x14ac:dyDescent="0.15">
      <c r="A595" s="1">
        <v>41753</v>
      </c>
      <c r="B595" t="s">
        <v>3326</v>
      </c>
      <c r="C595" s="2" t="str">
        <f>HYPERLINK("http://snap.windin.com/ns/bulletin.php?id=32209598&amp;type=1", "伊之密:创业板首次公开发行股票招股说明书(申报稿2014年3月7日报送)")</f>
        <v>伊之密:创业板首次公开发行股票招股说明书(申报稿2014年3月7日报送)</v>
      </c>
      <c r="D595" t="s">
        <v>7348</v>
      </c>
      <c r="E595" t="s">
        <v>5341</v>
      </c>
      <c r="F595" t="s">
        <v>5116</v>
      </c>
    </row>
    <row r="596" spans="1:6" x14ac:dyDescent="0.15">
      <c r="A596" s="1">
        <v>41753</v>
      </c>
      <c r="B596" t="s">
        <v>3327</v>
      </c>
      <c r="C596" s="2" t="str">
        <f>HYPERLINK("http://snap.windin.com/ns/bulletin.php?id=32209678&amp;type=1", "天华超净:创业板首次公开发行股票招股说明书(申报稿2014年4月22日报送)")</f>
        <v>天华超净:创业板首次公开发行股票招股说明书(申报稿2014年4月22日报送)</v>
      </c>
      <c r="D596" t="s">
        <v>7349</v>
      </c>
      <c r="E596" t="s">
        <v>4651</v>
      </c>
      <c r="F596" t="s">
        <v>5166</v>
      </c>
    </row>
    <row r="597" spans="1:6" x14ac:dyDescent="0.15">
      <c r="A597" s="1">
        <v>41753</v>
      </c>
      <c r="B597" t="s">
        <v>3328</v>
      </c>
      <c r="C597" s="2" t="str">
        <f>HYPERLINK("http://snap.windin.com/ns/bulletin.php?id=32221862&amp;type=1", "爱迪尔:首次公开发行股票招股说明书(申报稿2014年4月23日报送)")</f>
        <v>爱迪尔:首次公开发行股票招股说明书(申报稿2014年4月23日报送)</v>
      </c>
      <c r="D597" t="s">
        <v>7350</v>
      </c>
      <c r="E597" t="s">
        <v>5342</v>
      </c>
      <c r="F597" t="s">
        <v>5316</v>
      </c>
    </row>
    <row r="598" spans="1:6" x14ac:dyDescent="0.15">
      <c r="A598" s="1">
        <v>41753</v>
      </c>
      <c r="B598" t="s">
        <v>3329</v>
      </c>
      <c r="C598" s="2" t="str">
        <f>HYPERLINK("http://snap.windin.com/ns/bulletin.php?id=32209682&amp;type=1", "山河药辅:创业板首次公开发行股票招股说明书(申报稿2014年4月22日报送)")</f>
        <v>山河药辅:创业板首次公开发行股票招股说明书(申报稿2014年4月22日报送)</v>
      </c>
      <c r="D598" t="s">
        <v>7351</v>
      </c>
      <c r="E598" t="s">
        <v>5343</v>
      </c>
      <c r="F598" t="s">
        <v>5166</v>
      </c>
    </row>
    <row r="599" spans="1:6" x14ac:dyDescent="0.15">
      <c r="A599" s="1">
        <v>41753</v>
      </c>
      <c r="B599" t="s">
        <v>3330</v>
      </c>
      <c r="C599" s="2" t="str">
        <f>HYPERLINK("http://snap.windin.com/ns/bulletin.php?id=32209686&amp;type=1", "达志科技:创业板首次公开发行股票招股说明书(申报稿2014年4月23日报送)")</f>
        <v>达志科技:创业板首次公开发行股票招股说明书(申报稿2014年4月23日报送)</v>
      </c>
      <c r="D599" t="s">
        <v>7352</v>
      </c>
      <c r="E599" t="s">
        <v>5344</v>
      </c>
      <c r="F599" t="s">
        <v>5221</v>
      </c>
    </row>
    <row r="600" spans="1:6" x14ac:dyDescent="0.15">
      <c r="A600" s="1">
        <v>41753</v>
      </c>
      <c r="B600" t="s">
        <v>3331</v>
      </c>
      <c r="C600" s="2" t="str">
        <f>HYPERLINK("http://snap.windin.com/ns/bulletin.php?id=32221958&amp;type=1", "迅游股份:创业板首次公开发行股票招股说明书(申报稿2014年4月17日报送)")</f>
        <v>迅游股份:创业板首次公开发行股票招股说明书(申报稿2014年4月17日报送)</v>
      </c>
      <c r="D600" t="s">
        <v>7353</v>
      </c>
      <c r="E600" t="s">
        <v>5345</v>
      </c>
      <c r="F600" t="s">
        <v>5219</v>
      </c>
    </row>
    <row r="601" spans="1:6" x14ac:dyDescent="0.15">
      <c r="A601" s="1">
        <v>41753</v>
      </c>
      <c r="B601" t="s">
        <v>2924</v>
      </c>
      <c r="C601" s="2" t="str">
        <f>HYPERLINK("http://snap.windin.com/ns/bulletin.php?id=58753814&amp;type=1", "今世缘:首次公开发行股票招股说明书(申报稿2014年4月23日报送)")</f>
        <v>今世缘:首次公开发行股票招股说明书(申报稿2014年4月23日报送)</v>
      </c>
      <c r="D601" t="s">
        <v>7354</v>
      </c>
      <c r="E601" t="s">
        <v>4841</v>
      </c>
      <c r="F601" t="s">
        <v>5316</v>
      </c>
    </row>
    <row r="602" spans="1:6" x14ac:dyDescent="0.15">
      <c r="A602" s="1">
        <v>41753</v>
      </c>
      <c r="B602" t="s">
        <v>2929</v>
      </c>
      <c r="C602" s="2" t="str">
        <f>HYPERLINK("http://snap.windin.com/ns/bulletin.php?id=58753818&amp;type=1", "莎普爱思:首次公开发行股票招股说明书(申报稿2014年4月22日报送)")</f>
        <v>莎普爱思:首次公开发行股票招股说明书(申报稿2014年4月22日报送)</v>
      </c>
      <c r="D602" t="s">
        <v>7355</v>
      </c>
      <c r="E602" t="s">
        <v>4847</v>
      </c>
      <c r="F602" t="s">
        <v>5118</v>
      </c>
    </row>
    <row r="603" spans="1:6" x14ac:dyDescent="0.15">
      <c r="A603" s="1">
        <v>41753</v>
      </c>
      <c r="B603" t="s">
        <v>4</v>
      </c>
      <c r="C603" s="2" t="str">
        <f>HYPERLINK("http://snap.windin.com/ns/bulletin.php?id=58753820&amp;type=1", "飞天诚信:创业板首次公开发行股票招股说明书(申报稿2014年4月21日报送)")</f>
        <v>飞天诚信:创业板首次公开发行股票招股说明书(申报稿2014年4月21日报送)</v>
      </c>
      <c r="D603" t="s">
        <v>7356</v>
      </c>
      <c r="E603" t="s">
        <v>382</v>
      </c>
      <c r="F603" t="s">
        <v>5155</v>
      </c>
    </row>
    <row r="604" spans="1:6" x14ac:dyDescent="0.15">
      <c r="A604" s="1">
        <v>41752</v>
      </c>
      <c r="B604" t="s">
        <v>3332</v>
      </c>
      <c r="C604" s="2" t="str">
        <f>HYPERLINK("http://snap.windin.com/ns/bulletin.php?id=31505658&amp;type=1", "全筑股份:首次公开发行股票招股说明书(申报稿2014年4月15日报送)")</f>
        <v>全筑股份:首次公开发行股票招股说明书(申报稿2014年4月15日报送)</v>
      </c>
      <c r="D604" t="s">
        <v>7357</v>
      </c>
      <c r="E604" t="s">
        <v>5346</v>
      </c>
      <c r="F604" t="s">
        <v>5347</v>
      </c>
    </row>
    <row r="605" spans="1:6" x14ac:dyDescent="0.15">
      <c r="A605" s="1">
        <v>41752</v>
      </c>
      <c r="B605" t="s">
        <v>3333</v>
      </c>
      <c r="C605" s="2" t="str">
        <f>HYPERLINK("http://snap.windin.com/ns/bulletin.php?id=31505578&amp;type=1", "雪峰科技:首次公开发行股票招股说明书(申报稿2014年4月17日报送)")</f>
        <v>雪峰科技:首次公开发行股票招股说明书(申报稿2014年4月17日报送)</v>
      </c>
      <c r="D605" t="s">
        <v>7358</v>
      </c>
      <c r="E605" t="s">
        <v>5348</v>
      </c>
      <c r="F605" t="s">
        <v>5177</v>
      </c>
    </row>
    <row r="606" spans="1:6" x14ac:dyDescent="0.15">
      <c r="A606" s="1">
        <v>41752</v>
      </c>
      <c r="B606" t="s">
        <v>3334</v>
      </c>
      <c r="C606" s="2" t="str">
        <f>HYPERLINK("http://snap.windin.com/ns/bulletin.php?id=31505576&amp;type=1", "华电重工:首次公开发行股票招股说明书(申报稿2014年4月18日报送)")</f>
        <v>华电重工:首次公开发行股票招股说明书(申报稿2014年4月18日报送)</v>
      </c>
      <c r="D606" t="s">
        <v>7359</v>
      </c>
      <c r="E606" t="s">
        <v>5349</v>
      </c>
      <c r="F606" t="s">
        <v>5130</v>
      </c>
    </row>
    <row r="607" spans="1:6" x14ac:dyDescent="0.15">
      <c r="A607" s="1">
        <v>41752</v>
      </c>
      <c r="B607" t="s">
        <v>3335</v>
      </c>
      <c r="C607" s="2" t="str">
        <f>HYPERLINK("http://snap.windin.com/ns/bulletin.php?id=31505542&amp;type=1", "奇信股份:首次公开发行股票招股说明书(申报稿2014年3月10日报送)")</f>
        <v>奇信股份:首次公开发行股票招股说明书(申报稿2014年3月10日报送)</v>
      </c>
      <c r="D607" t="s">
        <v>7360</v>
      </c>
      <c r="E607" t="s">
        <v>5350</v>
      </c>
      <c r="F607" t="s">
        <v>5351</v>
      </c>
    </row>
    <row r="608" spans="1:6" x14ac:dyDescent="0.15">
      <c r="A608" s="1">
        <v>41752</v>
      </c>
      <c r="B608" t="s">
        <v>3336</v>
      </c>
      <c r="C608" s="2" t="str">
        <f>HYPERLINK("http://snap.windin.com/ns/bulletin.php?id=31505394&amp;type=1", "柯利达:首次公开发行股票招股说明书(申报稿2014年4月23日报送)")</f>
        <v>柯利达:首次公开发行股票招股说明书(申报稿2014年4月23日报送)</v>
      </c>
      <c r="D608" t="s">
        <v>7361</v>
      </c>
      <c r="E608" t="s">
        <v>5352</v>
      </c>
      <c r="F608" t="s">
        <v>5316</v>
      </c>
    </row>
    <row r="609" spans="1:6" x14ac:dyDescent="0.15">
      <c r="A609" s="1">
        <v>41752</v>
      </c>
      <c r="B609" t="s">
        <v>3337</v>
      </c>
      <c r="C609" s="2" t="str">
        <f>HYPERLINK("http://snap.windin.com/ns/bulletin.php?id=31505538&amp;type=1", "富泰股份:首次公开发行股票招股说明书(申报稿2014年4月23日报送)")</f>
        <v>富泰股份:首次公开发行股票招股说明书(申报稿2014年4月23日报送)</v>
      </c>
      <c r="D609" t="s">
        <v>7362</v>
      </c>
      <c r="E609" t="s">
        <v>5353</v>
      </c>
      <c r="F609" t="s">
        <v>5316</v>
      </c>
    </row>
    <row r="610" spans="1:6" x14ac:dyDescent="0.15">
      <c r="A610" s="1">
        <v>41752</v>
      </c>
      <c r="B610" t="s">
        <v>3338</v>
      </c>
      <c r="C610" s="2" t="str">
        <f>HYPERLINK("http://snap.windin.com/ns/bulletin.php?id=31505660&amp;type=1", "拓普集团:首次公开发行股票招股说明书(申报稿2014年4月23日报送)")</f>
        <v>拓普集团:首次公开发行股票招股说明书(申报稿2014年4月23日报送)</v>
      </c>
      <c r="D610" t="s">
        <v>7363</v>
      </c>
      <c r="E610" t="s">
        <v>5354</v>
      </c>
      <c r="F610" t="s">
        <v>5316</v>
      </c>
    </row>
    <row r="611" spans="1:6" x14ac:dyDescent="0.15">
      <c r="A611" s="1">
        <v>41752</v>
      </c>
      <c r="B611" t="s">
        <v>3339</v>
      </c>
      <c r="C611" s="2" t="str">
        <f>HYPERLINK("http://snap.windin.com/ns/bulletin.php?id=31505780&amp;type=1", "复大医疗:首次公开发行股票招股说明书(申报稿2014年4月21日报送)")</f>
        <v>复大医疗:首次公开发行股票招股说明书(申报稿2014年4月21日报送)</v>
      </c>
      <c r="D611" t="s">
        <v>7364</v>
      </c>
      <c r="E611" t="s">
        <v>5355</v>
      </c>
      <c r="F611" t="s">
        <v>5253</v>
      </c>
    </row>
    <row r="612" spans="1:6" x14ac:dyDescent="0.15">
      <c r="A612" s="1">
        <v>41752</v>
      </c>
      <c r="B612" t="s">
        <v>3340</v>
      </c>
      <c r="C612" s="2" t="str">
        <f>HYPERLINK("http://snap.windin.com/ns/bulletin.php?id=31505662&amp;type=1", "振隆股份:首次公开发行股票招股说明书(申报稿2014年4月22日报送)")</f>
        <v>振隆股份:首次公开发行股票招股说明书(申报稿2014年4月22日报送)</v>
      </c>
      <c r="D612" t="s">
        <v>7365</v>
      </c>
      <c r="E612" t="s">
        <v>5356</v>
      </c>
      <c r="F612" t="s">
        <v>5118</v>
      </c>
    </row>
    <row r="613" spans="1:6" x14ac:dyDescent="0.15">
      <c r="A613" s="1">
        <v>41752</v>
      </c>
      <c r="B613" t="s">
        <v>3341</v>
      </c>
      <c r="C613" s="2" t="str">
        <f>HYPERLINK("http://snap.windin.com/ns/bulletin.php?id=31505782&amp;type=1", "晨光文具:首次公开发行股票招股说明书(申报稿2014年4月22日报送)")</f>
        <v>晨光文具:首次公开发行股票招股说明书(申报稿2014年4月22日报送)</v>
      </c>
      <c r="D613" t="s">
        <v>7366</v>
      </c>
      <c r="E613" t="s">
        <v>5357</v>
      </c>
      <c r="F613" t="s">
        <v>5118</v>
      </c>
    </row>
    <row r="614" spans="1:6" x14ac:dyDescent="0.15">
      <c r="A614" s="1">
        <v>41751</v>
      </c>
      <c r="B614" t="s">
        <v>3342</v>
      </c>
      <c r="C614" s="2" t="str">
        <f>HYPERLINK("http://snap.windin.com/ns/bulletin.php?id=31145186&amp;type=1", "金逸股份:首次公开发行股票招股说明书(申报稿2014年4月22日报送)")</f>
        <v>金逸股份:首次公开发行股票招股说明书(申报稿2014年4月22日报送)</v>
      </c>
      <c r="D614" t="s">
        <v>7367</v>
      </c>
      <c r="E614" t="s">
        <v>5358</v>
      </c>
      <c r="F614" t="s">
        <v>5118</v>
      </c>
    </row>
    <row r="615" spans="1:6" x14ac:dyDescent="0.15">
      <c r="A615" s="1">
        <v>41751</v>
      </c>
      <c r="B615" t="s">
        <v>3343</v>
      </c>
      <c r="C615" s="2" t="str">
        <f>HYPERLINK("http://snap.windin.com/ns/bulletin.php?id=31145034&amp;type=1", "金盾风机:创业板首次公开发行股票招股说明书(申报稿2014年3月26日报送)")</f>
        <v>金盾风机:创业板首次公开发行股票招股说明书(申报稿2014年3月26日报送)</v>
      </c>
      <c r="D615" t="s">
        <v>7368</v>
      </c>
      <c r="E615" t="s">
        <v>5359</v>
      </c>
      <c r="F615" t="s">
        <v>5360</v>
      </c>
    </row>
    <row r="616" spans="1:6" x14ac:dyDescent="0.15">
      <c r="A616" s="1">
        <v>41751</v>
      </c>
      <c r="B616" t="s">
        <v>3344</v>
      </c>
      <c r="C616" s="2" t="str">
        <f>HYPERLINK("http://snap.windin.com/ns/bulletin.php?id=31145188&amp;type=1", "星光农机:首次公开发行股票招股说明书(申报稿2014年4月22日报送)")</f>
        <v>星光农机:首次公开发行股票招股说明书(申报稿2014年4月22日报送)</v>
      </c>
      <c r="D616" t="s">
        <v>7369</v>
      </c>
      <c r="E616" t="s">
        <v>5361</v>
      </c>
      <c r="F616" t="s">
        <v>5118</v>
      </c>
    </row>
    <row r="617" spans="1:6" x14ac:dyDescent="0.15">
      <c r="A617" s="1">
        <v>41751</v>
      </c>
      <c r="B617" t="s">
        <v>3345</v>
      </c>
      <c r="C617" s="2" t="str">
        <f>HYPERLINK("http://snap.windin.com/ns/bulletin.php?id=31145212&amp;type=1", "农尚环境:创业板首次公开发行股票招股说明书(申报稿2014年4月9日报送)")</f>
        <v>农尚环境:创业板首次公开发行股票招股说明书(申报稿2014年4月9日报送)</v>
      </c>
      <c r="D617" t="s">
        <v>7370</v>
      </c>
      <c r="E617" t="s">
        <v>5362</v>
      </c>
      <c r="F617" t="s">
        <v>5363</v>
      </c>
    </row>
    <row r="618" spans="1:6" x14ac:dyDescent="0.15">
      <c r="A618" s="1">
        <v>41751</v>
      </c>
      <c r="B618" t="s">
        <v>3346</v>
      </c>
      <c r="C618" s="2" t="str">
        <f>HYPERLINK("http://snap.windin.com/ns/bulletin.php?id=31145078&amp;type=1", "曲美家具:首次公开发行股票招股说明书(申报稿2014年4月22日报送)")</f>
        <v>曲美家具:首次公开发行股票招股说明书(申报稿2014年4月22日报送)</v>
      </c>
      <c r="D618" t="s">
        <v>7371</v>
      </c>
      <c r="E618" t="s">
        <v>5364</v>
      </c>
      <c r="F618" t="s">
        <v>5118</v>
      </c>
    </row>
    <row r="619" spans="1:6" x14ac:dyDescent="0.15">
      <c r="A619" s="1">
        <v>41751</v>
      </c>
      <c r="B619" t="s">
        <v>3347</v>
      </c>
      <c r="C619" s="2" t="str">
        <f>HYPERLINK("http://snap.windin.com/ns/bulletin.php?id=31145128&amp;type=1", "川金诺:创业板首次公开发行股票招股说明书(申报稿2014年2月18日报送)")</f>
        <v>川金诺:创业板首次公开发行股票招股说明书(申报稿2014年2月18日报送)</v>
      </c>
      <c r="D619" t="s">
        <v>7372</v>
      </c>
      <c r="E619" t="s">
        <v>5365</v>
      </c>
      <c r="F619" t="s">
        <v>5366</v>
      </c>
    </row>
    <row r="620" spans="1:6" x14ac:dyDescent="0.15">
      <c r="A620" s="1">
        <v>41751</v>
      </c>
      <c r="B620" t="s">
        <v>3348</v>
      </c>
      <c r="C620" s="2" t="str">
        <f>HYPERLINK("http://snap.windin.com/ns/bulletin.php?id=31145102&amp;type=1", "中坚科技:首次公开发行股票招股说明书(申报稿2014年4月21日报送)")</f>
        <v>中坚科技:首次公开发行股票招股说明书(申报稿2014年4月21日报送)</v>
      </c>
      <c r="D620" t="s">
        <v>7373</v>
      </c>
      <c r="E620" t="s">
        <v>5367</v>
      </c>
      <c r="F620" t="s">
        <v>5253</v>
      </c>
    </row>
    <row r="621" spans="1:6" x14ac:dyDescent="0.15">
      <c r="A621" s="1">
        <v>41751</v>
      </c>
      <c r="B621" t="s">
        <v>3349</v>
      </c>
      <c r="C621" s="2" t="str">
        <f>HYPERLINK("http://snap.windin.com/ns/bulletin.php?id=31145136&amp;type=1", "长白山:首次公开发行股票招股说明书(申报稿2014年4月21日报送)")</f>
        <v>长白山:首次公开发行股票招股说明书(申报稿2014年4月21日报送)</v>
      </c>
      <c r="D621" t="s">
        <v>7374</v>
      </c>
      <c r="E621" t="s">
        <v>4654</v>
      </c>
      <c r="F621" t="s">
        <v>5253</v>
      </c>
    </row>
    <row r="622" spans="1:6" x14ac:dyDescent="0.15">
      <c r="A622" s="1">
        <v>41751</v>
      </c>
      <c r="B622" t="s">
        <v>3350</v>
      </c>
      <c r="C622" s="2" t="str">
        <f>HYPERLINK("http://snap.windin.com/ns/bulletin.php?id=31145162&amp;type=1", "威帝电子:首次公开发行股票招股说明书(申报稿2014年4月22日报送)")</f>
        <v>威帝电子:首次公开发行股票招股说明书(申报稿2014年4月22日报送)</v>
      </c>
      <c r="D622" t="s">
        <v>7375</v>
      </c>
      <c r="E622" t="s">
        <v>5368</v>
      </c>
      <c r="F622" t="s">
        <v>5118</v>
      </c>
    </row>
    <row r="623" spans="1:6" x14ac:dyDescent="0.15">
      <c r="A623" s="1">
        <v>41751</v>
      </c>
      <c r="B623" t="s">
        <v>3351</v>
      </c>
      <c r="C623" s="2" t="str">
        <f>HYPERLINK("http://snap.windin.com/ns/bulletin.php?id=31145138&amp;type=1", "绿城水务:首次公开发行股票招股说明书(申报稿2014年4月21日报送)")</f>
        <v>绿城水务:首次公开发行股票招股说明书(申报稿2014年4月21日报送)</v>
      </c>
      <c r="D623" t="s">
        <v>7376</v>
      </c>
      <c r="E623" t="s">
        <v>5369</v>
      </c>
      <c r="F623" t="s">
        <v>5253</v>
      </c>
    </row>
    <row r="624" spans="1:6" x14ac:dyDescent="0.15">
      <c r="A624" s="1">
        <v>41751</v>
      </c>
      <c r="B624" t="s">
        <v>3352</v>
      </c>
      <c r="C624" s="2" t="str">
        <f>HYPERLINK("http://snap.windin.com/ns/bulletin.php?id=31145132&amp;type=1", "科迪乳业:首次公开发行股票招股说明书(申报稿2014年3月20日报送)")</f>
        <v>科迪乳业:首次公开发行股票招股说明书(申报稿2014年3月20日报送)</v>
      </c>
      <c r="D624" t="s">
        <v>7377</v>
      </c>
      <c r="E624" t="s">
        <v>5370</v>
      </c>
      <c r="F624" t="s">
        <v>5371</v>
      </c>
    </row>
    <row r="625" spans="1:6" x14ac:dyDescent="0.15">
      <c r="A625" s="1">
        <v>41751</v>
      </c>
      <c r="B625" t="s">
        <v>3353</v>
      </c>
      <c r="C625" s="2" t="str">
        <f>HYPERLINK("http://snap.windin.com/ns/bulletin.php?id=31145134&amp;type=1", "长和化工:首次公开发行股票招股说明书(申报稿2014年4月22日报送)")</f>
        <v>长和化工:首次公开发行股票招股说明书(申报稿2014年4月22日报送)</v>
      </c>
      <c r="D625" t="s">
        <v>7378</v>
      </c>
      <c r="E625" t="s">
        <v>5372</v>
      </c>
      <c r="F625" t="s">
        <v>5118</v>
      </c>
    </row>
    <row r="626" spans="1:6" x14ac:dyDescent="0.15">
      <c r="A626" s="1">
        <v>41751</v>
      </c>
      <c r="B626" t="s">
        <v>3354</v>
      </c>
      <c r="C626" s="2" t="str">
        <f>HYPERLINK("http://snap.windin.com/ns/bulletin.php?id=31145190&amp;type=1", "东兴证券:首次公开发行股票招股说明书(申报稿2014年3月11日报送)")</f>
        <v>东兴证券:首次公开发行股票招股说明书(申报稿2014年3月11日报送)</v>
      </c>
      <c r="D626" t="s">
        <v>7379</v>
      </c>
      <c r="E626" t="s">
        <v>5373</v>
      </c>
      <c r="F626" t="s">
        <v>5374</v>
      </c>
    </row>
    <row r="627" spans="1:6" x14ac:dyDescent="0.15">
      <c r="A627" s="1">
        <v>41751</v>
      </c>
      <c r="B627" t="s">
        <v>3355</v>
      </c>
      <c r="C627" s="2" t="str">
        <f>HYPERLINK("http://snap.windin.com/ns/bulletin.php?id=31145164&amp;type=1", "国泰君安:首次公开发行股票招股说明书(申报稿2014年4月9日报送)")</f>
        <v>国泰君安:首次公开发行股票招股说明书(申报稿2014年4月9日报送)</v>
      </c>
      <c r="D627" t="s">
        <v>7380</v>
      </c>
      <c r="E627" t="s">
        <v>5375</v>
      </c>
      <c r="F627" t="s">
        <v>5112</v>
      </c>
    </row>
    <row r="628" spans="1:6" x14ac:dyDescent="0.15">
      <c r="A628" s="1">
        <v>41751</v>
      </c>
      <c r="B628" t="s">
        <v>3356</v>
      </c>
      <c r="C628" s="2" t="str">
        <f>HYPERLINK("http://snap.windin.com/ns/bulletin.php?id=31145160&amp;type=1", "东方证券:首次公开发行股票招股说明书(申报稿2014年3月13日报送)")</f>
        <v>东方证券:首次公开发行股票招股说明书(申报稿2014年3月13日报送)</v>
      </c>
      <c r="D628" t="s">
        <v>7381</v>
      </c>
      <c r="E628" t="s">
        <v>5376</v>
      </c>
      <c r="F628" t="s">
        <v>5209</v>
      </c>
    </row>
    <row r="629" spans="1:6" x14ac:dyDescent="0.15">
      <c r="A629" s="1">
        <v>41751</v>
      </c>
      <c r="B629" t="s">
        <v>3357</v>
      </c>
      <c r="C629" s="2" t="str">
        <f>HYPERLINK("http://snap.windin.com/ns/bulletin.php?id=31145080&amp;type=1", "广生堂:创业板首次公开发行股票招股说明书(申报稿2014年1月29日报送)")</f>
        <v>广生堂:创业板首次公开发行股票招股说明书(申报稿2014年1月29日报送)</v>
      </c>
      <c r="D629" t="s">
        <v>7382</v>
      </c>
      <c r="E629" t="s">
        <v>5377</v>
      </c>
      <c r="F629" t="s">
        <v>5378</v>
      </c>
    </row>
    <row r="630" spans="1:6" x14ac:dyDescent="0.15">
      <c r="A630" s="1">
        <v>41751</v>
      </c>
      <c r="B630" t="s">
        <v>3358</v>
      </c>
      <c r="C630" s="2" t="str">
        <f>HYPERLINK("http://snap.windin.com/ns/bulletin.php?id=31145126&amp;type=1", "宁波高发:首次公开发行股票招股说明书(申报稿2014年4月18日报送)")</f>
        <v>宁波高发:首次公开发行股票招股说明书(申报稿2014年4月18日报送)</v>
      </c>
      <c r="D630" t="s">
        <v>7383</v>
      </c>
      <c r="E630" t="s">
        <v>5379</v>
      </c>
      <c r="F630" t="s">
        <v>5130</v>
      </c>
    </row>
    <row r="631" spans="1:6" x14ac:dyDescent="0.15">
      <c r="A631" s="1">
        <v>41751</v>
      </c>
      <c r="B631" t="s">
        <v>3359</v>
      </c>
      <c r="C631" s="2" t="str">
        <f>HYPERLINK("http://snap.windin.com/ns/bulletin.php?id=31145104&amp;type=1", "德宏股份:首次公开发行股票招股说明书(申报稿2014年4月17日报送)")</f>
        <v>德宏股份:首次公开发行股票招股说明书(申报稿2014年4月17日报送)</v>
      </c>
      <c r="D631" t="s">
        <v>7384</v>
      </c>
      <c r="E631" t="s">
        <v>5380</v>
      </c>
      <c r="F631" t="s">
        <v>5177</v>
      </c>
    </row>
    <row r="632" spans="1:6" x14ac:dyDescent="0.15">
      <c r="A632" s="1">
        <v>41751</v>
      </c>
      <c r="B632" t="s">
        <v>3360</v>
      </c>
      <c r="C632" s="2" t="str">
        <f>HYPERLINK("http://snap.windin.com/ns/bulletin.php?id=31145130&amp;type=1", "莱克电气:首次公开发行股票招股说明书(申报稿2014年2月24日报送)")</f>
        <v>莱克电气:首次公开发行股票招股说明书(申报稿2014年2月24日报送)</v>
      </c>
      <c r="D632" t="s">
        <v>7385</v>
      </c>
      <c r="E632" t="s">
        <v>5381</v>
      </c>
      <c r="F632" t="s">
        <v>5382</v>
      </c>
    </row>
    <row r="633" spans="1:6" x14ac:dyDescent="0.15">
      <c r="A633" s="1">
        <v>41750</v>
      </c>
      <c r="B633" t="s">
        <v>3361</v>
      </c>
      <c r="C633" s="2" t="str">
        <f>HYPERLINK("http://snap.windin.com/ns/bulletin.php?id=30865786&amp;type=1", "华安证券:首次公开发行股票招股说明书(申报稿2014年3月27日报送)")</f>
        <v>华安证券:首次公开发行股票招股说明书(申报稿2014年3月27日报送)</v>
      </c>
      <c r="D633" t="s">
        <v>7386</v>
      </c>
      <c r="E633" t="s">
        <v>5383</v>
      </c>
      <c r="F633" t="s">
        <v>5384</v>
      </c>
    </row>
    <row r="634" spans="1:6" x14ac:dyDescent="0.15">
      <c r="A634" s="1">
        <v>41750</v>
      </c>
      <c r="B634" t="s">
        <v>3362</v>
      </c>
      <c r="C634" s="2" t="str">
        <f>HYPERLINK("http://snap.windin.com/ns/bulletin.php?id=30865760&amp;type=1", "南兴装备:首次公开发行股票招股说明书(申报稿2014年4月17日报送)")</f>
        <v>南兴装备:首次公开发行股票招股说明书(申报稿2014年4月17日报送)</v>
      </c>
      <c r="D634" t="s">
        <v>7387</v>
      </c>
      <c r="E634" t="s">
        <v>5385</v>
      </c>
      <c r="F634" t="s">
        <v>5177</v>
      </c>
    </row>
    <row r="635" spans="1:6" x14ac:dyDescent="0.15">
      <c r="A635" s="1">
        <v>41750</v>
      </c>
      <c r="B635" t="s">
        <v>3363</v>
      </c>
      <c r="C635" s="2" t="str">
        <f>HYPERLINK("http://snap.windin.com/ns/bulletin.php?id=30866226&amp;type=1", "力星股份:创业板首次公开发行股票招股说明书(申报稿2014年4月17日报送)")</f>
        <v>力星股份:创业板首次公开发行股票招股说明书(申报稿2014年4月17日报送)</v>
      </c>
      <c r="D635" t="s">
        <v>7388</v>
      </c>
      <c r="E635" t="s">
        <v>5386</v>
      </c>
      <c r="F635" t="s">
        <v>5219</v>
      </c>
    </row>
    <row r="636" spans="1:6" x14ac:dyDescent="0.15">
      <c r="A636" s="1">
        <v>41750</v>
      </c>
      <c r="B636" t="s">
        <v>3364</v>
      </c>
      <c r="C636" s="2" t="str">
        <f>HYPERLINK("http://snap.windin.com/ns/bulletin.php?id=30865710&amp;type=1", "康新设计:首次公开发行股票招股说明书(申报稿2014年4月20日报送)")</f>
        <v>康新设计:首次公开发行股票招股说明书(申报稿2014年4月20日报送)</v>
      </c>
      <c r="D636" t="s">
        <v>7389</v>
      </c>
      <c r="E636" t="s">
        <v>5387</v>
      </c>
      <c r="F636" t="s">
        <v>5289</v>
      </c>
    </row>
    <row r="637" spans="1:6" x14ac:dyDescent="0.15">
      <c r="A637" s="1">
        <v>41750</v>
      </c>
      <c r="B637" t="s">
        <v>3365</v>
      </c>
      <c r="C637" s="2" t="str">
        <f>HYPERLINK("http://snap.windin.com/ns/bulletin.php?id=30866114&amp;type=1", "依顿科技:首次公开发行股票招股说明书(申报稿2014年4月21日报送)")</f>
        <v>依顿科技:首次公开发行股票招股说明书(申报稿2014年4月21日报送)</v>
      </c>
      <c r="D637" t="s">
        <v>7390</v>
      </c>
      <c r="E637" t="s">
        <v>5388</v>
      </c>
      <c r="F637" t="s">
        <v>5253</v>
      </c>
    </row>
    <row r="638" spans="1:6" x14ac:dyDescent="0.15">
      <c r="A638" s="1">
        <v>41750</v>
      </c>
      <c r="B638" t="s">
        <v>3366</v>
      </c>
      <c r="C638" s="2" t="str">
        <f>HYPERLINK("http://snap.windin.com/ns/bulletin.php?id=30865756&amp;type=1", "来伊份:首次公开发行股票招股说明书(申报稿2014年3月31日报送)")</f>
        <v>来伊份:首次公开发行股票招股说明书(申报稿2014年3月31日报送)</v>
      </c>
      <c r="D638" t="s">
        <v>7391</v>
      </c>
      <c r="E638" t="s">
        <v>5389</v>
      </c>
      <c r="F638" t="s">
        <v>5245</v>
      </c>
    </row>
    <row r="639" spans="1:6" x14ac:dyDescent="0.15">
      <c r="A639" s="1">
        <v>41750</v>
      </c>
      <c r="B639" t="s">
        <v>3367</v>
      </c>
      <c r="C639" s="2" t="str">
        <f>HYPERLINK("http://snap.windin.com/ns/bulletin.php?id=30865708&amp;type=1", "会稽山:首次公开发行股票招股说明书(申报稿2014年4月21日报送)")</f>
        <v>会稽山:首次公开发行股票招股说明书(申报稿2014年4月21日报送)</v>
      </c>
      <c r="D639" t="s">
        <v>7392</v>
      </c>
      <c r="E639" t="s">
        <v>4650</v>
      </c>
      <c r="F639" t="s">
        <v>5253</v>
      </c>
    </row>
    <row r="640" spans="1:6" x14ac:dyDescent="0.15">
      <c r="A640" s="1">
        <v>41750</v>
      </c>
      <c r="B640" t="s">
        <v>3368</v>
      </c>
      <c r="C640" s="2" t="str">
        <f>HYPERLINK("http://snap.windin.com/ns/bulletin.php?id=30865704&amp;type=1", "康尼机电:首次公开发行股票招股说明书(申报稿2014年4月21日报送)")</f>
        <v>康尼机电:首次公开发行股票招股说明书(申报稿2014年4月21日报送)</v>
      </c>
      <c r="D640" t="s">
        <v>7393</v>
      </c>
      <c r="E640" t="s">
        <v>4655</v>
      </c>
      <c r="F640" t="s">
        <v>5253</v>
      </c>
    </row>
    <row r="641" spans="1:6" x14ac:dyDescent="0.15">
      <c r="A641" s="1">
        <v>41750</v>
      </c>
      <c r="B641" t="s">
        <v>3369</v>
      </c>
      <c r="C641" s="2" t="str">
        <f>HYPERLINK("http://snap.windin.com/ns/bulletin.php?id=30865762&amp;type=1", "诚益通:创业板首次公开发行股票招股说明书(申报稿2014年4月17日报送)")</f>
        <v>诚益通:创业板首次公开发行股票招股说明书(申报稿2014年4月17日报送)</v>
      </c>
      <c r="D641" t="s">
        <v>7394</v>
      </c>
      <c r="E641" t="s">
        <v>5390</v>
      </c>
      <c r="F641" t="s">
        <v>5219</v>
      </c>
    </row>
    <row r="642" spans="1:6" x14ac:dyDescent="0.15">
      <c r="A642" s="1">
        <v>41750</v>
      </c>
      <c r="B642" t="s">
        <v>3370</v>
      </c>
      <c r="C642" s="2" t="str">
        <f>HYPERLINK("http://snap.windin.com/ns/bulletin.php?id=30865656&amp;type=1", "中来股份:创业板首次公开发行股票招股说明书(申报稿2014年4月21日报送)")</f>
        <v>中来股份:创业板首次公开发行股票招股说明书(申报稿2014年4月21日报送)</v>
      </c>
      <c r="D642" t="s">
        <v>7395</v>
      </c>
      <c r="E642" t="s">
        <v>4614</v>
      </c>
      <c r="F642" t="s">
        <v>5155</v>
      </c>
    </row>
    <row r="643" spans="1:6" x14ac:dyDescent="0.15">
      <c r="A643" s="1">
        <v>41750</v>
      </c>
      <c r="B643" t="s">
        <v>3371</v>
      </c>
      <c r="C643" s="2" t="str">
        <f>HYPERLINK("http://snap.windin.com/ns/bulletin.php?id=30865764&amp;type=1", "天顺股份:首次公开发行股票招股说明书(申报稿2014年4月15日报送)")</f>
        <v>天顺股份:首次公开发行股票招股说明书(申报稿2014年4月15日报送)</v>
      </c>
      <c r="D643" t="s">
        <v>7396</v>
      </c>
      <c r="E643" t="s">
        <v>5391</v>
      </c>
      <c r="F643" t="s">
        <v>5347</v>
      </c>
    </row>
    <row r="644" spans="1:6" x14ac:dyDescent="0.15">
      <c r="A644" s="1">
        <v>41750</v>
      </c>
      <c r="B644" t="s">
        <v>3372</v>
      </c>
      <c r="C644" s="2" t="str">
        <f>HYPERLINK("http://snap.windin.com/ns/bulletin.php?id=30865624&amp;type=1", "聚隆传动:创业板首次公开发行股票招股说明书(申报稿报送日期2014年2月11日报送)")</f>
        <v>聚隆传动:创业板首次公开发行股票招股说明书(申报稿报送日期2014年2月11日报送)</v>
      </c>
      <c r="D644" t="s">
        <v>7397</v>
      </c>
      <c r="E644" t="s">
        <v>5392</v>
      </c>
      <c r="F644" t="s">
        <v>5393</v>
      </c>
    </row>
    <row r="645" spans="1:6" x14ac:dyDescent="0.15">
      <c r="A645" s="1">
        <v>41750</v>
      </c>
      <c r="B645" t="s">
        <v>3373</v>
      </c>
      <c r="C645" s="2" t="str">
        <f>HYPERLINK("http://snap.windin.com/ns/bulletin.php?id=30865950&amp;type=1", "万达院线:首次公开发行股票招股说明书(申报稿2014年4月17日报送)")</f>
        <v>万达院线:首次公开发行股票招股说明书(申报稿2014年4月17日报送)</v>
      </c>
      <c r="D645" t="s">
        <v>7398</v>
      </c>
      <c r="E645" t="s">
        <v>5394</v>
      </c>
      <c r="F645" t="s">
        <v>5177</v>
      </c>
    </row>
    <row r="646" spans="1:6" x14ac:dyDescent="0.15">
      <c r="A646" s="1">
        <v>41750</v>
      </c>
      <c r="B646" t="s">
        <v>2774</v>
      </c>
      <c r="C646" s="2" t="str">
        <f>HYPERLINK("http://snap.windin.com/ns/bulletin.php?id=30865856&amp;type=1", "新澳股份:首次公开发行股票招股说明书(申报稿2014年4月17日报送)")</f>
        <v>新澳股份:首次公开发行股票招股说明书(申报稿2014年4月17日报送)</v>
      </c>
      <c r="D646" t="s">
        <v>7399</v>
      </c>
      <c r="E646" t="s">
        <v>4627</v>
      </c>
      <c r="F646" t="s">
        <v>5177</v>
      </c>
    </row>
    <row r="647" spans="1:6" x14ac:dyDescent="0.15">
      <c r="A647" s="1">
        <v>41750</v>
      </c>
      <c r="B647" t="s">
        <v>3374</v>
      </c>
      <c r="C647" s="2" t="str">
        <f>HYPERLINK("http://snap.windin.com/ns/bulletin.php?id=30865630&amp;type=1", "鹏辉能源:创业板首次公开发行股票招股说明书(申报稿2014年4月17日报送)")</f>
        <v>鹏辉能源:创业板首次公开发行股票招股说明书(申报稿2014年4月17日报送)</v>
      </c>
      <c r="D647" t="s">
        <v>7400</v>
      </c>
      <c r="E647" t="s">
        <v>5395</v>
      </c>
      <c r="F647" t="s">
        <v>5219</v>
      </c>
    </row>
    <row r="648" spans="1:6" x14ac:dyDescent="0.15">
      <c r="A648" s="1">
        <v>41750</v>
      </c>
      <c r="B648" t="s">
        <v>3375</v>
      </c>
      <c r="C648" s="2" t="str">
        <f>HYPERLINK("http://snap.windin.com/ns/bulletin.php?id=30866304&amp;type=1", "海洋王:首次公开发行股票招股说明书(申报稿2014年4月21日报送)")</f>
        <v>海洋王:首次公开发行股票招股说明书(申报稿2014年4月21日报送)</v>
      </c>
      <c r="D648" t="s">
        <v>7401</v>
      </c>
      <c r="E648" t="s">
        <v>5396</v>
      </c>
      <c r="F648" t="s">
        <v>5253</v>
      </c>
    </row>
    <row r="649" spans="1:6" x14ac:dyDescent="0.15">
      <c r="A649" s="1">
        <v>41750</v>
      </c>
      <c r="B649" t="s">
        <v>3376</v>
      </c>
      <c r="C649" s="2" t="str">
        <f>HYPERLINK("http://snap.windin.com/ns/bulletin.php?id=30866124&amp;type=1", "中博生物:首次公开发行股票招股说明书(申报稿2014年4月20日报送)")</f>
        <v>中博生物:首次公开发行股票招股说明书(申报稿2014年4月20日报送)</v>
      </c>
      <c r="D649" t="s">
        <v>7402</v>
      </c>
      <c r="E649" t="s">
        <v>5397</v>
      </c>
      <c r="F649" t="s">
        <v>5289</v>
      </c>
    </row>
    <row r="650" spans="1:6" x14ac:dyDescent="0.15">
      <c r="A650" s="1">
        <v>41750</v>
      </c>
      <c r="B650" t="s">
        <v>3377</v>
      </c>
      <c r="C650" s="2" t="str">
        <f>HYPERLINK("http://snap.windin.com/ns/bulletin.php?id=30866262&amp;type=1", "龙大肉食:首次公开发行股票招股说明书(申报稿2014年4月21日报送)")</f>
        <v>龙大肉食:首次公开发行股票招股说明书(申报稿2014年4月21日报送)</v>
      </c>
      <c r="D650" t="s">
        <v>7403</v>
      </c>
      <c r="E650" t="s">
        <v>4862</v>
      </c>
      <c r="F650" t="s">
        <v>5253</v>
      </c>
    </row>
    <row r="651" spans="1:6" x14ac:dyDescent="0.15">
      <c r="A651" s="1">
        <v>41750</v>
      </c>
      <c r="B651" t="s">
        <v>2941</v>
      </c>
      <c r="C651" s="2" t="str">
        <f>HYPERLINK("http://snap.windin.com/ns/bulletin.php?id=58753812&amp;type=1", "龙大肉食:首次公开发行股票招股说明书(申报稿2014年4月21日报送)")</f>
        <v>龙大肉食:首次公开发行股票招股说明书(申报稿2014年4月21日报送)</v>
      </c>
      <c r="D651" t="s">
        <v>7404</v>
      </c>
      <c r="E651" t="s">
        <v>4862</v>
      </c>
      <c r="F651" t="s">
        <v>5253</v>
      </c>
    </row>
    <row r="652" spans="1:6" x14ac:dyDescent="0.15">
      <c r="A652" s="1">
        <v>41750</v>
      </c>
      <c r="B652" t="s">
        <v>2933</v>
      </c>
      <c r="C652" s="2" t="str">
        <f>HYPERLINK("http://snap.windin.com/ns/bulletin.php?id=58753784&amp;type=1", "依顿电子:首次公开发行股票招股说明书(申报稿2014年4月21日报送)")</f>
        <v>依顿电子:首次公开发行股票招股说明书(申报稿2014年4月21日报送)</v>
      </c>
      <c r="D652" t="s">
        <v>7405</v>
      </c>
      <c r="E652" t="s">
        <v>4852</v>
      </c>
      <c r="F652" t="s">
        <v>5253</v>
      </c>
    </row>
    <row r="653" spans="1:6" x14ac:dyDescent="0.15">
      <c r="A653" s="1">
        <v>41750</v>
      </c>
      <c r="B653" t="s">
        <v>2764</v>
      </c>
      <c r="C653" s="2" t="str">
        <f>HYPERLINK("http://snap.windin.com/ns/bulletin.php?id=68017302&amp;type=1", "中来股份:创业板首次公开发行股票招股说明书(申报稿2014年4月21日报送)")</f>
        <v>中来股份:创业板首次公开发行股票招股说明书(申报稿2014年4月21日报送)</v>
      </c>
      <c r="D653" t="s">
        <v>7406</v>
      </c>
      <c r="E653" t="s">
        <v>4614</v>
      </c>
      <c r="F653" t="s">
        <v>5155</v>
      </c>
    </row>
    <row r="654" spans="1:6" x14ac:dyDescent="0.15">
      <c r="A654" s="1">
        <v>41747</v>
      </c>
      <c r="B654" t="s">
        <v>3378</v>
      </c>
      <c r="C654" s="2" t="str">
        <f>HYPERLINK("http://snap.windin.com/ns/bulletin.php?id=30463574&amp;type=1", "海汽股份:首次公开发行股票招股说明书(申报稿2014年4月18日报送)")</f>
        <v>海汽股份:首次公开发行股票招股说明书(申报稿2014年4月18日报送)</v>
      </c>
      <c r="D654" t="s">
        <v>7407</v>
      </c>
      <c r="E654" t="s">
        <v>5398</v>
      </c>
      <c r="F654" t="s">
        <v>5130</v>
      </c>
    </row>
    <row r="655" spans="1:6" x14ac:dyDescent="0.15">
      <c r="A655" s="1">
        <v>41747</v>
      </c>
      <c r="B655" t="s">
        <v>3379</v>
      </c>
      <c r="C655" s="2" t="str">
        <f>HYPERLINK("http://snap.windin.com/ns/bulletin.php?id=30463596&amp;type=1", "九华股份:首次公开发行股票招股说明书(申报稿2014年4月17日报送)")</f>
        <v>九华股份:首次公开发行股票招股说明书(申报稿2014年4月17日报送)</v>
      </c>
      <c r="D655" t="s">
        <v>7408</v>
      </c>
      <c r="E655" t="s">
        <v>5399</v>
      </c>
      <c r="F655" t="s">
        <v>5177</v>
      </c>
    </row>
    <row r="656" spans="1:6" x14ac:dyDescent="0.15">
      <c r="A656" s="1">
        <v>41747</v>
      </c>
      <c r="B656" t="s">
        <v>3380</v>
      </c>
      <c r="C656" s="2" t="str">
        <f>HYPERLINK("http://snap.windin.com/ns/bulletin.php?id=30463848&amp;type=1", "龙马环卫:首次公开发行股票招股说明书(申报稿2014年4月17日报送)")</f>
        <v>龙马环卫:首次公开发行股票招股说明书(申报稿2014年4月17日报送)</v>
      </c>
      <c r="D656" t="s">
        <v>7409</v>
      </c>
      <c r="E656" t="s">
        <v>5400</v>
      </c>
      <c r="F656" t="s">
        <v>5177</v>
      </c>
    </row>
    <row r="657" spans="1:6" x14ac:dyDescent="0.15">
      <c r="A657" s="1">
        <v>41747</v>
      </c>
      <c r="B657" t="s">
        <v>3381</v>
      </c>
      <c r="C657" s="2" t="str">
        <f>HYPERLINK("http://snap.windin.com/ns/bulletin.php?id=30463422&amp;type=1", "洪汇新材:首次公开发行股票招股说明书(申报稿2014年4月17日报送)")</f>
        <v>洪汇新材:首次公开发行股票招股说明书(申报稿2014年4月17日报送)</v>
      </c>
      <c r="D657" t="s">
        <v>7410</v>
      </c>
      <c r="E657" t="s">
        <v>5401</v>
      </c>
      <c r="F657" t="s">
        <v>5177</v>
      </c>
    </row>
    <row r="658" spans="1:6" x14ac:dyDescent="0.15">
      <c r="A658" s="1">
        <v>41747</v>
      </c>
      <c r="B658" t="s">
        <v>3382</v>
      </c>
      <c r="C658" s="2" t="str">
        <f>HYPERLINK("http://snap.windin.com/ns/bulletin.php?id=30463386&amp;type=1", "上影股份:首次公开发行股票招股说明书(申报稿2014年4月18日报送)")</f>
        <v>上影股份:首次公开发行股票招股说明书(申报稿2014年4月18日报送)</v>
      </c>
      <c r="D658" t="s">
        <v>7411</v>
      </c>
      <c r="E658" t="s">
        <v>5402</v>
      </c>
      <c r="F658" t="s">
        <v>5130</v>
      </c>
    </row>
    <row r="659" spans="1:6" x14ac:dyDescent="0.15">
      <c r="A659" s="1">
        <v>41747</v>
      </c>
      <c r="B659" t="s">
        <v>3383</v>
      </c>
      <c r="C659" s="2" t="str">
        <f>HYPERLINK("http://snap.windin.com/ns/bulletin.php?id=30463410&amp;type=1", "天达环保:首次公开发行股票招股说明书(申报稿2014年3月21日报送)")</f>
        <v>天达环保:首次公开发行股票招股说明书(申报稿2014年3月21日报送)</v>
      </c>
      <c r="D659" t="s">
        <v>7412</v>
      </c>
      <c r="E659" t="s">
        <v>5403</v>
      </c>
      <c r="F659" t="s">
        <v>5404</v>
      </c>
    </row>
    <row r="660" spans="1:6" x14ac:dyDescent="0.15">
      <c r="A660" s="1">
        <v>41747</v>
      </c>
      <c r="B660" t="s">
        <v>3384</v>
      </c>
      <c r="C660" s="2" t="str">
        <f>HYPERLINK("http://snap.windin.com/ns/bulletin.php?id=30463420&amp;type=1", "华舟应急:创业板首次公开发行股票招股说明书(申报稿2014年4月11日报送)")</f>
        <v>华舟应急:创业板首次公开发行股票招股说明书(申报稿2014年4月11日报送)</v>
      </c>
      <c r="D660" t="s">
        <v>7413</v>
      </c>
      <c r="E660" t="s">
        <v>5405</v>
      </c>
      <c r="F660" t="s">
        <v>5168</v>
      </c>
    </row>
    <row r="661" spans="1:6" x14ac:dyDescent="0.15">
      <c r="A661" s="1">
        <v>41747</v>
      </c>
      <c r="B661" t="s">
        <v>3385</v>
      </c>
      <c r="C661" s="2" t="str">
        <f>HYPERLINK("http://snap.windin.com/ns/bulletin.php?id=30463412&amp;type=1", "世嘉股份:首次公开发行股票招股说明书(申报稿2014年3月17日报送)")</f>
        <v>世嘉股份:首次公开发行股票招股说明书(申报稿2014年3月17日报送)</v>
      </c>
      <c r="D661" t="s">
        <v>7414</v>
      </c>
      <c r="E661" t="s">
        <v>5406</v>
      </c>
      <c r="F661" t="s">
        <v>5132</v>
      </c>
    </row>
    <row r="662" spans="1:6" x14ac:dyDescent="0.15">
      <c r="A662" s="1">
        <v>41747</v>
      </c>
      <c r="B662" t="s">
        <v>3386</v>
      </c>
      <c r="C662" s="2" t="str">
        <f>HYPERLINK("http://snap.windin.com/ns/bulletin.php?id=30463416&amp;type=1", "德乐股份:创业板首次公开发行股票招股说明书(申报稿2014年3月24日报送)")</f>
        <v>德乐股份:创业板首次公开发行股票招股说明书(申报稿2014年3月24日报送)</v>
      </c>
      <c r="D662" t="s">
        <v>7415</v>
      </c>
      <c r="E662" t="s">
        <v>5407</v>
      </c>
      <c r="F662" t="s">
        <v>5408</v>
      </c>
    </row>
    <row r="663" spans="1:6" x14ac:dyDescent="0.15">
      <c r="A663" s="1">
        <v>41747</v>
      </c>
      <c r="B663" t="s">
        <v>3387</v>
      </c>
      <c r="C663" s="2" t="str">
        <f>HYPERLINK("http://snap.windin.com/ns/bulletin.php?id=30463414&amp;type=1", "帝王洁具:首次公开发行股票招股说明书(申报稿2014年4月9日报送)")</f>
        <v>帝王洁具:首次公开发行股票招股说明书(申报稿2014年4月9日报送)</v>
      </c>
      <c r="D663" t="s">
        <v>7416</v>
      </c>
      <c r="E663" t="s">
        <v>5409</v>
      </c>
      <c r="F663" t="s">
        <v>5112</v>
      </c>
    </row>
    <row r="664" spans="1:6" x14ac:dyDescent="0.15">
      <c r="A664" s="1">
        <v>41747</v>
      </c>
      <c r="B664" t="s">
        <v>3388</v>
      </c>
      <c r="C664" s="2" t="str">
        <f>HYPERLINK("http://snap.windin.com/ns/bulletin.php?id=30463382&amp;type=1", "宁波继峰:首次公开发行股票招股说明书(申报稿2014年4月4日报送)")</f>
        <v>宁波继峰:首次公开发行股票招股说明书(申报稿2014年4月4日报送)</v>
      </c>
      <c r="D664" t="s">
        <v>7417</v>
      </c>
      <c r="E664" t="s">
        <v>5410</v>
      </c>
      <c r="F664" t="s">
        <v>5121</v>
      </c>
    </row>
    <row r="665" spans="1:6" x14ac:dyDescent="0.15">
      <c r="A665" s="1">
        <v>41747</v>
      </c>
      <c r="B665" t="s">
        <v>3389</v>
      </c>
      <c r="C665" s="2" t="str">
        <f>HYPERLINK("http://snap.windin.com/ns/bulletin.php?id=30463354&amp;type=1", "胜宏科技:创业板首次公开发行股票招股说明书(申报稿2014年4月11日报送)")</f>
        <v>胜宏科技:创业板首次公开发行股票招股说明书(申报稿2014年4月11日报送)</v>
      </c>
      <c r="D665" t="s">
        <v>7418</v>
      </c>
      <c r="E665" t="s">
        <v>5411</v>
      </c>
      <c r="F665" t="s">
        <v>5168</v>
      </c>
    </row>
    <row r="666" spans="1:6" x14ac:dyDescent="0.15">
      <c r="A666" s="1">
        <v>41747</v>
      </c>
      <c r="B666" t="s">
        <v>3390</v>
      </c>
      <c r="C666" s="2" t="str">
        <f>HYPERLINK("http://snap.windin.com/ns/bulletin.php?id=30463356&amp;type=1", "诺力股份:首次公开发行股票招股说明书(申报稿2014年4月16日报送)")</f>
        <v>诺力股份:首次公开发行股票招股说明书(申报稿2014年4月16日报送)</v>
      </c>
      <c r="D666" t="s">
        <v>7419</v>
      </c>
      <c r="E666" t="s">
        <v>5412</v>
      </c>
      <c r="F666" t="s">
        <v>5269</v>
      </c>
    </row>
    <row r="667" spans="1:6" x14ac:dyDescent="0.15">
      <c r="A667" s="1">
        <v>41747</v>
      </c>
      <c r="B667" t="s">
        <v>3391</v>
      </c>
      <c r="C667" s="2" t="str">
        <f>HYPERLINK("http://snap.windin.com/ns/bulletin.php?id=30463358&amp;type=1", "中电股份:首次公开发行股票招股说明书(申报稿2014年4月17日报送)")</f>
        <v>中电股份:首次公开发行股票招股说明书(申报稿2014年4月17日报送)</v>
      </c>
      <c r="D667" t="s">
        <v>7420</v>
      </c>
      <c r="E667" t="s">
        <v>5413</v>
      </c>
      <c r="F667" t="s">
        <v>5177</v>
      </c>
    </row>
    <row r="668" spans="1:6" x14ac:dyDescent="0.15">
      <c r="A668" s="1">
        <v>41747</v>
      </c>
      <c r="B668" t="s">
        <v>3392</v>
      </c>
      <c r="C668" s="2" t="str">
        <f>HYPERLINK("http://snap.windin.com/ns/bulletin.php?id=30463408&amp;type=1", "爱司凯:创业板首次公开发行股票招股说明书(申报稿2014年3月24日报送)")</f>
        <v>爱司凯:创业板首次公开发行股票招股说明书(申报稿2014年3月24日报送)</v>
      </c>
      <c r="D668" t="s">
        <v>7421</v>
      </c>
      <c r="E668" t="s">
        <v>5414</v>
      </c>
      <c r="F668" t="s">
        <v>5408</v>
      </c>
    </row>
    <row r="669" spans="1:6" x14ac:dyDescent="0.15">
      <c r="A669" s="1">
        <v>41747</v>
      </c>
      <c r="B669" t="s">
        <v>3393</v>
      </c>
      <c r="C669" s="2" t="str">
        <f>HYPERLINK("http://snap.windin.com/ns/bulletin.php?id=30463384&amp;type=1", "通合电子:创业板首次公开发行股票招股说明书(申报稿2014年3月17日报送)")</f>
        <v>通合电子:创业板首次公开发行股票招股说明书(申报稿2014年3月17日报送)</v>
      </c>
      <c r="D669" t="s">
        <v>7422</v>
      </c>
      <c r="E669" t="s">
        <v>5415</v>
      </c>
      <c r="F669" t="s">
        <v>5416</v>
      </c>
    </row>
    <row r="670" spans="1:6" x14ac:dyDescent="0.15">
      <c r="A670" s="1">
        <v>41747</v>
      </c>
      <c r="B670" t="s">
        <v>3394</v>
      </c>
      <c r="C670" s="2" t="str">
        <f>HYPERLINK("http://snap.windin.com/ns/bulletin.php?id=30463380&amp;type=1", "亚振股份:首次公开发行股票招股说明书(申报稿2014年3月28日报送)")</f>
        <v>亚振股份:首次公开发行股票招股说明书(申报稿2014年3月28日报送)</v>
      </c>
      <c r="D670" t="s">
        <v>7423</v>
      </c>
      <c r="E670" t="s">
        <v>5417</v>
      </c>
      <c r="F670" t="s">
        <v>5418</v>
      </c>
    </row>
    <row r="671" spans="1:6" x14ac:dyDescent="0.15">
      <c r="A671" s="1">
        <v>41747</v>
      </c>
      <c r="B671" t="s">
        <v>3395</v>
      </c>
      <c r="C671" s="2" t="str">
        <f>HYPERLINK("http://snap.windin.com/ns/bulletin.php?id=30463598&amp;type=1", "数字认证:创业板首次公开发行股票招股说明书(申报稿2014年3月14日报送)")</f>
        <v>数字认证:创业板首次公开发行股票招股说明书(申报稿2014年3月14日报送)</v>
      </c>
      <c r="D671" t="s">
        <v>7424</v>
      </c>
      <c r="E671" t="s">
        <v>5419</v>
      </c>
      <c r="F671" t="s">
        <v>5420</v>
      </c>
    </row>
    <row r="672" spans="1:6" x14ac:dyDescent="0.15">
      <c r="A672" s="1">
        <v>41747</v>
      </c>
      <c r="B672" t="s">
        <v>3396</v>
      </c>
      <c r="C672" s="2" t="str">
        <f>HYPERLINK("http://snap.windin.com/ns/bulletin.php?id=30463600&amp;type=1", "正平路桥:首次公开发行股票招股说明书(申报稿2014年4月9日报送)")</f>
        <v>正平路桥:首次公开发行股票招股说明书(申报稿2014年4月9日报送)</v>
      </c>
      <c r="D672" t="s">
        <v>7425</v>
      </c>
      <c r="E672" t="s">
        <v>5421</v>
      </c>
      <c r="F672" t="s">
        <v>5112</v>
      </c>
    </row>
    <row r="673" spans="1:6" x14ac:dyDescent="0.15">
      <c r="A673" s="1">
        <v>41747</v>
      </c>
      <c r="B673" t="s">
        <v>3397</v>
      </c>
      <c r="C673" s="2" t="str">
        <f>HYPERLINK("http://snap.windin.com/ns/bulletin.php?id=30463622&amp;type=1", "微光电子:首次公开发行股票招股说明书(申报稿2014年2月20日报送)")</f>
        <v>微光电子:首次公开发行股票招股说明书(申报稿2014年2月20日报送)</v>
      </c>
      <c r="D673" t="s">
        <v>7426</v>
      </c>
      <c r="E673" t="s">
        <v>5422</v>
      </c>
      <c r="F673" t="s">
        <v>5335</v>
      </c>
    </row>
    <row r="674" spans="1:6" x14ac:dyDescent="0.15">
      <c r="A674" s="1">
        <v>41747</v>
      </c>
      <c r="B674" t="s">
        <v>2780</v>
      </c>
      <c r="C674" s="2" t="str">
        <f>HYPERLINK("http://snap.windin.com/ns/bulletin.php?id=30463624&amp;type=1", "万盛股份:首次公开发行股票招股说明书(申报稿2014年4月16日报送)")</f>
        <v>万盛股份:首次公开发行股票招股说明书(申报稿2014年4月16日报送)</v>
      </c>
      <c r="D674" t="s">
        <v>7427</v>
      </c>
      <c r="E674" t="s">
        <v>4638</v>
      </c>
      <c r="F674" t="s">
        <v>5269</v>
      </c>
    </row>
    <row r="675" spans="1:6" x14ac:dyDescent="0.15">
      <c r="A675" s="1">
        <v>41747</v>
      </c>
      <c r="B675" t="s">
        <v>3398</v>
      </c>
      <c r="C675" s="2" t="str">
        <f>HYPERLINK("http://snap.windin.com/ns/bulletin.php?id=30463626&amp;type=1", "利安隆:创业板首次公开发行股票招股说明书(申报稿2014年3月28日报送)")</f>
        <v>利安隆:创业板首次公开发行股票招股说明书(申报稿2014年3月28日报送)</v>
      </c>
      <c r="D675" t="s">
        <v>7428</v>
      </c>
      <c r="E675" t="s">
        <v>5423</v>
      </c>
      <c r="F675" t="s">
        <v>5248</v>
      </c>
    </row>
    <row r="676" spans="1:6" x14ac:dyDescent="0.15">
      <c r="A676" s="1">
        <v>41747</v>
      </c>
      <c r="B676" t="s">
        <v>3399</v>
      </c>
      <c r="C676" s="2" t="str">
        <f>HYPERLINK("http://snap.windin.com/ns/bulletin.php?id=30463418&amp;type=1", "中泰深冷:创业板首次公开发行股票招股说明书(申报稿2014年3月3日报送)")</f>
        <v>中泰深冷:创业板首次公开发行股票招股说明书(申报稿2014年3月3日报送)</v>
      </c>
      <c r="D676" t="s">
        <v>7429</v>
      </c>
      <c r="E676" t="s">
        <v>5424</v>
      </c>
      <c r="F676" t="s">
        <v>5425</v>
      </c>
    </row>
    <row r="677" spans="1:6" x14ac:dyDescent="0.15">
      <c r="A677" s="1">
        <v>41747</v>
      </c>
      <c r="B677" t="s">
        <v>3400</v>
      </c>
      <c r="C677" s="2" t="str">
        <f>HYPERLINK("http://snap.windin.com/ns/bulletin.php?id=30463566&amp;type=1", "万林物流:首次公开发行股票招股说明书(申报稿2014年3月5日报送)")</f>
        <v>万林物流:首次公开发行股票招股说明书(申报稿2014年3月5日报送)</v>
      </c>
      <c r="D677" t="s">
        <v>7430</v>
      </c>
      <c r="E677" t="s">
        <v>5426</v>
      </c>
      <c r="F677" t="s">
        <v>5427</v>
      </c>
    </row>
    <row r="678" spans="1:6" x14ac:dyDescent="0.15">
      <c r="A678" s="1">
        <v>41747</v>
      </c>
      <c r="B678" t="s">
        <v>3401</v>
      </c>
      <c r="C678" s="2" t="str">
        <f>HYPERLINK("http://snap.windin.com/ns/bulletin.php?id=30463568&amp;type=1", "腾龙股份:首次公开发行股票招股说明书(申报稿2014年4月17日报送)")</f>
        <v>腾龙股份:首次公开发行股票招股说明书(申报稿2014年4月17日报送)</v>
      </c>
      <c r="D678" t="s">
        <v>7431</v>
      </c>
      <c r="E678" t="s">
        <v>5428</v>
      </c>
      <c r="F678" t="s">
        <v>5177</v>
      </c>
    </row>
    <row r="679" spans="1:6" x14ac:dyDescent="0.15">
      <c r="A679" s="1">
        <v>41747</v>
      </c>
      <c r="B679" t="s">
        <v>3402</v>
      </c>
      <c r="C679" s="2" t="str">
        <f>HYPERLINK("http://snap.windin.com/ns/bulletin.php?id=30463570&amp;type=1", "维力医疗:首次公开发行股票招股说明书(申报稿2014年4月17日报送)")</f>
        <v>维力医疗:首次公开发行股票招股说明书(申报稿2014年4月17日报送)</v>
      </c>
      <c r="D679" t="s">
        <v>7432</v>
      </c>
      <c r="E679" t="s">
        <v>5429</v>
      </c>
      <c r="F679" t="s">
        <v>5177</v>
      </c>
    </row>
    <row r="680" spans="1:6" x14ac:dyDescent="0.15">
      <c r="A680" s="1">
        <v>41747</v>
      </c>
      <c r="B680" t="s">
        <v>3403</v>
      </c>
      <c r="C680" s="2" t="str">
        <f>HYPERLINK("http://snap.windin.com/ns/bulletin.php?id=30463572&amp;type=1", "金诚信:首次公开发行股票招股说明书(申报稿2014年3月3日报送)")</f>
        <v>金诚信:首次公开发行股票招股说明书(申报稿2014年3月3日报送)</v>
      </c>
      <c r="D680" t="s">
        <v>7433</v>
      </c>
      <c r="E680" t="s">
        <v>5430</v>
      </c>
      <c r="F680" t="s">
        <v>5431</v>
      </c>
    </row>
    <row r="681" spans="1:6" x14ac:dyDescent="0.15">
      <c r="A681" s="1">
        <v>41747</v>
      </c>
      <c r="B681" t="s">
        <v>2943</v>
      </c>
      <c r="C681" s="2" t="str">
        <f>HYPERLINK("http://snap.windin.com/ns/bulletin.php?id=58753788&amp;type=1", "联明机械:首次公开发行股票招股说明书(申报稿2014年4月17日报送)")</f>
        <v>联明机械:首次公开发行股票招股说明书(申报稿2014年4月17日报送)</v>
      </c>
      <c r="D681" t="s">
        <v>7434</v>
      </c>
      <c r="E681" t="s">
        <v>5179</v>
      </c>
      <c r="F681" t="s">
        <v>5177</v>
      </c>
    </row>
    <row r="682" spans="1:6" x14ac:dyDescent="0.15">
      <c r="A682" s="1">
        <v>41694</v>
      </c>
      <c r="B682" t="s">
        <v>6</v>
      </c>
      <c r="C682" s="2" t="str">
        <f>HYPERLINK("http://snap.windin.com/ns/bulletin.php?id=22222482&amp;type=1", "安控股份:首次公开发行股票并在创业板上市招股说明书及上市公告书公告之更正公告")</f>
        <v>安控股份:首次公开发行股票并在创业板上市招股说明书及上市公告书公告之更正公告</v>
      </c>
      <c r="D682" t="s">
        <v>886</v>
      </c>
      <c r="E682" t="s">
        <v>386</v>
      </c>
      <c r="F682" t="s">
        <v>387</v>
      </c>
    </row>
    <row r="683" spans="1:6" x14ac:dyDescent="0.15">
      <c r="A683" s="1">
        <v>41680</v>
      </c>
      <c r="B683" t="s">
        <v>8</v>
      </c>
      <c r="C683" s="2" t="str">
        <f>HYPERLINK("http://snap.windin.com/ns/bulletin.php?id=22105348&amp;type=1", "登云股份:首次公开发行股票招股说明书(已取消)")</f>
        <v>登云股份:首次公开发行股票招股说明书(已取消)</v>
      </c>
      <c r="D683" t="s">
        <v>895</v>
      </c>
      <c r="E683" t="s">
        <v>390</v>
      </c>
      <c r="F683" t="s">
        <v>396</v>
      </c>
    </row>
    <row r="684" spans="1:6" x14ac:dyDescent="0.15">
      <c r="A684" s="1">
        <v>41680</v>
      </c>
      <c r="B684" t="s">
        <v>8</v>
      </c>
      <c r="C684" s="2" t="str">
        <f>HYPERLINK("http://snap.windin.com/ns/bulletin.php?id=22103636&amp;type=1", "登云股份:首次公开发行股票招股说明书(更新后)")</f>
        <v>登云股份:首次公开发行股票招股说明书(更新后)</v>
      </c>
      <c r="D684" t="s">
        <v>894</v>
      </c>
      <c r="E684" t="s">
        <v>390</v>
      </c>
      <c r="F684" t="s">
        <v>397</v>
      </c>
    </row>
    <row r="685" spans="1:6" x14ac:dyDescent="0.15">
      <c r="A685" s="1">
        <v>41680</v>
      </c>
      <c r="B685" t="s">
        <v>8</v>
      </c>
      <c r="C685" s="2" t="str">
        <f>HYPERLINK("http://snap.windin.com/ns/bulletin.php?id=22103526&amp;type=1", "登云股份:首次公开发行股票招股说明书")</f>
        <v>登云股份:首次公开发行股票招股说明书</v>
      </c>
      <c r="D685" t="s">
        <v>893</v>
      </c>
      <c r="E685" t="s">
        <v>390</v>
      </c>
      <c r="F685" t="s">
        <v>399</v>
      </c>
    </row>
    <row r="686" spans="1:6" x14ac:dyDescent="0.15">
      <c r="A686" s="1">
        <v>41666</v>
      </c>
      <c r="B686" t="s">
        <v>28</v>
      </c>
      <c r="C686" s="2" t="str">
        <f>HYPERLINK("http://snap.windin.com/ns/bulletin.php?id=22004160&amp;type=1", "陕西煤业:首次公开发行A股股票招股说明书(更新稿)")</f>
        <v>陕西煤业:首次公开发行A股股票招股说明书(更新稿)</v>
      </c>
      <c r="D686" t="s">
        <v>913</v>
      </c>
      <c r="E686" t="s">
        <v>427</v>
      </c>
      <c r="F686" t="s">
        <v>428</v>
      </c>
    </row>
    <row r="687" spans="1:6" x14ac:dyDescent="0.15">
      <c r="A687" s="1">
        <v>41663</v>
      </c>
      <c r="B687" t="s">
        <v>11</v>
      </c>
      <c r="C687" s="2" t="str">
        <f>HYPERLINK("http://snap.windin.com/ns/bulletin.php?id=21978334&amp;type=1", "海天味业:首次公开发行股票招股说明书(更新版)")</f>
        <v>海天味业:首次公开发行股票招股说明书(更新版)</v>
      </c>
      <c r="D687" t="s">
        <v>928</v>
      </c>
      <c r="E687" t="s">
        <v>401</v>
      </c>
      <c r="F687" t="s">
        <v>439</v>
      </c>
    </row>
    <row r="688" spans="1:6" x14ac:dyDescent="0.15">
      <c r="A688" s="1">
        <v>41662</v>
      </c>
      <c r="B688" t="s">
        <v>11</v>
      </c>
      <c r="C688" s="2" t="str">
        <f>HYPERLINK("http://snap.windin.com/ns/bulletin.php?id=21966190&amp;type=1", "海天味业:首次公开发行股票招股说明书")</f>
        <v>海天味业:首次公开发行股票招股说明书</v>
      </c>
      <c r="D688" t="s">
        <v>947</v>
      </c>
      <c r="E688" t="s">
        <v>401</v>
      </c>
      <c r="F688" t="s">
        <v>399</v>
      </c>
    </row>
    <row r="689" spans="1:6" x14ac:dyDescent="0.15">
      <c r="A689" s="1">
        <v>41661</v>
      </c>
      <c r="B689" t="s">
        <v>12</v>
      </c>
      <c r="C689" s="2" t="str">
        <f>HYPERLINK("http://snap.windin.com/ns/bulletin.php?id=21949548&amp;type=1", "晶方科技:首次公开发行股票招股说明书(更新版)")</f>
        <v>晶方科技:首次公开发行股票招股说明书(更新版)</v>
      </c>
      <c r="D689" t="s">
        <v>949</v>
      </c>
      <c r="E689" t="s">
        <v>403</v>
      </c>
      <c r="F689" t="s">
        <v>439</v>
      </c>
    </row>
    <row r="690" spans="1:6" x14ac:dyDescent="0.15">
      <c r="A690" s="1">
        <v>41659</v>
      </c>
      <c r="B690" t="s">
        <v>14</v>
      </c>
      <c r="C690" s="2" t="str">
        <f>HYPERLINK("http://snap.windin.com/ns/bulletin.php?id=21933382&amp;type=1", "光环新网:首次公开发行股票并在创业板上市招股说明书")</f>
        <v>光环新网:首次公开发行股票并在创业板上市招股说明书</v>
      </c>
      <c r="D690" t="s">
        <v>965</v>
      </c>
      <c r="E690" t="s">
        <v>406</v>
      </c>
      <c r="F690" t="s">
        <v>455</v>
      </c>
    </row>
    <row r="691" spans="1:6" x14ac:dyDescent="0.15">
      <c r="A691" s="1">
        <v>41657</v>
      </c>
      <c r="B691" t="s">
        <v>36</v>
      </c>
      <c r="C691" s="2" t="str">
        <f>HYPERLINK("http://snap.windin.com/ns/bulletin.php?id=21919112&amp;type=1", "鹏翎股份:首次公开发行股票并在创业板上市招股说明书(更新后)")</f>
        <v>鹏翎股份:首次公开发行股票并在创业板上市招股说明书(更新后)</v>
      </c>
      <c r="D691" t="s">
        <v>980</v>
      </c>
      <c r="E691" t="s">
        <v>438</v>
      </c>
      <c r="F691" t="s">
        <v>459</v>
      </c>
    </row>
    <row r="692" spans="1:6" x14ac:dyDescent="0.15">
      <c r="A692" s="1">
        <v>41657</v>
      </c>
      <c r="B692" t="s">
        <v>36</v>
      </c>
      <c r="C692" s="2" t="str">
        <f>HYPERLINK("http://snap.windin.com/ns/bulletin.php?id=21919108&amp;type=1", "鹏翎股份:关于公司首次公开发行股票并在创业板上市招股说明书之更正公告")</f>
        <v>鹏翎股份:关于公司首次公开发行股票并在创业板上市招股说明书之更正公告</v>
      </c>
      <c r="D692" t="s">
        <v>979</v>
      </c>
      <c r="E692" t="s">
        <v>438</v>
      </c>
      <c r="F692" t="s">
        <v>460</v>
      </c>
    </row>
    <row r="693" spans="1:6" x14ac:dyDescent="0.15">
      <c r="A693" s="1">
        <v>41656</v>
      </c>
      <c r="B693" t="s">
        <v>16</v>
      </c>
      <c r="C693" s="2" t="str">
        <f>HYPERLINK("http://snap.windin.com/ns/bulletin.php?id=21910426&amp;type=1", "斯莱克:首次公开发行股票并在创业板上市招股说明书")</f>
        <v>斯莱克:首次公开发行股票并在创业板上市招股说明书</v>
      </c>
      <c r="D693" t="s">
        <v>981</v>
      </c>
      <c r="E693" t="s">
        <v>411</v>
      </c>
      <c r="F693" t="s">
        <v>455</v>
      </c>
    </row>
    <row r="694" spans="1:6" x14ac:dyDescent="0.15">
      <c r="A694" s="1">
        <v>41656</v>
      </c>
      <c r="B694" t="s">
        <v>13</v>
      </c>
      <c r="C694" s="2" t="str">
        <f>HYPERLINK("http://snap.windin.com/ns/bulletin.php?id=21910010&amp;type=1", "东方通:首次公开发行股票并在创业板上市招股说明书")</f>
        <v>东方通:首次公开发行股票并在创业板上市招股说明书</v>
      </c>
      <c r="D694" t="s">
        <v>982</v>
      </c>
      <c r="E694" t="s">
        <v>404</v>
      </c>
      <c r="F694" t="s">
        <v>455</v>
      </c>
    </row>
    <row r="695" spans="1:6" x14ac:dyDescent="0.15">
      <c r="A695" s="1">
        <v>41656</v>
      </c>
      <c r="B695" t="s">
        <v>27</v>
      </c>
      <c r="C695" s="2" t="str">
        <f>HYPERLINK("http://snap.windin.com/ns/bulletin.php?id=21909894&amp;type=1", "友邦吊顶:首次公开发行股票招股说明书")</f>
        <v>友邦吊顶:首次公开发行股票招股说明书</v>
      </c>
      <c r="D695" t="s">
        <v>994</v>
      </c>
      <c r="E695" t="s">
        <v>426</v>
      </c>
      <c r="F695" t="s">
        <v>399</v>
      </c>
    </row>
    <row r="696" spans="1:6" x14ac:dyDescent="0.15">
      <c r="A696" s="1">
        <v>41656</v>
      </c>
      <c r="B696" t="s">
        <v>23</v>
      </c>
      <c r="C696" s="2" t="str">
        <f>HYPERLINK("http://snap.windin.com/ns/bulletin.php?id=21911274&amp;type=1", "金轮股份:首次公开发行股票招股说明书")</f>
        <v>金轮股份:首次公开发行股票招股说明书</v>
      </c>
      <c r="D696" t="s">
        <v>990</v>
      </c>
      <c r="E696" t="s">
        <v>422</v>
      </c>
      <c r="F696" t="s">
        <v>399</v>
      </c>
    </row>
    <row r="697" spans="1:6" x14ac:dyDescent="0.15">
      <c r="A697" s="1">
        <v>41656</v>
      </c>
      <c r="B697" t="s">
        <v>18</v>
      </c>
      <c r="C697" s="2" t="str">
        <f>HYPERLINK("http://snap.windin.com/ns/bulletin.php?id=21911234&amp;type=1", "金莱特:首次公开发行股票招股说明书")</f>
        <v>金莱特:首次公开发行股票招股说明书</v>
      </c>
      <c r="D697" t="s">
        <v>988</v>
      </c>
      <c r="E697" t="s">
        <v>414</v>
      </c>
      <c r="F697" t="s">
        <v>399</v>
      </c>
    </row>
    <row r="698" spans="1:6" x14ac:dyDescent="0.15">
      <c r="A698" s="1">
        <v>41656</v>
      </c>
      <c r="B698" t="s">
        <v>15</v>
      </c>
      <c r="C698" s="2" t="str">
        <f>HYPERLINK("http://snap.windin.com/ns/bulletin.php?id=21911034&amp;type=1", "绿盟科技:首次公开发行股票并在创业板上市招股说明书")</f>
        <v>绿盟科技:首次公开发行股票并在创业板上市招股说明书</v>
      </c>
      <c r="D698" t="s">
        <v>983</v>
      </c>
      <c r="E698" t="s">
        <v>409</v>
      </c>
      <c r="F698" t="s">
        <v>455</v>
      </c>
    </row>
    <row r="699" spans="1:6" x14ac:dyDescent="0.15">
      <c r="A699" s="1">
        <v>41656</v>
      </c>
      <c r="B699" t="s">
        <v>25</v>
      </c>
      <c r="C699" s="2" t="str">
        <f>HYPERLINK("http://snap.windin.com/ns/bulletin.php?id=21911016&amp;type=1", "麦趣尔:首次公开发行股票招股说明书")</f>
        <v>麦趣尔:首次公开发行股票招股说明书</v>
      </c>
      <c r="D699" t="s">
        <v>992</v>
      </c>
      <c r="E699" t="s">
        <v>424</v>
      </c>
      <c r="F699" t="s">
        <v>399</v>
      </c>
    </row>
    <row r="700" spans="1:6" x14ac:dyDescent="0.15">
      <c r="A700" s="1">
        <v>41656</v>
      </c>
      <c r="B700" t="s">
        <v>3404</v>
      </c>
      <c r="C700" s="2" t="str">
        <f>HYPERLINK("http://snap.windin.com/ns/bulletin.php?id=21910988&amp;type=1", "宏良股份:首次公开发行股票招股说明书")</f>
        <v>宏良股份:首次公开发行股票招股说明书</v>
      </c>
      <c r="D700" t="s">
        <v>7435</v>
      </c>
      <c r="E700" t="s">
        <v>5432</v>
      </c>
      <c r="F700" t="s">
        <v>399</v>
      </c>
    </row>
    <row r="701" spans="1:6" x14ac:dyDescent="0.15">
      <c r="A701" s="1">
        <v>41656</v>
      </c>
      <c r="B701" t="s">
        <v>17</v>
      </c>
      <c r="C701" s="2" t="str">
        <f>HYPERLINK("http://snap.windin.com/ns/bulletin.php?id=21910980&amp;type=1", "跃岭股份:首次公开发行股票招股说明书")</f>
        <v>跃岭股份:首次公开发行股票招股说明书</v>
      </c>
      <c r="D701" t="s">
        <v>986</v>
      </c>
      <c r="E701" t="s">
        <v>413</v>
      </c>
      <c r="F701" t="s">
        <v>399</v>
      </c>
    </row>
    <row r="702" spans="1:6" x14ac:dyDescent="0.15">
      <c r="A702" s="1">
        <v>41656</v>
      </c>
      <c r="B702" t="s">
        <v>19</v>
      </c>
      <c r="C702" s="2" t="str">
        <f>HYPERLINK("http://snap.windin.com/ns/bulletin.php?id=21910946&amp;type=1", "东方网力:首次公开发行股票并在创业板上市招股说明书")</f>
        <v>东方网力:首次公开发行股票并在创业板上市招股说明书</v>
      </c>
      <c r="D702" t="s">
        <v>984</v>
      </c>
      <c r="E702" t="s">
        <v>416</v>
      </c>
      <c r="F702" t="s">
        <v>455</v>
      </c>
    </row>
    <row r="703" spans="1:6" x14ac:dyDescent="0.15">
      <c r="A703" s="1">
        <v>41656</v>
      </c>
      <c r="B703" t="s">
        <v>20</v>
      </c>
      <c r="C703" s="2" t="str">
        <f>HYPERLINK("http://snap.windin.com/ns/bulletin.php?id=21910754&amp;type=1", "博腾股份:首次公开发行股票并在创业板上市招股说明书")</f>
        <v>博腾股份:首次公开发行股票并在创业板上市招股说明书</v>
      </c>
      <c r="D703" t="s">
        <v>985</v>
      </c>
      <c r="E703" t="s">
        <v>418</v>
      </c>
      <c r="F703" t="s">
        <v>455</v>
      </c>
    </row>
    <row r="704" spans="1:6" x14ac:dyDescent="0.15">
      <c r="A704" s="1">
        <v>41655</v>
      </c>
      <c r="B704" t="s">
        <v>33</v>
      </c>
      <c r="C704" s="2" t="str">
        <f>HYPERLINK("http://snap.windin.com/ns/bulletin.php?id=21899560&amp;type=1", "易事特:首次公开发行股票并在创业板上市招股说明书")</f>
        <v>易事特:首次公开发行股票并在创业板上市招股说明书</v>
      </c>
      <c r="D704" t="s">
        <v>1003</v>
      </c>
      <c r="E704" t="s">
        <v>435</v>
      </c>
      <c r="F704" t="s">
        <v>455</v>
      </c>
    </row>
    <row r="705" spans="1:6" x14ac:dyDescent="0.15">
      <c r="A705" s="1">
        <v>41655</v>
      </c>
      <c r="B705" t="s">
        <v>7</v>
      </c>
      <c r="C705" s="2" t="str">
        <f>HYPERLINK("http://snap.windin.com/ns/bulletin.php?id=21900386&amp;type=1", "岭南园林:首次公开发行股票招股说明书")</f>
        <v>岭南园林:首次公开发行股票招股说明书</v>
      </c>
      <c r="D705" t="s">
        <v>1004</v>
      </c>
      <c r="E705" t="s">
        <v>388</v>
      </c>
      <c r="F705" t="s">
        <v>399</v>
      </c>
    </row>
    <row r="706" spans="1:6" x14ac:dyDescent="0.15">
      <c r="A706" s="1">
        <v>41655</v>
      </c>
      <c r="B706" t="s">
        <v>24</v>
      </c>
      <c r="C706" s="2" t="str">
        <f>HYPERLINK("http://snap.windin.com/ns/bulletin.php?id=21900380&amp;type=1", "牧原股份:首次公开发行股票招股说明书")</f>
        <v>牧原股份:首次公开发行股票招股说明书</v>
      </c>
      <c r="D706" t="s">
        <v>1008</v>
      </c>
      <c r="E706" t="s">
        <v>423</v>
      </c>
      <c r="F706" t="s">
        <v>399</v>
      </c>
    </row>
    <row r="707" spans="1:6" x14ac:dyDescent="0.15">
      <c r="A707" s="1">
        <v>41655</v>
      </c>
      <c r="B707" t="s">
        <v>21</v>
      </c>
      <c r="C707" s="2" t="str">
        <f>HYPERLINK("http://snap.windin.com/ns/bulletin.php?id=21900372&amp;type=1", "金贵银业:首次公开发行股票招股说明书")</f>
        <v>金贵银业:首次公开发行股票招股说明书</v>
      </c>
      <c r="D707" t="s">
        <v>1006</v>
      </c>
      <c r="E707" t="s">
        <v>419</v>
      </c>
      <c r="F707" t="s">
        <v>399</v>
      </c>
    </row>
    <row r="708" spans="1:6" x14ac:dyDescent="0.15">
      <c r="A708" s="1">
        <v>41655</v>
      </c>
      <c r="B708" t="s">
        <v>22</v>
      </c>
      <c r="C708" s="2" t="str">
        <f>HYPERLINK("http://snap.windin.com/ns/bulletin.php?id=21900340&amp;type=1", "溢多利:首次公开发行股票并在创业板上市招股说明书")</f>
        <v>溢多利:首次公开发行股票并在创业板上市招股说明书</v>
      </c>
      <c r="D708" t="s">
        <v>1000</v>
      </c>
      <c r="E708" t="s">
        <v>421</v>
      </c>
      <c r="F708" t="s">
        <v>455</v>
      </c>
    </row>
    <row r="709" spans="1:6" x14ac:dyDescent="0.15">
      <c r="A709" s="1">
        <v>41655</v>
      </c>
      <c r="B709" t="s">
        <v>29</v>
      </c>
      <c r="C709" s="2" t="str">
        <f>HYPERLINK("http://snap.windin.com/ns/bulletin.php?id=21900324&amp;type=1", "欧浦钢网:首次公开发行股票招股说明书")</f>
        <v>欧浦钢网:首次公开发行股票招股说明书</v>
      </c>
      <c r="D709" t="s">
        <v>1010</v>
      </c>
      <c r="E709" t="s">
        <v>430</v>
      </c>
      <c r="F709" t="s">
        <v>399</v>
      </c>
    </row>
    <row r="710" spans="1:6" x14ac:dyDescent="0.15">
      <c r="A710" s="1">
        <v>41655</v>
      </c>
      <c r="B710" t="s">
        <v>28</v>
      </c>
      <c r="C710" s="2" t="str">
        <f>HYPERLINK("http://snap.windin.com/ns/bulletin.php?id=21900312&amp;type=1", "陕西煤业:首次公开发行A股股票招股说明书")</f>
        <v>陕西煤业:首次公开发行A股股票招股说明书</v>
      </c>
      <c r="D710" t="s">
        <v>998</v>
      </c>
      <c r="E710" t="s">
        <v>427</v>
      </c>
      <c r="F710" t="s">
        <v>462</v>
      </c>
    </row>
    <row r="711" spans="1:6" x14ac:dyDescent="0.15">
      <c r="A711" s="1">
        <v>41655</v>
      </c>
      <c r="B711" t="s">
        <v>26</v>
      </c>
      <c r="C711" s="2" t="str">
        <f>HYPERLINK("http://snap.windin.com/ns/bulletin.php?id=21900276&amp;type=1", "安硕信息:首次公开发行股票并在创业板上市招股说明书")</f>
        <v>安硕信息:首次公开发行股票并在创业板上市招股说明书</v>
      </c>
      <c r="D711" t="s">
        <v>1001</v>
      </c>
      <c r="E711" t="s">
        <v>425</v>
      </c>
      <c r="F711" t="s">
        <v>455</v>
      </c>
    </row>
    <row r="712" spans="1:6" x14ac:dyDescent="0.15">
      <c r="A712" s="1">
        <v>41655</v>
      </c>
      <c r="B712" t="s">
        <v>34</v>
      </c>
      <c r="C712" s="2" t="str">
        <f>HYPERLINK("http://snap.windin.com/ns/bulletin.php?id=21900272&amp;type=1", "鼎捷软件:首次公开发行股票并在创业板上市招股说明书")</f>
        <v>鼎捷软件:首次公开发行股票并在创业板上市招股说明书</v>
      </c>
      <c r="D712" t="s">
        <v>1002</v>
      </c>
      <c r="E712" t="s">
        <v>436</v>
      </c>
      <c r="F712" t="s">
        <v>455</v>
      </c>
    </row>
    <row r="713" spans="1:6" x14ac:dyDescent="0.15">
      <c r="A713" s="1">
        <v>41654</v>
      </c>
      <c r="B713" t="s">
        <v>31</v>
      </c>
      <c r="C713" s="2" t="str">
        <f>HYPERLINK("http://snap.windin.com/ns/bulletin.php?id=21886556&amp;type=1", "创意信息:首次公开发行股票并在创业板上市招股说明书")</f>
        <v>创意信息:首次公开发行股票并在创业板上市招股说明书</v>
      </c>
      <c r="D713" t="s">
        <v>1018</v>
      </c>
      <c r="E713" t="s">
        <v>433</v>
      </c>
      <c r="F713" t="s">
        <v>455</v>
      </c>
    </row>
    <row r="714" spans="1:6" x14ac:dyDescent="0.15">
      <c r="A714" s="1">
        <v>41654</v>
      </c>
      <c r="B714" t="s">
        <v>35</v>
      </c>
      <c r="C714" s="2" t="str">
        <f>HYPERLINK("http://snap.windin.com/ns/bulletin.php?id=21886548&amp;type=1", "金一文化:首次公开发行股票招股说明书")</f>
        <v>金一文化:首次公开发行股票招股说明书</v>
      </c>
      <c r="D714" t="s">
        <v>1019</v>
      </c>
      <c r="E714" t="s">
        <v>437</v>
      </c>
      <c r="F714" t="s">
        <v>399</v>
      </c>
    </row>
    <row r="715" spans="1:6" x14ac:dyDescent="0.15">
      <c r="A715" s="1">
        <v>41654</v>
      </c>
      <c r="B715" t="s">
        <v>30</v>
      </c>
      <c r="C715" s="2" t="str">
        <f>HYPERLINK("http://snap.windin.com/ns/bulletin.php?id=21886226&amp;type=1", "欣泰电气:首次公开发行股票并在创业板上市招股说明书")</f>
        <v>欣泰电气:首次公开发行股票并在创业板上市招股说明书</v>
      </c>
      <c r="D715" t="s">
        <v>1017</v>
      </c>
      <c r="E715" t="s">
        <v>432</v>
      </c>
      <c r="F715" t="s">
        <v>455</v>
      </c>
    </row>
    <row r="716" spans="1:6" x14ac:dyDescent="0.15">
      <c r="A716" s="1">
        <v>41654</v>
      </c>
      <c r="B716" t="s">
        <v>12</v>
      </c>
      <c r="C716" s="2" t="str">
        <f>HYPERLINK("http://snap.windin.com/ns/bulletin.php?id=21885880&amp;type=1", "晶方科技:首次公开发行股票招股说明书")</f>
        <v>晶方科技:首次公开发行股票招股说明书</v>
      </c>
      <c r="D716" t="s">
        <v>1015</v>
      </c>
      <c r="E716" t="s">
        <v>403</v>
      </c>
      <c r="F716" t="s">
        <v>399</v>
      </c>
    </row>
    <row r="717" spans="1:6" x14ac:dyDescent="0.15">
      <c r="A717" s="1">
        <v>41653</v>
      </c>
      <c r="B717" t="s">
        <v>43</v>
      </c>
      <c r="C717" s="2" t="str">
        <f>HYPERLINK("http://snap.windin.com/ns/bulletin.php?id=21877366&amp;type=1", "扬杰科技:首次公开发行股票并在创业板上市招股说明书")</f>
        <v>扬杰科技:首次公开发行股票并在创业板上市招股说明书</v>
      </c>
      <c r="D717" t="s">
        <v>1024</v>
      </c>
      <c r="E717" t="s">
        <v>447</v>
      </c>
      <c r="F717" t="s">
        <v>455</v>
      </c>
    </row>
    <row r="718" spans="1:6" x14ac:dyDescent="0.15">
      <c r="A718" s="1">
        <v>41653</v>
      </c>
      <c r="B718" t="s">
        <v>44</v>
      </c>
      <c r="C718" s="2" t="str">
        <f>HYPERLINK("http://snap.windin.com/ns/bulletin.php?id=21877352&amp;type=1", "汇金股份:首次公开发行股票并在创业板上市招股说明书")</f>
        <v>汇金股份:首次公开发行股票并在创业板上市招股说明书</v>
      </c>
      <c r="D718" t="s">
        <v>1026</v>
      </c>
      <c r="E718" t="s">
        <v>448</v>
      </c>
      <c r="F718" t="s">
        <v>455</v>
      </c>
    </row>
    <row r="719" spans="1:6" x14ac:dyDescent="0.15">
      <c r="A719" s="1">
        <v>41653</v>
      </c>
      <c r="B719" t="s">
        <v>40</v>
      </c>
      <c r="C719" s="2" t="str">
        <f>HYPERLINK("http://snap.windin.com/ns/bulletin.php?id=21877282&amp;type=1", "汇中股份:首次公开发行股票并在创业板上市招股说明书")</f>
        <v>汇中股份:首次公开发行股票并在创业板上市招股说明书</v>
      </c>
      <c r="D719" t="s">
        <v>1025</v>
      </c>
      <c r="E719" t="s">
        <v>444</v>
      </c>
      <c r="F719" t="s">
        <v>455</v>
      </c>
    </row>
    <row r="720" spans="1:6" x14ac:dyDescent="0.15">
      <c r="A720" s="1">
        <v>41653</v>
      </c>
      <c r="B720" t="s">
        <v>9</v>
      </c>
      <c r="C720" s="2" t="str">
        <f>HYPERLINK("http://snap.windin.com/ns/bulletin.php?id=21877274&amp;type=1", "东易日盛:首次公开发行股票并上市招股说明书")</f>
        <v>东易日盛:首次公开发行股票并上市招股说明书</v>
      </c>
      <c r="D720" t="s">
        <v>1028</v>
      </c>
      <c r="E720" t="s">
        <v>392</v>
      </c>
      <c r="F720" t="s">
        <v>469</v>
      </c>
    </row>
    <row r="721" spans="1:6" x14ac:dyDescent="0.15">
      <c r="A721" s="1">
        <v>41653</v>
      </c>
      <c r="B721" t="s">
        <v>36</v>
      </c>
      <c r="C721" s="2" t="str">
        <f>HYPERLINK("http://snap.windin.com/ns/bulletin.php?id=21877140&amp;type=1", "鹏翎股份:首次公开发行股票并在创业板上市招股说明书")</f>
        <v>鹏翎股份:首次公开发行股票并在创业板上市招股说明书</v>
      </c>
      <c r="D721" t="s">
        <v>1023</v>
      </c>
      <c r="E721" t="s">
        <v>438</v>
      </c>
      <c r="F721" t="s">
        <v>455</v>
      </c>
    </row>
    <row r="722" spans="1:6" x14ac:dyDescent="0.15">
      <c r="A722" s="1">
        <v>41653</v>
      </c>
      <c r="B722" t="s">
        <v>39</v>
      </c>
      <c r="C722" s="2" t="str">
        <f>HYPERLINK("http://snap.windin.com/ns/bulletin.php?id=21877132&amp;type=1", "恒华科技:首次公开发行股票并在创业板上市招股说明书")</f>
        <v>恒华科技:首次公开发行股票并在创业板上市招股说明书</v>
      </c>
      <c r="D722" t="s">
        <v>1027</v>
      </c>
      <c r="E722" t="s">
        <v>443</v>
      </c>
      <c r="F722" t="s">
        <v>455</v>
      </c>
    </row>
    <row r="723" spans="1:6" x14ac:dyDescent="0.15">
      <c r="A723" s="1">
        <v>41653</v>
      </c>
      <c r="B723" t="s">
        <v>42</v>
      </c>
      <c r="C723" s="2" t="str">
        <f>HYPERLINK("http://snap.windin.com/ns/bulletin.php?id=21877130&amp;type=1", "众信旅游:首次公开发行股票招股说明书")</f>
        <v>众信旅游:首次公开发行股票招股说明书</v>
      </c>
      <c r="D723" t="s">
        <v>1030</v>
      </c>
      <c r="E723" t="s">
        <v>446</v>
      </c>
      <c r="F723" t="s">
        <v>399</v>
      </c>
    </row>
    <row r="724" spans="1:6" x14ac:dyDescent="0.15">
      <c r="A724" s="1">
        <v>41653</v>
      </c>
      <c r="B724" t="s">
        <v>37</v>
      </c>
      <c r="C724" s="2" t="str">
        <f>HYPERLINK("http://snap.windin.com/ns/bulletin.php?id=21877122&amp;type=1", "贵人鸟:首次公开发行股票招股说明书")</f>
        <v>贵人鸟:首次公开发行股票招股说明书</v>
      </c>
      <c r="D724" t="s">
        <v>1021</v>
      </c>
      <c r="E724" t="s">
        <v>441</v>
      </c>
      <c r="F724" t="s">
        <v>399</v>
      </c>
    </row>
    <row r="725" spans="1:6" x14ac:dyDescent="0.15">
      <c r="A725" s="1">
        <v>41652</v>
      </c>
      <c r="B725" t="s">
        <v>53</v>
      </c>
      <c r="C725" s="2" t="str">
        <f>HYPERLINK("http://snap.windin.com/ns/bulletin.php?id=21865940&amp;type=1", "纽威股份:首次公开发行股票招股说明书")</f>
        <v>纽威股份:首次公开发行股票招股说明书</v>
      </c>
      <c r="D725" t="s">
        <v>1032</v>
      </c>
      <c r="E725" t="s">
        <v>463</v>
      </c>
      <c r="F725" t="s">
        <v>399</v>
      </c>
    </row>
    <row r="726" spans="1:6" x14ac:dyDescent="0.15">
      <c r="A726" s="1">
        <v>41650</v>
      </c>
      <c r="B726" t="s">
        <v>6</v>
      </c>
      <c r="C726" s="2" t="str">
        <f>HYPERLINK("http://snap.windin.com/ns/bulletin.php?id=21857970&amp;type=1", "安控股份:首次公开发行股票并在创业板上市招股说明书(更新后)")</f>
        <v>安控股份:首次公开发行股票并在创业板上市招股说明书(更新后)</v>
      </c>
      <c r="D726" t="s">
        <v>1035</v>
      </c>
      <c r="E726" t="s">
        <v>386</v>
      </c>
      <c r="F726" t="s">
        <v>459</v>
      </c>
    </row>
    <row r="727" spans="1:6" x14ac:dyDescent="0.15">
      <c r="A727" s="1">
        <v>41649</v>
      </c>
      <c r="B727" t="s">
        <v>45</v>
      </c>
      <c r="C727" s="2" t="str">
        <f>HYPERLINK("http://snap.windin.com/ns/bulletin.php?id=21848034&amp;type=1", "应流股份:首次公开发行股票招股说明书")</f>
        <v>应流股份:首次公开发行股票招股说明书</v>
      </c>
      <c r="D727" t="s">
        <v>1036</v>
      </c>
      <c r="E727" t="s">
        <v>450</v>
      </c>
      <c r="F727" t="s">
        <v>399</v>
      </c>
    </row>
    <row r="728" spans="1:6" x14ac:dyDescent="0.15">
      <c r="A728" s="1">
        <v>41649</v>
      </c>
      <c r="B728" t="s">
        <v>38</v>
      </c>
      <c r="C728" s="2" t="str">
        <f>HYPERLINK("http://snap.windin.com/ns/bulletin.php?id=21847982&amp;type=1", "思美传媒:首次公开发行股票并上市招股说明书")</f>
        <v>思美传媒:首次公开发行股票并上市招股说明书</v>
      </c>
      <c r="D728" t="s">
        <v>1041</v>
      </c>
      <c r="E728" t="s">
        <v>442</v>
      </c>
      <c r="F728" t="s">
        <v>469</v>
      </c>
    </row>
    <row r="729" spans="1:6" x14ac:dyDescent="0.15">
      <c r="A729" s="1">
        <v>41649</v>
      </c>
      <c r="B729" t="s">
        <v>41</v>
      </c>
      <c r="C729" s="2" t="str">
        <f>HYPERLINK("http://snap.windin.com/ns/bulletin.php?id=21848764&amp;type=1", "天赐材料:首次公开发行股票招股说明书")</f>
        <v>天赐材料:首次公开发行股票招股说明书</v>
      </c>
      <c r="D729" t="s">
        <v>1043</v>
      </c>
      <c r="E729" t="s">
        <v>445</v>
      </c>
      <c r="F729" t="s">
        <v>399</v>
      </c>
    </row>
    <row r="730" spans="1:6" x14ac:dyDescent="0.15">
      <c r="A730" s="1">
        <v>41649</v>
      </c>
      <c r="B730" t="s">
        <v>6</v>
      </c>
      <c r="C730" s="2" t="str">
        <f>HYPERLINK("http://snap.windin.com/ns/bulletin.php?id=21849226&amp;type=1", "安控股份:首次公开发行股票并在创业板上市招股说明书")</f>
        <v>安控股份:首次公开发行股票并在创业板上市招股说明书</v>
      </c>
      <c r="D730" t="s">
        <v>1039</v>
      </c>
      <c r="E730" t="s">
        <v>386</v>
      </c>
      <c r="F730" t="s">
        <v>455</v>
      </c>
    </row>
    <row r="731" spans="1:6" x14ac:dyDescent="0.15">
      <c r="A731" s="1">
        <v>41649</v>
      </c>
      <c r="B731" t="s">
        <v>48</v>
      </c>
      <c r="C731" s="2" t="str">
        <f>HYPERLINK("http://snap.windin.com/ns/bulletin.php?id=21849198&amp;type=1", "全通教育:首次公开发行股票并在创业板上市招股说明书")</f>
        <v>全通教育:首次公开发行股票并在创业板上市招股说明书</v>
      </c>
      <c r="D731" t="s">
        <v>1040</v>
      </c>
      <c r="E731" t="s">
        <v>453</v>
      </c>
      <c r="F731" t="s">
        <v>455</v>
      </c>
    </row>
    <row r="732" spans="1:6" x14ac:dyDescent="0.15">
      <c r="A732" s="1">
        <v>41649</v>
      </c>
      <c r="B732" t="s">
        <v>51</v>
      </c>
      <c r="C732" s="2" t="str">
        <f>HYPERLINK("http://snap.windin.com/ns/bulletin.php?id=21849140&amp;type=1", "光洋股份:首次公开发行股票招股说明书")</f>
        <v>光洋股份:首次公开发行股票招股说明书</v>
      </c>
      <c r="D732" t="s">
        <v>1045</v>
      </c>
      <c r="E732" t="s">
        <v>457</v>
      </c>
      <c r="F732" t="s">
        <v>399</v>
      </c>
    </row>
    <row r="733" spans="1:6" x14ac:dyDescent="0.15">
      <c r="A733" s="1">
        <v>41648</v>
      </c>
      <c r="B733" t="s">
        <v>52</v>
      </c>
      <c r="C733" s="2" t="str">
        <f>HYPERLINK("http://snap.windin.com/ns/bulletin.php?id=21840172&amp;type=1", "良信电器:首次公开发行股票招股说明书")</f>
        <v>良信电器:首次公开发行股票招股说明书</v>
      </c>
      <c r="D733" t="s">
        <v>1070</v>
      </c>
      <c r="E733" t="s">
        <v>458</v>
      </c>
      <c r="F733" t="s">
        <v>399</v>
      </c>
    </row>
    <row r="734" spans="1:6" x14ac:dyDescent="0.15">
      <c r="A734" s="1">
        <v>41648</v>
      </c>
      <c r="B734" t="s">
        <v>3405</v>
      </c>
      <c r="C734" s="2" t="str">
        <f>HYPERLINK("http://snap.windin.com/ns/bulletin.php?id=21839968&amp;type=1", "奥赛康:首次公开发行股票并在创业板上市招股说明书")</f>
        <v>奥赛康:首次公开发行股票并在创业板上市招股说明书</v>
      </c>
      <c r="D734" t="s">
        <v>7436</v>
      </c>
      <c r="E734" t="s">
        <v>5433</v>
      </c>
      <c r="F734" t="s">
        <v>455</v>
      </c>
    </row>
    <row r="735" spans="1:6" x14ac:dyDescent="0.15">
      <c r="A735" s="1">
        <v>41648</v>
      </c>
      <c r="B735" t="s">
        <v>49</v>
      </c>
      <c r="C735" s="2" t="str">
        <f>HYPERLINK("http://snap.windin.com/ns/bulletin.php?id=21839966&amp;type=1", "天保重装:首次公开发行股票并在创业板上市招股说明书")</f>
        <v>天保重装:首次公开发行股票并在创业板上市招股说明书</v>
      </c>
      <c r="D735" t="s">
        <v>1054</v>
      </c>
      <c r="E735" t="s">
        <v>454</v>
      </c>
      <c r="F735" t="s">
        <v>455</v>
      </c>
    </row>
    <row r="736" spans="1:6" x14ac:dyDescent="0.15">
      <c r="A736" s="1">
        <v>41648</v>
      </c>
      <c r="B736" t="s">
        <v>47</v>
      </c>
      <c r="C736" s="2" t="str">
        <f>HYPERLINK("http://snap.windin.com/ns/bulletin.php?id=21839932&amp;type=1", "炬华科技:首次公开发行股票并在创业板上市招股说明书")</f>
        <v>炬华科技:首次公开发行股票并在创业板上市招股说明书</v>
      </c>
      <c r="D736" t="s">
        <v>1055</v>
      </c>
      <c r="E736" t="s">
        <v>452</v>
      </c>
      <c r="F736" t="s">
        <v>455</v>
      </c>
    </row>
    <row r="737" spans="1:6" x14ac:dyDescent="0.15">
      <c r="A737" s="1">
        <v>41647</v>
      </c>
      <c r="B737" t="s">
        <v>50</v>
      </c>
      <c r="C737" s="2" t="str">
        <f>HYPERLINK("http://snap.windin.com/ns/bulletin.php?id=21827192&amp;type=1", "楚天科技:首次公开发行股票并在创业板上市招股说明书")</f>
        <v>楚天科技:首次公开发行股票并在创业板上市招股说明书</v>
      </c>
      <c r="D737" t="s">
        <v>1077</v>
      </c>
      <c r="E737" t="s">
        <v>456</v>
      </c>
      <c r="F737" t="s">
        <v>455</v>
      </c>
    </row>
    <row r="738" spans="1:6" x14ac:dyDescent="0.15">
      <c r="A738" s="1">
        <v>41646</v>
      </c>
      <c r="B738" t="s">
        <v>10</v>
      </c>
      <c r="C738" s="2" t="str">
        <f>HYPERLINK("http://snap.windin.com/ns/bulletin.php?id=21816802&amp;type=1", "新宝股份:首次公开发行股票招股说明书")</f>
        <v>新宝股份:首次公开发行股票招股说明书</v>
      </c>
      <c r="D738" t="s">
        <v>1094</v>
      </c>
      <c r="E738" t="s">
        <v>393</v>
      </c>
      <c r="F738" t="s">
        <v>399</v>
      </c>
    </row>
    <row r="739" spans="1:6" x14ac:dyDescent="0.15">
      <c r="A739" s="1">
        <v>41646</v>
      </c>
      <c r="B739" t="s">
        <v>46</v>
      </c>
      <c r="C739" s="2" t="str">
        <f>HYPERLINK("http://snap.windin.com/ns/bulletin.php?id=21816798&amp;type=1", "我武生物:首次公开发行股票并在创业板上市招股说明书")</f>
        <v>我武生物:首次公开发行股票并在创业板上市招股说明书</v>
      </c>
      <c r="D739" t="s">
        <v>1091</v>
      </c>
      <c r="E739" t="s">
        <v>451</v>
      </c>
      <c r="F739" t="s">
        <v>455</v>
      </c>
    </row>
    <row r="740" spans="1:6" x14ac:dyDescent="0.15">
      <c r="A740" s="1">
        <v>41235</v>
      </c>
      <c r="B740" t="s">
        <v>55</v>
      </c>
      <c r="C740" s="2" t="str">
        <f>HYPERLINK("http://snap.windin.com/ns/bulletin.php?id=11667430&amp;type=1", "郑煤机:关于刊发H股招股说明书,H股发行价格区间及H股香港公开发售等相关事宜的公告")</f>
        <v>郑煤机:关于刊发H股招股说明书,H股发行价格区间及H股香港公开发售等相关事宜的公告</v>
      </c>
      <c r="D740" t="s">
        <v>1137</v>
      </c>
      <c r="E740" t="s">
        <v>483</v>
      </c>
      <c r="F740" t="s">
        <v>385</v>
      </c>
    </row>
    <row r="741" spans="1:6" x14ac:dyDescent="0.15">
      <c r="A741" s="1">
        <v>41208</v>
      </c>
      <c r="B741" t="s">
        <v>3406</v>
      </c>
      <c r="C741" s="2" t="str">
        <f>HYPERLINK("http://snap.windin.com/ns/bulletin.php?id=11212440&amp;type=1", "相宜本草:首次公开发行股票招股说明书（申报稿-补充预披露）")</f>
        <v>相宜本草:首次公开发行股票招股说明书（申报稿-补充预披露）</v>
      </c>
      <c r="D741" t="s">
        <v>7437</v>
      </c>
      <c r="E741" t="s">
        <v>5434</v>
      </c>
      <c r="F741" t="s">
        <v>5435</v>
      </c>
    </row>
    <row r="742" spans="1:6" x14ac:dyDescent="0.15">
      <c r="A742" s="1">
        <v>41207</v>
      </c>
      <c r="B742" t="s">
        <v>56</v>
      </c>
      <c r="C742" s="2" t="str">
        <f>HYPERLINK("http://snap.windin.com/ns/bulletin.php?id=11179230&amp;type=1", "浙江世宝:首次公开发行股票招股说明书")</f>
        <v>浙江世宝:首次公开发行股票招股说明书</v>
      </c>
      <c r="D742" t="s">
        <v>1139</v>
      </c>
      <c r="E742" t="s">
        <v>484</v>
      </c>
      <c r="F742" t="s">
        <v>399</v>
      </c>
    </row>
    <row r="743" spans="1:6" x14ac:dyDescent="0.15">
      <c r="A743" s="1">
        <v>41206</v>
      </c>
      <c r="B743" t="s">
        <v>3407</v>
      </c>
      <c r="C743" s="2" t="str">
        <f>HYPERLINK("http://snap.windin.com/ns/bulletin.php?id=11145380&amp;type=1", "会稽山:首次公开发行股票招股说明书（申报稿-补充预披露）")</f>
        <v>会稽山:首次公开发行股票招股说明书（申报稿-补充预披露）</v>
      </c>
      <c r="D743" t="s">
        <v>7438</v>
      </c>
      <c r="E743" t="s">
        <v>4650</v>
      </c>
      <c r="F743" t="s">
        <v>5435</v>
      </c>
    </row>
    <row r="744" spans="1:6" x14ac:dyDescent="0.15">
      <c r="A744" s="1">
        <v>41206</v>
      </c>
      <c r="B744" t="s">
        <v>3408</v>
      </c>
      <c r="C744" s="2" t="str">
        <f>HYPERLINK("http://snap.windin.com/ns/bulletin.php?id=11145370&amp;type=1", "福达股份:首次公开发行股票并上市招股说明书（申报稿-补充预披露）")</f>
        <v>福达股份:首次公开发行股票并上市招股说明书（申报稿-补充预披露）</v>
      </c>
      <c r="D744" t="s">
        <v>7439</v>
      </c>
      <c r="E744" t="s">
        <v>5284</v>
      </c>
      <c r="F744" t="s">
        <v>5436</v>
      </c>
    </row>
    <row r="745" spans="1:6" x14ac:dyDescent="0.15">
      <c r="A745" s="1">
        <v>41206</v>
      </c>
      <c r="B745" t="s">
        <v>3409</v>
      </c>
      <c r="C745" s="2" t="str">
        <f>HYPERLINK("http://snap.windin.com/ns/bulletin.php?id=11145360&amp;type=1", "金龙股份:首次公开发行股票招股说明书（申报稿-补充预披露）")</f>
        <v>金龙股份:首次公开发行股票招股说明书（申报稿-补充预披露）</v>
      </c>
      <c r="D745" t="s">
        <v>7440</v>
      </c>
      <c r="E745" t="s">
        <v>5437</v>
      </c>
      <c r="F745" t="s">
        <v>5435</v>
      </c>
    </row>
    <row r="746" spans="1:6" x14ac:dyDescent="0.15">
      <c r="A746" s="1">
        <v>41190</v>
      </c>
      <c r="B746" t="s">
        <v>60</v>
      </c>
      <c r="C746" s="2" t="str">
        <f>HYPERLINK("http://snap.windin.com/ns/bulletin.php?id=10951500&amp;type=1", "洛阳钼业:首次公开发行A股股票招股说明书")</f>
        <v>洛阳钼业:首次公开发行A股股票招股说明书</v>
      </c>
      <c r="D746" t="s">
        <v>1143</v>
      </c>
      <c r="E746" t="s">
        <v>488</v>
      </c>
      <c r="F746" t="s">
        <v>462</v>
      </c>
    </row>
    <row r="747" spans="1:6" x14ac:dyDescent="0.15">
      <c r="A747" s="1">
        <v>41180</v>
      </c>
      <c r="B747" t="s">
        <v>3410</v>
      </c>
      <c r="C747" s="2" t="str">
        <f>HYPERLINK("http://snap.windin.com/ns/bulletin.php?id=58753930&amp;type=1", "莎普爱思:首次公开发行股票招股说明书(申报稿-补充预披露)")</f>
        <v>莎普爱思:首次公开发行股票招股说明书(申报稿-补充预披露)</v>
      </c>
      <c r="D747" t="s">
        <v>7441</v>
      </c>
      <c r="E747" t="s">
        <v>4847</v>
      </c>
      <c r="F747" t="s">
        <v>5438</v>
      </c>
    </row>
    <row r="748" spans="1:6" x14ac:dyDescent="0.15">
      <c r="A748" s="1">
        <v>41177</v>
      </c>
      <c r="B748" t="s">
        <v>3411</v>
      </c>
      <c r="C748" s="2" t="str">
        <f>HYPERLINK("http://snap.windin.com/ns/bulletin.php?id=18319226&amp;type=1", "昊海生科:创业板首发招股说明书（申报稿—补充预披露）")</f>
        <v>昊海生科:创业板首发招股说明书（申报稿—补充预披露）</v>
      </c>
      <c r="D748" t="s">
        <v>7442</v>
      </c>
      <c r="E748" t="s">
        <v>5439</v>
      </c>
      <c r="F748" t="s">
        <v>5440</v>
      </c>
    </row>
    <row r="749" spans="1:6" x14ac:dyDescent="0.15">
      <c r="A749" s="1">
        <v>41177</v>
      </c>
      <c r="B749" t="s">
        <v>3412</v>
      </c>
      <c r="C749" s="2" t="str">
        <f>HYPERLINK("http://snap.windin.com/ns/bulletin.php?id=18319220&amp;type=1", "中矿环保:创业板首发招股说明书（申报稿—补充预披露）")</f>
        <v>中矿环保:创业板首发招股说明书（申报稿—补充预披露）</v>
      </c>
      <c r="D749" t="s">
        <v>7443</v>
      </c>
      <c r="E749" t="s">
        <v>5441</v>
      </c>
      <c r="F749" t="s">
        <v>5440</v>
      </c>
    </row>
    <row r="750" spans="1:6" x14ac:dyDescent="0.15">
      <c r="A750" s="1">
        <v>41176</v>
      </c>
      <c r="B750" t="s">
        <v>57</v>
      </c>
      <c r="C750" s="2" t="str">
        <f>HYPERLINK("http://snap.windin.com/ns/bulletin.php?id=10569650&amp;type=1", "奥瑞金:首次公开发行股票招股说明书")</f>
        <v>奥瑞金:首次公开发行股票招股说明书</v>
      </c>
      <c r="D750" t="s">
        <v>1155</v>
      </c>
      <c r="E750" t="s">
        <v>485</v>
      </c>
      <c r="F750" t="s">
        <v>399</v>
      </c>
    </row>
    <row r="751" spans="1:6" x14ac:dyDescent="0.15">
      <c r="A751" s="1">
        <v>41176</v>
      </c>
      <c r="B751" t="s">
        <v>58</v>
      </c>
      <c r="C751" s="2" t="str">
        <f>HYPERLINK("http://snap.windin.com/ns/bulletin.php?id=10520870&amp;type=1", "腾新食品:首次公开发行股票招股说明书")</f>
        <v>腾新食品:首次公开发行股票招股说明书</v>
      </c>
      <c r="D751" t="s">
        <v>1153</v>
      </c>
      <c r="E751" t="s">
        <v>486</v>
      </c>
      <c r="F751" t="s">
        <v>399</v>
      </c>
    </row>
    <row r="752" spans="1:6" x14ac:dyDescent="0.15">
      <c r="A752" s="1">
        <v>41173</v>
      </c>
      <c r="B752" t="s">
        <v>59</v>
      </c>
      <c r="C752" s="2" t="str">
        <f>HYPERLINK("http://snap.windin.com/ns/bulletin.php?id=10106860&amp;type=1", "光一科技:首次公开发行股票并在创业板上市招股说明书")</f>
        <v>光一科技:首次公开发行股票并在创业板上市招股说明书</v>
      </c>
      <c r="D752" t="s">
        <v>1157</v>
      </c>
      <c r="E752" t="s">
        <v>487</v>
      </c>
      <c r="F752" t="s">
        <v>455</v>
      </c>
    </row>
    <row r="753" spans="1:6" x14ac:dyDescent="0.15">
      <c r="A753" s="1">
        <v>41172</v>
      </c>
      <c r="B753" t="s">
        <v>3413</v>
      </c>
      <c r="C753" s="2" t="str">
        <f>HYPERLINK("http://snap.windin.com/ns/bulletin.php?id=18315616&amp;type=1", "十一科技:首次公开发行股票招股说明书（申报稿-补充预披露）")</f>
        <v>十一科技:首次公开发行股票招股说明书（申报稿-补充预披露）</v>
      </c>
      <c r="D753" t="s">
        <v>7444</v>
      </c>
      <c r="E753" t="s">
        <v>5442</v>
      </c>
      <c r="F753" t="s">
        <v>5435</v>
      </c>
    </row>
    <row r="754" spans="1:6" x14ac:dyDescent="0.15">
      <c r="A754" s="1">
        <v>41172</v>
      </c>
      <c r="B754" t="s">
        <v>3414</v>
      </c>
      <c r="C754" s="2" t="str">
        <f>HYPERLINK("http://snap.windin.com/ns/bulletin.php?id=18315606&amp;type=1", "中博生物:首次公开发行股票招股说明书（申报稿-补充预披露）")</f>
        <v>中博生物:首次公开发行股票招股说明书（申报稿-补充预披露）</v>
      </c>
      <c r="D754" t="s">
        <v>7445</v>
      </c>
      <c r="E754" t="s">
        <v>5397</v>
      </c>
      <c r="F754" t="s">
        <v>5435</v>
      </c>
    </row>
    <row r="755" spans="1:6" x14ac:dyDescent="0.15">
      <c r="A755" s="1">
        <v>41172</v>
      </c>
      <c r="B755" t="s">
        <v>3415</v>
      </c>
      <c r="C755" s="2" t="str">
        <f>HYPERLINK("http://snap.windin.com/ns/bulletin.php?id=18315604&amp;type=1", "普德药业:首次公开发行股票招股说明书（申报稿-补充预披露）")</f>
        <v>普德药业:首次公开发行股票招股说明书（申报稿-补充预披露）</v>
      </c>
      <c r="D755" t="s">
        <v>7446</v>
      </c>
      <c r="E755" t="s">
        <v>4686</v>
      </c>
      <c r="F755" t="s">
        <v>5435</v>
      </c>
    </row>
    <row r="756" spans="1:6" x14ac:dyDescent="0.15">
      <c r="A756" s="1">
        <v>41166</v>
      </c>
      <c r="B756" t="s">
        <v>61</v>
      </c>
      <c r="C756" s="2" t="str">
        <f>HYPERLINK("http://snap.windin.com/ns/bulletin.php?id=10023240&amp;type=1", "蒙草抗旱:首次公开发行股票并在创业板上市招股说明书")</f>
        <v>蒙草抗旱:首次公开发行股票并在创业板上市招股说明书</v>
      </c>
      <c r="D756" t="s">
        <v>1167</v>
      </c>
      <c r="E756" t="s">
        <v>489</v>
      </c>
      <c r="F756" t="s">
        <v>455</v>
      </c>
    </row>
    <row r="757" spans="1:6" x14ac:dyDescent="0.15">
      <c r="A757" s="1">
        <v>41166</v>
      </c>
      <c r="B757" t="s">
        <v>3416</v>
      </c>
      <c r="C757" s="2" t="str">
        <f>HYPERLINK("http://snap.windin.com/ns/bulletin.php?id=18312148&amp;type=1", "上投摩根健康品质生活:更新招股说明书（2012年9月）")</f>
        <v>上投摩根健康品质生活:更新招股说明书（2012年9月）</v>
      </c>
      <c r="D757" t="s">
        <v>7447</v>
      </c>
      <c r="E757" t="s">
        <v>5443</v>
      </c>
      <c r="F757" t="s">
        <v>5444</v>
      </c>
    </row>
    <row r="758" spans="1:6" x14ac:dyDescent="0.15">
      <c r="A758" s="1">
        <v>41163</v>
      </c>
      <c r="B758" t="s">
        <v>65</v>
      </c>
      <c r="C758" s="2" t="str">
        <f>HYPERLINK("http://snap.windin.com/ns/bulletin.php?id=2572261&amp;type=1", "永贵电器:首次公开发行股票并在创业板上市招股说明书")</f>
        <v>永贵电器:首次公开发行股票并在创业板上市招股说明书</v>
      </c>
      <c r="D758" t="s">
        <v>1173</v>
      </c>
      <c r="E758" t="s">
        <v>493</v>
      </c>
      <c r="F758" t="s">
        <v>455</v>
      </c>
    </row>
    <row r="759" spans="1:6" x14ac:dyDescent="0.15">
      <c r="A759" s="1">
        <v>41162</v>
      </c>
      <c r="B759" t="s">
        <v>63</v>
      </c>
      <c r="C759" s="2" t="str">
        <f>HYPERLINK("http://snap.windin.com/ns/bulletin.php?id=2571048&amp;type=1", "新疆浩源:首次公开发行股票并上市招股说明书")</f>
        <v>新疆浩源:首次公开发行股票并上市招股说明书</v>
      </c>
      <c r="D759" t="s">
        <v>1179</v>
      </c>
      <c r="E759" t="s">
        <v>491</v>
      </c>
      <c r="F759" t="s">
        <v>469</v>
      </c>
    </row>
    <row r="760" spans="1:6" x14ac:dyDescent="0.15">
      <c r="A760" s="1">
        <v>41162</v>
      </c>
      <c r="B760" t="s">
        <v>62</v>
      </c>
      <c r="C760" s="2" t="str">
        <f>HYPERLINK("http://snap.windin.com/ns/bulletin.php?id=2571040&amp;type=1", "东土科技:首次公开发行股票并在创业板上市招股说明书")</f>
        <v>东土科技:首次公开发行股票并在创业板上市招股说明书</v>
      </c>
      <c r="D760" t="s">
        <v>1178</v>
      </c>
      <c r="E760" t="s">
        <v>490</v>
      </c>
      <c r="F760" t="s">
        <v>455</v>
      </c>
    </row>
    <row r="761" spans="1:6" x14ac:dyDescent="0.15">
      <c r="A761" s="1">
        <v>41159</v>
      </c>
      <c r="B761" t="s">
        <v>3417</v>
      </c>
      <c r="C761" s="2" t="str">
        <f>HYPERLINK("http://snap.windin.com/ns/bulletin.php?id=2569236&amp;type=1", "秦港股份:首次公开发行股票招股说明书（申报稿-补充预披露）")</f>
        <v>秦港股份:首次公开发行股票招股说明书（申报稿-补充预披露）</v>
      </c>
      <c r="D761" t="s">
        <v>7448</v>
      </c>
      <c r="E761" t="s">
        <v>5445</v>
      </c>
      <c r="F761" t="s">
        <v>5435</v>
      </c>
    </row>
    <row r="762" spans="1:6" x14ac:dyDescent="0.15">
      <c r="A762" s="1">
        <v>41159</v>
      </c>
      <c r="B762" t="s">
        <v>3418</v>
      </c>
      <c r="C762" s="2" t="str">
        <f>HYPERLINK("http://snap.windin.com/ns/bulletin.php?id=2569235&amp;type=1", "中节能:首次公开发行股票招股说明书（申报稿-补充预披露）")</f>
        <v>中节能:首次公开发行股票招股说明书（申报稿-补充预披露）</v>
      </c>
      <c r="D762" t="s">
        <v>7449</v>
      </c>
      <c r="E762" t="s">
        <v>5302</v>
      </c>
      <c r="F762" t="s">
        <v>5435</v>
      </c>
    </row>
    <row r="763" spans="1:6" x14ac:dyDescent="0.15">
      <c r="A763" s="1">
        <v>41159</v>
      </c>
      <c r="B763" t="s">
        <v>3419</v>
      </c>
      <c r="C763" s="2" t="str">
        <f>HYPERLINK("http://snap.windin.com/ns/bulletin.php?id=2569234&amp;type=1", "凌丰集团:首次公开发行股票招股说明书（申报稿-补充预披露）")</f>
        <v>凌丰集团:首次公开发行股票招股说明书（申报稿-补充预披露）</v>
      </c>
      <c r="D763" t="s">
        <v>7450</v>
      </c>
      <c r="E763" t="s">
        <v>5446</v>
      </c>
      <c r="F763" t="s">
        <v>5435</v>
      </c>
    </row>
    <row r="764" spans="1:6" x14ac:dyDescent="0.15">
      <c r="A764" s="1">
        <v>41159</v>
      </c>
      <c r="B764" t="s">
        <v>64</v>
      </c>
      <c r="C764" s="2" t="str">
        <f>HYPERLINK("http://snap.windin.com/ns/bulletin.php?id=2569166&amp;type=1", "东华测试:首次公开发行股票并在创业板上市招股说明书")</f>
        <v>东华测试:首次公开发行股票并在创业板上市招股说明书</v>
      </c>
      <c r="D764" t="s">
        <v>1183</v>
      </c>
      <c r="E764" t="s">
        <v>492</v>
      </c>
      <c r="F764" t="s">
        <v>455</v>
      </c>
    </row>
    <row r="765" spans="1:6" x14ac:dyDescent="0.15">
      <c r="A765" s="1">
        <v>41157</v>
      </c>
      <c r="B765" t="s">
        <v>69</v>
      </c>
      <c r="C765" s="2" t="str">
        <f>HYPERLINK("http://snap.windin.com/ns/bulletin.php?id=2565222&amp;type=1", "渤海轮渡:首次公开发行A股股票招股说明书")</f>
        <v>渤海轮渡:首次公开发行A股股票招股说明书</v>
      </c>
      <c r="D765" t="s">
        <v>1185</v>
      </c>
      <c r="E765" t="s">
        <v>499</v>
      </c>
      <c r="F765" t="s">
        <v>462</v>
      </c>
    </row>
    <row r="766" spans="1:6" x14ac:dyDescent="0.15">
      <c r="A766" s="1">
        <v>41155</v>
      </c>
      <c r="B766" t="s">
        <v>66</v>
      </c>
      <c r="C766" s="2" t="str">
        <f>HYPERLINK("http://snap.windin.com/ns/bulletin.php?id=2518551&amp;type=1", "北信源:首次公开发行股票并在创业板上市招股说明书")</f>
        <v>北信源:首次公开发行股票并在创业板上市招股说明书</v>
      </c>
      <c r="D766" t="s">
        <v>1189</v>
      </c>
      <c r="E766" t="s">
        <v>494</v>
      </c>
      <c r="F766" t="s">
        <v>455</v>
      </c>
    </row>
    <row r="767" spans="1:6" x14ac:dyDescent="0.15">
      <c r="A767" s="1">
        <v>41155</v>
      </c>
      <c r="B767" t="s">
        <v>3420</v>
      </c>
      <c r="C767" s="2" t="str">
        <f>HYPERLINK("http://snap.windin.com/ns/bulletin.php?id=2520728&amp;type=1", "可立克:首次公开发行股票招股说明书（申报稿-补充预披露）")</f>
        <v>可立克:首次公开发行股票招股说明书（申报稿-补充预披露）</v>
      </c>
      <c r="D767" t="s">
        <v>7451</v>
      </c>
      <c r="E767" t="s">
        <v>4778</v>
      </c>
      <c r="F767" t="s">
        <v>5435</v>
      </c>
    </row>
    <row r="768" spans="1:6" x14ac:dyDescent="0.15">
      <c r="A768" s="1">
        <v>41152</v>
      </c>
      <c r="B768" t="s">
        <v>3421</v>
      </c>
      <c r="C768" s="2" t="str">
        <f>HYPERLINK("http://snap.windin.com/ns/bulletin.php?id=2518386&amp;type=1", "艾华集团:首次公开发行股票招股说明书（申报稿-补充预披露）")</f>
        <v>艾华集团:首次公开发行股票招股说明书（申报稿-补充预披露）</v>
      </c>
      <c r="D768" t="s">
        <v>7452</v>
      </c>
      <c r="E768" t="s">
        <v>4684</v>
      </c>
      <c r="F768" t="s">
        <v>5435</v>
      </c>
    </row>
    <row r="769" spans="1:6" x14ac:dyDescent="0.15">
      <c r="A769" s="1">
        <v>41152</v>
      </c>
      <c r="B769" t="s">
        <v>3422</v>
      </c>
      <c r="C769" s="2" t="str">
        <f>HYPERLINK("http://snap.windin.com/ns/bulletin.php?id=2518385&amp;type=1", "浙旅股份:首次公开发行股票招股说明书（申报稿-补充预披露）")</f>
        <v>浙旅股份:首次公开发行股票招股说明书（申报稿-补充预披露）</v>
      </c>
      <c r="D769" t="s">
        <v>7453</v>
      </c>
      <c r="E769" t="s">
        <v>5447</v>
      </c>
      <c r="F769" t="s">
        <v>5435</v>
      </c>
    </row>
    <row r="770" spans="1:6" x14ac:dyDescent="0.15">
      <c r="A770" s="1">
        <v>41152</v>
      </c>
      <c r="B770" t="s">
        <v>3423</v>
      </c>
      <c r="C770" s="2" t="str">
        <f>HYPERLINK("http://snap.windin.com/ns/bulletin.php?id=2518384&amp;type=1", "洁华股份:首次公开发行股票招股说明书（申报稿-补充预披露）")</f>
        <v>洁华股份:首次公开发行股票招股说明书（申报稿-补充预披露）</v>
      </c>
      <c r="D770" t="s">
        <v>7454</v>
      </c>
      <c r="E770" t="s">
        <v>5448</v>
      </c>
      <c r="F770" t="s">
        <v>5435</v>
      </c>
    </row>
    <row r="771" spans="1:6" x14ac:dyDescent="0.15">
      <c r="A771" s="1">
        <v>41152</v>
      </c>
      <c r="B771" t="s">
        <v>3424</v>
      </c>
      <c r="C771" s="2" t="str">
        <f>HYPERLINK("http://snap.windin.com/ns/bulletin.php?id=2518383&amp;type=1", "博浩生物:首次公开发行股票招股说明书（申报稿-补充预披露）")</f>
        <v>博浩生物:首次公开发行股票招股说明书（申报稿-补充预披露）</v>
      </c>
      <c r="D771" t="s">
        <v>7455</v>
      </c>
      <c r="E771" t="s">
        <v>5449</v>
      </c>
      <c r="F771" t="s">
        <v>5435</v>
      </c>
    </row>
    <row r="772" spans="1:6" x14ac:dyDescent="0.15">
      <c r="A772" s="1">
        <v>41152</v>
      </c>
      <c r="B772" t="s">
        <v>68</v>
      </c>
      <c r="C772" s="2" t="str">
        <f>HYPERLINK("http://snap.windin.com/ns/bulletin.php?id=2499382&amp;type=1", "博实股份:首次公开发行股票招股说明书")</f>
        <v>博实股份:首次公开发行股票招股说明书</v>
      </c>
      <c r="D772" t="s">
        <v>1196</v>
      </c>
      <c r="E772" t="s">
        <v>498</v>
      </c>
      <c r="F772" t="s">
        <v>399</v>
      </c>
    </row>
    <row r="773" spans="1:6" x14ac:dyDescent="0.15">
      <c r="A773" s="1">
        <v>41152</v>
      </c>
      <c r="B773" t="s">
        <v>67</v>
      </c>
      <c r="C773" s="2" t="str">
        <f>HYPERLINK("http://snap.windin.com/ns/bulletin.php?id=2496870&amp;type=1", "美盛文化:首次公开发行股票招股说明书")</f>
        <v>美盛文化:首次公开发行股票招股说明书</v>
      </c>
      <c r="D773" t="s">
        <v>1194</v>
      </c>
      <c r="E773" t="s">
        <v>497</v>
      </c>
      <c r="F773" t="s">
        <v>399</v>
      </c>
    </row>
    <row r="774" spans="1:6" x14ac:dyDescent="0.15">
      <c r="A774" s="1">
        <v>41149</v>
      </c>
      <c r="B774" t="s">
        <v>3407</v>
      </c>
      <c r="C774" s="2" t="str">
        <f>HYPERLINK("http://snap.windin.com/ns/bulletin.php?id=2446746&amp;type=1", "会稽山:首次公开发行股票招股说明书（申报稿-补充预披露）")</f>
        <v>会稽山:首次公开发行股票招股说明书（申报稿-补充预披露）</v>
      </c>
      <c r="D774" t="s">
        <v>7456</v>
      </c>
      <c r="E774" t="s">
        <v>4650</v>
      </c>
      <c r="F774" t="s">
        <v>5435</v>
      </c>
    </row>
    <row r="775" spans="1:6" x14ac:dyDescent="0.15">
      <c r="A775" s="1">
        <v>41149</v>
      </c>
      <c r="B775" t="s">
        <v>3425</v>
      </c>
      <c r="C775" s="2" t="str">
        <f>HYPERLINK("http://snap.windin.com/ns/bulletin.php?id=2446745&amp;type=1", "世龙实业:首次公开发行股票招股说明书（申报稿-补充预披露）")</f>
        <v>世龙实业:首次公开发行股票招股说明书（申报稿-补充预披露）</v>
      </c>
      <c r="D775" t="s">
        <v>7457</v>
      </c>
      <c r="E775" t="s">
        <v>4786</v>
      </c>
      <c r="F775" t="s">
        <v>5435</v>
      </c>
    </row>
    <row r="776" spans="1:6" x14ac:dyDescent="0.15">
      <c r="A776" s="1">
        <v>41148</v>
      </c>
      <c r="B776" t="s">
        <v>72</v>
      </c>
      <c r="C776" s="2" t="str">
        <f>HYPERLINK("http://snap.windin.com/ns/bulletin.php?id=2403100&amp;type=1", "红旗连锁:首次公开发行股票招股说明书")</f>
        <v>红旗连锁:首次公开发行股票招股说明书</v>
      </c>
      <c r="D776" t="s">
        <v>1201</v>
      </c>
      <c r="E776" t="s">
        <v>502</v>
      </c>
      <c r="F776" t="s">
        <v>399</v>
      </c>
    </row>
    <row r="777" spans="1:6" x14ac:dyDescent="0.15">
      <c r="A777" s="1">
        <v>41148</v>
      </c>
      <c r="B777" t="s">
        <v>70</v>
      </c>
      <c r="C777" s="2" t="str">
        <f>HYPERLINK("http://snap.windin.com/ns/bulletin.php?id=2403082&amp;type=1", "煌上煌:首次公开发行股票招股说明书")</f>
        <v>煌上煌:首次公开发行股票招股说明书</v>
      </c>
      <c r="D777" t="s">
        <v>1203</v>
      </c>
      <c r="E777" t="s">
        <v>500</v>
      </c>
      <c r="F777" t="s">
        <v>399</v>
      </c>
    </row>
    <row r="778" spans="1:6" x14ac:dyDescent="0.15">
      <c r="A778" s="1">
        <v>41145</v>
      </c>
      <c r="B778" t="s">
        <v>71</v>
      </c>
      <c r="C778" s="2" t="str">
        <f>HYPERLINK("http://snap.windin.com/ns/bulletin.php?id=2348164&amp;type=1", "百洋股份:首次公开发行股票招股说明书")</f>
        <v>百洋股份:首次公开发行股票招股说明书</v>
      </c>
      <c r="D778" t="s">
        <v>1209</v>
      </c>
      <c r="E778" t="s">
        <v>501</v>
      </c>
      <c r="F778" t="s">
        <v>399</v>
      </c>
    </row>
    <row r="779" spans="1:6" x14ac:dyDescent="0.15">
      <c r="A779" s="1">
        <v>41144</v>
      </c>
      <c r="B779" t="s">
        <v>73</v>
      </c>
      <c r="C779" s="2" t="str">
        <f>HYPERLINK("http://snap.windin.com/ns/bulletin.php?id=2308498&amp;type=1", "新华龙:首次公开发行股票招股说明书")</f>
        <v>新华龙:首次公开发行股票招股说明书</v>
      </c>
      <c r="D779" t="s">
        <v>1212</v>
      </c>
      <c r="E779" t="s">
        <v>503</v>
      </c>
      <c r="F779" t="s">
        <v>399</v>
      </c>
    </row>
    <row r="780" spans="1:6" x14ac:dyDescent="0.15">
      <c r="A780" s="1">
        <v>41144</v>
      </c>
      <c r="B780" t="s">
        <v>3426</v>
      </c>
      <c r="C780" s="2" t="str">
        <f>HYPERLINK("http://snap.windin.com/ns/bulletin.php?id=2370898&amp;type=1", "崇达技术:首次公开发行股票招股说明书（申报稿-补充预披露）")</f>
        <v>崇达技术:首次公开发行股票招股说明书（申报稿-补充预披露）</v>
      </c>
      <c r="D780" t="s">
        <v>7458</v>
      </c>
      <c r="E780" t="s">
        <v>5058</v>
      </c>
      <c r="F780" t="s">
        <v>5435</v>
      </c>
    </row>
    <row r="781" spans="1:6" x14ac:dyDescent="0.15">
      <c r="A781" s="1">
        <v>41144</v>
      </c>
      <c r="B781" t="s">
        <v>3427</v>
      </c>
      <c r="C781" s="2" t="str">
        <f>HYPERLINK("http://snap.windin.com/ns/bulletin.php?id=2354452&amp;type=1", "龙大肉食:首次公开发行股票招股说明书（申报稿-补充预披露）")</f>
        <v>龙大肉食:首次公开发行股票招股说明书（申报稿-补充预披露）</v>
      </c>
      <c r="D781" t="s">
        <v>7459</v>
      </c>
      <c r="E781" t="s">
        <v>4862</v>
      </c>
      <c r="F781" t="s">
        <v>5435</v>
      </c>
    </row>
    <row r="782" spans="1:6" x14ac:dyDescent="0.15">
      <c r="A782" s="1">
        <v>41144</v>
      </c>
      <c r="B782" t="s">
        <v>3428</v>
      </c>
      <c r="C782" s="2" t="str">
        <f>HYPERLINK("http://snap.windin.com/ns/bulletin.php?id=2354451&amp;type=1", "依顿科技:首次公开发行股票招股说明书(申报稿-补充预披露)")</f>
        <v>依顿科技:首次公开发行股票招股说明书(申报稿-补充预披露)</v>
      </c>
      <c r="D782" t="s">
        <v>7460</v>
      </c>
      <c r="E782" t="s">
        <v>5388</v>
      </c>
      <c r="F782" t="s">
        <v>5438</v>
      </c>
    </row>
    <row r="783" spans="1:6" x14ac:dyDescent="0.15">
      <c r="A783" s="1">
        <v>41144</v>
      </c>
      <c r="B783" t="s">
        <v>3429</v>
      </c>
      <c r="C783" s="2" t="str">
        <f>HYPERLINK("http://snap.windin.com/ns/bulletin.php?id=2354450&amp;type=1", "普莱柯:首次公开发行股票招股说明书（申报稿-补充预披露）")</f>
        <v>普莱柯:首次公开发行股票招股说明书（申报稿-补充预披露）</v>
      </c>
      <c r="D783" t="s">
        <v>7461</v>
      </c>
      <c r="E783" t="s">
        <v>4678</v>
      </c>
      <c r="F783" t="s">
        <v>5435</v>
      </c>
    </row>
    <row r="784" spans="1:6" x14ac:dyDescent="0.15">
      <c r="A784" s="1">
        <v>41144</v>
      </c>
      <c r="B784" t="s">
        <v>2941</v>
      </c>
      <c r="C784" s="2" t="str">
        <f>HYPERLINK("http://snap.windin.com/ns/bulletin.php?id=58754264&amp;type=1", "龙大肉食:首次公开发行股票招股说明书(申报稿-补充预披露)")</f>
        <v>龙大肉食:首次公开发行股票招股说明书(申报稿-补充预披露)</v>
      </c>
      <c r="D784" t="s">
        <v>7462</v>
      </c>
      <c r="E784" t="s">
        <v>4862</v>
      </c>
      <c r="F784" t="s">
        <v>5438</v>
      </c>
    </row>
    <row r="785" spans="1:6" x14ac:dyDescent="0.15">
      <c r="A785" s="1">
        <v>41144</v>
      </c>
      <c r="B785" t="s">
        <v>2941</v>
      </c>
      <c r="C785" s="2" t="str">
        <f>HYPERLINK("http://snap.windin.com/ns/bulletin.php?id=58754266&amp;type=1", "龙大肉食:首次公开发行股票招股说明书(申报稿-补充预披露)")</f>
        <v>龙大肉食:首次公开发行股票招股说明书(申报稿-补充预披露)</v>
      </c>
      <c r="D785" t="s">
        <v>7463</v>
      </c>
      <c r="E785" t="s">
        <v>4862</v>
      </c>
      <c r="F785" t="s">
        <v>5438</v>
      </c>
    </row>
    <row r="786" spans="1:6" x14ac:dyDescent="0.15">
      <c r="A786" s="1">
        <v>41138</v>
      </c>
      <c r="B786" t="s">
        <v>3430</v>
      </c>
      <c r="C786" s="2" t="str">
        <f>HYPERLINK("http://snap.windin.com/ns/bulletin.php?id=2243092&amp;type=1", "重庆燃气:首次公开发行股票招股说明书（申报稿-补充预披露）")</f>
        <v>重庆燃气:首次公开发行股票招股说明书（申报稿-补充预披露）</v>
      </c>
      <c r="D786" t="s">
        <v>7464</v>
      </c>
      <c r="E786" t="s">
        <v>5105</v>
      </c>
      <c r="F786" t="s">
        <v>5435</v>
      </c>
    </row>
    <row r="787" spans="1:6" x14ac:dyDescent="0.15">
      <c r="A787" s="1">
        <v>41138</v>
      </c>
      <c r="B787" t="s">
        <v>3431</v>
      </c>
      <c r="C787" s="2" t="str">
        <f>HYPERLINK("http://snap.windin.com/ns/bulletin.php?id=2243684&amp;type=1", "台城制药:首次公开发行股票招股说明书（申报稿-补充预披露）")</f>
        <v>台城制药:首次公开发行股票招股说明书（申报稿-补充预披露）</v>
      </c>
      <c r="D787" t="s">
        <v>7465</v>
      </c>
      <c r="E787" t="s">
        <v>4652</v>
      </c>
      <c r="F787" t="s">
        <v>5435</v>
      </c>
    </row>
    <row r="788" spans="1:6" x14ac:dyDescent="0.15">
      <c r="A788" s="1">
        <v>41138</v>
      </c>
      <c r="B788" t="s">
        <v>3128</v>
      </c>
      <c r="C788" s="2" t="str">
        <f>HYPERLINK("http://snap.windin.com/ns/bulletin.php?id=68017274&amp;type=1", "重庆燃气:首次公开发行股票招股说明书(申报稿-补充预披露)")</f>
        <v>重庆燃气:首次公开发行股票招股说明书(申报稿-补充预披露)</v>
      </c>
      <c r="D788" t="s">
        <v>7466</v>
      </c>
      <c r="E788" t="s">
        <v>5105</v>
      </c>
      <c r="F788" t="s">
        <v>5438</v>
      </c>
    </row>
    <row r="789" spans="1:6" x14ac:dyDescent="0.15">
      <c r="A789" s="1">
        <v>41138</v>
      </c>
      <c r="B789" t="s">
        <v>3128</v>
      </c>
      <c r="C789" s="2" t="str">
        <f>HYPERLINK("http://snap.windin.com/ns/bulletin.php?id=68017276&amp;type=1", "重庆燃气:首次公开发行股票招股说明书(申报稿-补充预披露)")</f>
        <v>重庆燃气:首次公开发行股票招股说明书(申报稿-补充预披露)</v>
      </c>
      <c r="D789" t="s">
        <v>7467</v>
      </c>
      <c r="E789" t="s">
        <v>5105</v>
      </c>
      <c r="F789" t="s">
        <v>5438</v>
      </c>
    </row>
    <row r="790" spans="1:6" x14ac:dyDescent="0.15">
      <c r="A790" s="1">
        <v>41137</v>
      </c>
      <c r="B790" t="s">
        <v>77</v>
      </c>
      <c r="C790" s="2" t="str">
        <f>HYPERLINK("http://snap.windin.com/ns/bulletin.php?id=2229437&amp;type=1", "龙宇燃油:首次公开发行股票招股说明书")</f>
        <v>龙宇燃油:首次公开发行股票招股说明书</v>
      </c>
      <c r="D790" t="s">
        <v>1222</v>
      </c>
      <c r="E790" t="s">
        <v>509</v>
      </c>
      <c r="F790" t="s">
        <v>399</v>
      </c>
    </row>
    <row r="791" spans="1:6" x14ac:dyDescent="0.15">
      <c r="A791" s="1">
        <v>41131</v>
      </c>
      <c r="B791" t="s">
        <v>74</v>
      </c>
      <c r="C791" s="2" t="str">
        <f>HYPERLINK("http://snap.windin.com/ns/bulletin.php?id=2211541&amp;type=1", "华鹏飞:首次公开发行股票并在创业板上市招股说明书")</f>
        <v>华鹏飞:首次公开发行股票并在创业板上市招股说明书</v>
      </c>
      <c r="D791" t="s">
        <v>1233</v>
      </c>
      <c r="E791" t="s">
        <v>504</v>
      </c>
      <c r="F791" t="s">
        <v>455</v>
      </c>
    </row>
    <row r="792" spans="1:6" x14ac:dyDescent="0.15">
      <c r="A792" s="1">
        <v>41130</v>
      </c>
      <c r="B792" t="s">
        <v>80</v>
      </c>
      <c r="C792" s="2" t="str">
        <f>HYPERLINK("http://snap.windin.com/ns/bulletin.php?id=2200273&amp;type=1", "隆鑫通用:首次公开发行A股股票招股说明书")</f>
        <v>隆鑫通用:首次公开发行A股股票招股说明书</v>
      </c>
      <c r="D792" t="s">
        <v>1237</v>
      </c>
      <c r="E792" t="s">
        <v>512</v>
      </c>
      <c r="F792" t="s">
        <v>462</v>
      </c>
    </row>
    <row r="793" spans="1:6" x14ac:dyDescent="0.15">
      <c r="A793" s="1">
        <v>41129</v>
      </c>
      <c r="B793" t="s">
        <v>75</v>
      </c>
      <c r="C793" s="2" t="str">
        <f>HYPERLINK("http://snap.windin.com/ns/bulletin.php?id=2199291&amp;type=1", "金卡股份:首次公开发行股票并在创业板上市招股说明书")</f>
        <v>金卡股份:首次公开发行股票并在创业板上市招股说明书</v>
      </c>
      <c r="D793" t="s">
        <v>1238</v>
      </c>
      <c r="E793" t="s">
        <v>507</v>
      </c>
      <c r="F793" t="s">
        <v>455</v>
      </c>
    </row>
    <row r="794" spans="1:6" x14ac:dyDescent="0.15">
      <c r="A794" s="1">
        <v>41128</v>
      </c>
      <c r="B794" t="s">
        <v>76</v>
      </c>
      <c r="C794" s="2" t="str">
        <f>HYPERLINK("http://snap.windin.com/ns/bulletin.php?id=2197855&amp;type=1", "长亮科技:首次公开发行股票并在创业板上市招股说明书")</f>
        <v>长亮科技:首次公开发行股票并在创业板上市招股说明书</v>
      </c>
      <c r="D794" t="s">
        <v>1241</v>
      </c>
      <c r="E794" t="s">
        <v>508</v>
      </c>
      <c r="F794" t="s">
        <v>455</v>
      </c>
    </row>
    <row r="795" spans="1:6" x14ac:dyDescent="0.15">
      <c r="A795" s="1">
        <v>41128</v>
      </c>
      <c r="B795" t="s">
        <v>81</v>
      </c>
      <c r="C795" s="2" t="str">
        <f>HYPERLINK("http://snap.windin.com/ns/bulletin.php?id=2197746&amp;type=1", "一拖股份:首次公开发行A股股票招股说明书")</f>
        <v>一拖股份:首次公开发行A股股票招股说明书</v>
      </c>
      <c r="D795" t="s">
        <v>1240</v>
      </c>
      <c r="E795" t="s">
        <v>513</v>
      </c>
      <c r="F795" t="s">
        <v>462</v>
      </c>
    </row>
    <row r="796" spans="1:6" x14ac:dyDescent="0.15">
      <c r="A796" s="1">
        <v>41128</v>
      </c>
      <c r="B796" t="s">
        <v>79</v>
      </c>
      <c r="C796" s="2" t="str">
        <f>HYPERLINK("http://snap.windin.com/ns/bulletin.php?id=2197639&amp;type=1", "顾地科技:首次公开发行股票招股说明书")</f>
        <v>顾地科技:首次公开发行股票招股说明书</v>
      </c>
      <c r="D796" t="s">
        <v>1242</v>
      </c>
      <c r="E796" t="s">
        <v>511</v>
      </c>
      <c r="F796" t="s">
        <v>399</v>
      </c>
    </row>
    <row r="797" spans="1:6" x14ac:dyDescent="0.15">
      <c r="A797" s="1">
        <v>41127</v>
      </c>
      <c r="B797" t="s">
        <v>78</v>
      </c>
      <c r="C797" s="2" t="str">
        <f>HYPERLINK("http://snap.windin.com/ns/bulletin.php?id=2195751&amp;type=1", "泰格医药:首次公开发行股票并在创业板上市招股说明书")</f>
        <v>泰格医药:首次公开发行股票并在创业板上市招股说明书</v>
      </c>
      <c r="D797" t="s">
        <v>1246</v>
      </c>
      <c r="E797" t="s">
        <v>510</v>
      </c>
      <c r="F797" t="s">
        <v>455</v>
      </c>
    </row>
    <row r="798" spans="1:6" x14ac:dyDescent="0.15">
      <c r="A798" s="1">
        <v>41120</v>
      </c>
      <c r="B798" t="s">
        <v>88</v>
      </c>
      <c r="C798" s="2" t="str">
        <f>HYPERLINK("http://snap.windin.com/ns/bulletin.php?id=129948&amp;type=1", "和邦股份:首次公开发行股票招股说明书")</f>
        <v>和邦股份:首次公开发行股票招股说明书</v>
      </c>
      <c r="D798" t="s">
        <v>1265</v>
      </c>
      <c r="E798" t="s">
        <v>524</v>
      </c>
      <c r="F798" t="s">
        <v>399</v>
      </c>
    </row>
    <row r="799" spans="1:6" x14ac:dyDescent="0.15">
      <c r="A799" s="1">
        <v>41120</v>
      </c>
      <c r="B799" t="s">
        <v>82</v>
      </c>
      <c r="C799" s="2" t="str">
        <f>HYPERLINK("http://snap.windin.com/ns/bulletin.php?id=1014144&amp;type=1", "双成药业:首次公开发行股票招股说明书")</f>
        <v>双成药业:首次公开发行股票招股说明书</v>
      </c>
      <c r="D799" t="s">
        <v>1267</v>
      </c>
      <c r="E799" t="s">
        <v>514</v>
      </c>
      <c r="F799" t="s">
        <v>399</v>
      </c>
    </row>
    <row r="800" spans="1:6" x14ac:dyDescent="0.15">
      <c r="A800" s="1">
        <v>41117</v>
      </c>
      <c r="B800" t="s">
        <v>83</v>
      </c>
      <c r="C800" s="2" t="str">
        <f>HYPERLINK("http://snap.windin.com/ns/bulletin.php?id=1436578&amp;type=1", "远程电缆:首次公开发行股票招股说明书")</f>
        <v>远程电缆:首次公开发行股票招股说明书</v>
      </c>
      <c r="D800" t="s">
        <v>1277</v>
      </c>
      <c r="E800" t="s">
        <v>515</v>
      </c>
      <c r="F800" t="s">
        <v>399</v>
      </c>
    </row>
    <row r="801" spans="1:6" x14ac:dyDescent="0.15">
      <c r="A801" s="1">
        <v>41117</v>
      </c>
      <c r="B801" t="s">
        <v>84</v>
      </c>
      <c r="C801" s="2" t="str">
        <f>HYPERLINK("http://snap.windin.com/ns/bulletin.php?id=1109385&amp;type=1", "南大光电:首次公开发行股票并在创业板上市招股说明书")</f>
        <v>南大光电:首次公开发行股票并在创业板上市招股说明书</v>
      </c>
      <c r="D801" t="s">
        <v>1274</v>
      </c>
      <c r="E801" t="s">
        <v>516</v>
      </c>
      <c r="F801" t="s">
        <v>455</v>
      </c>
    </row>
    <row r="802" spans="1:6" x14ac:dyDescent="0.15">
      <c r="A802" s="1">
        <v>41113</v>
      </c>
      <c r="B802" t="s">
        <v>85</v>
      </c>
      <c r="C802" s="2" t="str">
        <f>HYPERLINK("http://snap.windin.com/ns/bulletin.php?id=210296&amp;type=1", "红宇新材:首次公开发行股票并在创业板上市招股说明书")</f>
        <v>红宇新材:首次公开发行股票并在创业板上市招股说明书</v>
      </c>
      <c r="D802" t="s">
        <v>1293</v>
      </c>
      <c r="E802" t="s">
        <v>517</v>
      </c>
      <c r="F802" t="s">
        <v>455</v>
      </c>
    </row>
    <row r="803" spans="1:6" x14ac:dyDescent="0.15">
      <c r="A803" s="1">
        <v>41110</v>
      </c>
      <c r="B803" t="s">
        <v>89</v>
      </c>
      <c r="C803" s="2" t="str">
        <f>HYPERLINK("http://snap.windin.com/ns/bulletin.php?id=2029251&amp;type=1", "石煤装备:首次公开发行股票招股说明书")</f>
        <v>石煤装备:首次公开发行股票招股说明书</v>
      </c>
      <c r="D803" t="s">
        <v>1297</v>
      </c>
      <c r="E803" t="s">
        <v>525</v>
      </c>
      <c r="F803" t="s">
        <v>399</v>
      </c>
    </row>
    <row r="804" spans="1:6" x14ac:dyDescent="0.15">
      <c r="A804" s="1">
        <v>41109</v>
      </c>
      <c r="B804" t="s">
        <v>90</v>
      </c>
      <c r="C804" s="2" t="str">
        <f>HYPERLINK("http://snap.windin.com/ns/bulletin.php?id=2007197&amp;type=1", "美亚光电:首次公开发行股票招股说明书")</f>
        <v>美亚光电:首次公开发行股票招股说明书</v>
      </c>
      <c r="D804" t="s">
        <v>1301</v>
      </c>
      <c r="E804" t="s">
        <v>526</v>
      </c>
      <c r="F804" t="s">
        <v>399</v>
      </c>
    </row>
    <row r="805" spans="1:6" x14ac:dyDescent="0.15">
      <c r="A805" s="1">
        <v>41109</v>
      </c>
      <c r="B805" t="s">
        <v>87</v>
      </c>
      <c r="C805" s="2" t="str">
        <f>HYPERLINK("http://snap.windin.com/ns/bulletin.php?id=1918090&amp;type=1", "太空板业:首次公开发行股票并在创业板上市招股说明书")</f>
        <v>太空板业:首次公开发行股票并在创业板上市招股说明书</v>
      </c>
      <c r="D805" t="s">
        <v>1299</v>
      </c>
      <c r="E805" t="s">
        <v>519</v>
      </c>
      <c r="F805" t="s">
        <v>455</v>
      </c>
    </row>
    <row r="806" spans="1:6" x14ac:dyDescent="0.15">
      <c r="A806" s="1">
        <v>41109</v>
      </c>
      <c r="B806" t="s">
        <v>86</v>
      </c>
      <c r="C806" s="2" t="str">
        <f>HYPERLINK("http://snap.windin.com/ns/bulletin.php?id=806729&amp;type=1", "联创节能:首次公开发行股票并在创业板上市招股说明书")</f>
        <v>联创节能:首次公开发行股票并在创业板上市招股说明书</v>
      </c>
      <c r="D806" t="s">
        <v>1300</v>
      </c>
      <c r="E806" t="s">
        <v>518</v>
      </c>
      <c r="F806" t="s">
        <v>455</v>
      </c>
    </row>
    <row r="807" spans="1:6" x14ac:dyDescent="0.15">
      <c r="A807" s="1">
        <v>41107</v>
      </c>
      <c r="B807" t="s">
        <v>92</v>
      </c>
      <c r="C807" s="2" t="str">
        <f>HYPERLINK("http://snap.windin.com/ns/bulletin.php?id=683482&amp;type=1", "开元仪器:首次公开发行股票并在创业板上市招股说明书")</f>
        <v>开元仪器:首次公开发行股票并在创业板上市招股说明书</v>
      </c>
      <c r="D807" t="s">
        <v>1305</v>
      </c>
      <c r="E807" t="s">
        <v>528</v>
      </c>
      <c r="F807" t="s">
        <v>455</v>
      </c>
    </row>
    <row r="808" spans="1:6" x14ac:dyDescent="0.15">
      <c r="A808" s="1">
        <v>41106</v>
      </c>
      <c r="B808" t="s">
        <v>93</v>
      </c>
      <c r="C808" s="2" t="str">
        <f>HYPERLINK("http://snap.windin.com/ns/bulletin.php?id=1775029&amp;type=1", "麦迪电气:首次公开发行股票并在创业板上市招股说明书")</f>
        <v>麦迪电气:首次公开发行股票并在创业板上市招股说明书</v>
      </c>
      <c r="D808" t="s">
        <v>1314</v>
      </c>
      <c r="E808" t="s">
        <v>529</v>
      </c>
      <c r="F808" t="s">
        <v>455</v>
      </c>
    </row>
    <row r="809" spans="1:6" x14ac:dyDescent="0.15">
      <c r="A809" s="1">
        <v>41106</v>
      </c>
      <c r="B809" t="s">
        <v>3432</v>
      </c>
      <c r="C809" s="2" t="str">
        <f>HYPERLINK("http://snap.windin.com/ns/bulletin.php?id=1219262&amp;type=1", "永祥粮机:创业板首发招股说明书（申报稿）")</f>
        <v>永祥粮机:创业板首发招股说明书（申报稿）</v>
      </c>
      <c r="D809" t="s">
        <v>7468</v>
      </c>
      <c r="E809" t="s">
        <v>5328</v>
      </c>
      <c r="F809" t="s">
        <v>5450</v>
      </c>
    </row>
    <row r="810" spans="1:6" x14ac:dyDescent="0.15">
      <c r="A810" s="1">
        <v>41106</v>
      </c>
      <c r="B810" t="s">
        <v>3412</v>
      </c>
      <c r="C810" s="2" t="str">
        <f>HYPERLINK("http://snap.windin.com/ns/bulletin.php?id=1312396&amp;type=1", "中矿环保:创业板首发招股说明书（申报稿）")</f>
        <v>中矿环保:创业板首发招股说明书（申报稿）</v>
      </c>
      <c r="D810" t="s">
        <v>7469</v>
      </c>
      <c r="E810" t="s">
        <v>5441</v>
      </c>
      <c r="F810" t="s">
        <v>5450</v>
      </c>
    </row>
    <row r="811" spans="1:6" x14ac:dyDescent="0.15">
      <c r="A811" s="1">
        <v>41106</v>
      </c>
      <c r="B811" t="s">
        <v>97</v>
      </c>
      <c r="C811" s="2" t="str">
        <f>HYPERLINK("http://snap.windin.com/ns/bulletin.php?id=1362305&amp;type=1", "喜临门:首次公开发行A股股票招股说明书")</f>
        <v>喜临门:首次公开发行A股股票招股说明书</v>
      </c>
      <c r="D811" t="s">
        <v>1309</v>
      </c>
      <c r="E811" t="s">
        <v>534</v>
      </c>
      <c r="F811" t="s">
        <v>462</v>
      </c>
    </row>
    <row r="812" spans="1:6" x14ac:dyDescent="0.15">
      <c r="A812" s="1">
        <v>41106</v>
      </c>
      <c r="B812" t="s">
        <v>3411</v>
      </c>
      <c r="C812" s="2" t="str">
        <f>HYPERLINK("http://snap.windin.com/ns/bulletin.php?id=1919800&amp;type=1", "昊海生科:创业板首发招股说明书（申报稿）")</f>
        <v>昊海生科:创业板首发招股说明书（申报稿）</v>
      </c>
      <c r="D812" t="s">
        <v>7470</v>
      </c>
      <c r="E812" t="s">
        <v>5439</v>
      </c>
      <c r="F812" t="s">
        <v>5450</v>
      </c>
    </row>
    <row r="813" spans="1:6" x14ac:dyDescent="0.15">
      <c r="A813" s="1">
        <v>41106</v>
      </c>
      <c r="B813" t="s">
        <v>94</v>
      </c>
      <c r="C813" s="2" t="str">
        <f>HYPERLINK("http://snap.windin.com/ns/bulletin.php?id=1479096&amp;type=1", "天银机电:首次公开发行股票并在创业板上市招股说明书")</f>
        <v>天银机电:首次公开发行股票并在创业板上市招股说明书</v>
      </c>
      <c r="D813" t="s">
        <v>1313</v>
      </c>
      <c r="E813" t="s">
        <v>530</v>
      </c>
      <c r="F813" t="s">
        <v>455</v>
      </c>
    </row>
    <row r="814" spans="1:6" x14ac:dyDescent="0.15">
      <c r="A814" s="1">
        <v>41106</v>
      </c>
      <c r="B814" t="s">
        <v>3433</v>
      </c>
      <c r="C814" s="2" t="str">
        <f>HYPERLINK("http://snap.windin.com/ns/bulletin.php?id=1517905&amp;type=1", "未来国际:创业板首发招股说明书（申报稿）")</f>
        <v>未来国际:创业板首发招股说明书（申报稿）</v>
      </c>
      <c r="D814" t="s">
        <v>7471</v>
      </c>
      <c r="E814" t="s">
        <v>5451</v>
      </c>
      <c r="F814" t="s">
        <v>5450</v>
      </c>
    </row>
    <row r="815" spans="1:6" x14ac:dyDescent="0.15">
      <c r="A815" s="1">
        <v>41103</v>
      </c>
      <c r="B815" t="s">
        <v>3434</v>
      </c>
      <c r="C815" s="2" t="str">
        <f>HYPERLINK("http://snap.windin.com/ns/bulletin.php?id=1238627&amp;type=1", "长白山:首次公开发行股票招股说明书（申报稿）")</f>
        <v>长白山:首次公开发行股票招股说明书（申报稿）</v>
      </c>
      <c r="D815" t="s">
        <v>7472</v>
      </c>
      <c r="E815" t="s">
        <v>4654</v>
      </c>
      <c r="F815" t="s">
        <v>5452</v>
      </c>
    </row>
    <row r="816" spans="1:6" x14ac:dyDescent="0.15">
      <c r="A816" s="1">
        <v>41103</v>
      </c>
      <c r="B816" t="s">
        <v>91</v>
      </c>
      <c r="C816" s="2" t="str">
        <f>HYPERLINK("http://snap.windin.com/ns/bulletin.php?id=545718&amp;type=1", "科恒股份:首次公开发行股票并在创业板上市招股说明书")</f>
        <v>科恒股份:首次公开发行股票并在创业板上市招股说明书</v>
      </c>
      <c r="D816" t="s">
        <v>1317</v>
      </c>
      <c r="E816" t="s">
        <v>527</v>
      </c>
      <c r="F816" t="s">
        <v>455</v>
      </c>
    </row>
    <row r="817" spans="1:6" x14ac:dyDescent="0.15">
      <c r="A817" s="1">
        <v>41103</v>
      </c>
      <c r="B817" t="s">
        <v>3435</v>
      </c>
      <c r="C817" s="2" t="str">
        <f>HYPERLINK("http://snap.windin.com/ns/bulletin.php?id=1962774&amp;type=1", "浚鑫科技:首次公开发行股票招股说明书（申报稿）")</f>
        <v>浚鑫科技:首次公开发行股票招股说明书（申报稿）</v>
      </c>
      <c r="D817" t="s">
        <v>7473</v>
      </c>
      <c r="E817" t="s">
        <v>5453</v>
      </c>
      <c r="F817" t="s">
        <v>5452</v>
      </c>
    </row>
    <row r="818" spans="1:6" x14ac:dyDescent="0.15">
      <c r="A818" s="1">
        <v>41103</v>
      </c>
      <c r="B818" t="s">
        <v>3436</v>
      </c>
      <c r="C818" s="2" t="str">
        <f>HYPERLINK("http://snap.windin.com/ns/bulletin.php?id=803652&amp;type=1", "康尼机电:首次公开发行股票招股说明书（申报稿）")</f>
        <v>康尼机电:首次公开发行股票招股说明书（申报稿）</v>
      </c>
      <c r="D818" t="s">
        <v>7474</v>
      </c>
      <c r="E818" t="s">
        <v>4655</v>
      </c>
      <c r="F818" t="s">
        <v>5452</v>
      </c>
    </row>
    <row r="819" spans="1:6" x14ac:dyDescent="0.15">
      <c r="A819" s="1">
        <v>41102</v>
      </c>
      <c r="B819" t="s">
        <v>3437</v>
      </c>
      <c r="C819" s="2" t="str">
        <f>HYPERLINK("http://snap.windin.com/ns/bulletin.php?id=1807854&amp;type=1", "天鸟股份:创业板首发招股说明书（申报稿）")</f>
        <v>天鸟股份:创业板首发招股说明书（申报稿）</v>
      </c>
      <c r="D819" t="s">
        <v>7475</v>
      </c>
      <c r="E819" t="s">
        <v>5338</v>
      </c>
      <c r="F819" t="s">
        <v>5450</v>
      </c>
    </row>
    <row r="820" spans="1:6" x14ac:dyDescent="0.15">
      <c r="A820" s="1">
        <v>41101</v>
      </c>
      <c r="B820" t="s">
        <v>3438</v>
      </c>
      <c r="C820" s="2" t="str">
        <f>HYPERLINK("http://snap.windin.com/ns/bulletin.php?id=1696158&amp;type=1", "天华超净:创业板首发招股说明书（申报稿）")</f>
        <v>天华超净:创业板首发招股说明书（申报稿）</v>
      </c>
      <c r="D820" t="s">
        <v>7476</v>
      </c>
      <c r="E820" t="s">
        <v>4651</v>
      </c>
      <c r="F820" t="s">
        <v>5450</v>
      </c>
    </row>
    <row r="821" spans="1:6" x14ac:dyDescent="0.15">
      <c r="A821" s="1">
        <v>41101</v>
      </c>
      <c r="B821" t="s">
        <v>3439</v>
      </c>
      <c r="C821" s="2" t="str">
        <f>HYPERLINK("http://snap.windin.com/ns/bulletin.php?id=1741123&amp;type=1", "泰丰股份:创业板首发招股说明书（申报稿）")</f>
        <v>泰丰股份:创业板首发招股说明书（申报稿）</v>
      </c>
      <c r="D821" t="s">
        <v>7477</v>
      </c>
      <c r="E821" t="s">
        <v>5454</v>
      </c>
      <c r="F821" t="s">
        <v>5450</v>
      </c>
    </row>
    <row r="822" spans="1:6" x14ac:dyDescent="0.15">
      <c r="A822" s="1">
        <v>41099</v>
      </c>
      <c r="B822" t="s">
        <v>95</v>
      </c>
      <c r="C822" s="2" t="str">
        <f>HYPERLINK("http://snap.windin.com/ns/bulletin.php?id=2054567&amp;type=1", "银邦股份:首次公开发行股票并在创业板上市招股说明书")</f>
        <v>银邦股份:首次公开发行股票并在创业板上市招股说明书</v>
      </c>
      <c r="D822" t="s">
        <v>1328</v>
      </c>
      <c r="E822" t="s">
        <v>532</v>
      </c>
      <c r="F822" t="s">
        <v>455</v>
      </c>
    </row>
    <row r="823" spans="1:6" x14ac:dyDescent="0.15">
      <c r="A823" s="1">
        <v>41099</v>
      </c>
      <c r="B823" t="s">
        <v>96</v>
      </c>
      <c r="C823" s="2" t="str">
        <f>HYPERLINK("http://snap.windin.com/ns/bulletin.php?id=911509&amp;type=1", "润和软件:首次公开发行股票并在创业板上市招股说明书")</f>
        <v>润和软件:首次公开发行股票并在创业板上市招股说明书</v>
      </c>
      <c r="D823" t="s">
        <v>1327</v>
      </c>
      <c r="E823" t="s">
        <v>533</v>
      </c>
      <c r="F823" t="s">
        <v>455</v>
      </c>
    </row>
    <row r="824" spans="1:6" x14ac:dyDescent="0.15">
      <c r="A824" s="1">
        <v>41096</v>
      </c>
      <c r="B824" t="s">
        <v>98</v>
      </c>
      <c r="C824" s="2" t="str">
        <f>HYPERLINK("http://snap.windin.com/ns/bulletin.php?id=1617830&amp;type=1", "博林特:首次公开发行股票招股说明书")</f>
        <v>博林特:首次公开发行股票招股说明书</v>
      </c>
      <c r="D824" t="s">
        <v>1338</v>
      </c>
      <c r="E824" t="s">
        <v>535</v>
      </c>
      <c r="F824" t="s">
        <v>399</v>
      </c>
    </row>
    <row r="825" spans="1:6" x14ac:dyDescent="0.15">
      <c r="A825" s="1">
        <v>41096</v>
      </c>
      <c r="B825" t="s">
        <v>3440</v>
      </c>
      <c r="C825" s="2" t="str">
        <f>HYPERLINK("http://snap.windin.com/ns/bulletin.php?id=136036&amp;type=1", "神舟电脑:创业板首发招股说明书（申报稿）")</f>
        <v>神舟电脑:创业板首发招股说明书（申报稿）</v>
      </c>
      <c r="D825" t="s">
        <v>7478</v>
      </c>
      <c r="E825" t="s">
        <v>5455</v>
      </c>
      <c r="F825" t="s">
        <v>5450</v>
      </c>
    </row>
    <row r="826" spans="1:6" x14ac:dyDescent="0.15">
      <c r="A826" s="1">
        <v>41096</v>
      </c>
      <c r="B826" t="s">
        <v>3443</v>
      </c>
      <c r="C826" s="2" t="str">
        <f>HYPERLINK("http://snap.windin.com/ns/bulletin.php?id=1925688&amp;type=1", "康弘药业:首次公开发行股票招股说明书（申报稿）")</f>
        <v>康弘药业:首次公开发行股票招股说明书（申报稿）</v>
      </c>
      <c r="D826" t="s">
        <v>7479</v>
      </c>
      <c r="E826" t="s">
        <v>5033</v>
      </c>
      <c r="F826" t="s">
        <v>5452</v>
      </c>
    </row>
    <row r="827" spans="1:6" x14ac:dyDescent="0.15">
      <c r="A827" s="1">
        <v>41096</v>
      </c>
      <c r="B827" t="s">
        <v>3441</v>
      </c>
      <c r="C827" s="2" t="str">
        <f>HYPERLINK("http://snap.windin.com/ns/bulletin.php?id=1488736&amp;type=1", "华恒焊接:创业板首发招股说明书（申报稿）")</f>
        <v>华恒焊接:创业板首发招股说明书（申报稿）</v>
      </c>
      <c r="D827" t="s">
        <v>7480</v>
      </c>
      <c r="E827" t="s">
        <v>5456</v>
      </c>
      <c r="F827" t="s">
        <v>5450</v>
      </c>
    </row>
    <row r="828" spans="1:6" x14ac:dyDescent="0.15">
      <c r="A828" s="1">
        <v>41096</v>
      </c>
      <c r="B828" t="s">
        <v>3444</v>
      </c>
      <c r="C828" s="2" t="str">
        <f>HYPERLINK("http://snap.windin.com/ns/bulletin.php?id=1536359&amp;type=1", "宏华数码:首次公开发行股票招股说明书（申报稿）")</f>
        <v>宏华数码:首次公开发行股票招股说明书（申报稿）</v>
      </c>
      <c r="D828" t="s">
        <v>7481</v>
      </c>
      <c r="E828" t="s">
        <v>5458</v>
      </c>
      <c r="F828" t="s">
        <v>5452</v>
      </c>
    </row>
    <row r="829" spans="1:6" x14ac:dyDescent="0.15">
      <c r="A829" s="1">
        <v>41096</v>
      </c>
      <c r="B829" t="s">
        <v>3445</v>
      </c>
      <c r="C829" s="2" t="str">
        <f>HYPERLINK("http://snap.windin.com/ns/bulletin.php?id=1047467&amp;type=1", "福莱特:首次公开发行股票招股说明书（申报稿）")</f>
        <v>福莱特:首次公开发行股票招股说明书（申报稿）</v>
      </c>
      <c r="D829" t="s">
        <v>7482</v>
      </c>
      <c r="E829" t="s">
        <v>5459</v>
      </c>
      <c r="F829" t="s">
        <v>5452</v>
      </c>
    </row>
    <row r="830" spans="1:6" x14ac:dyDescent="0.15">
      <c r="A830" s="1">
        <v>41096</v>
      </c>
      <c r="B830" t="s">
        <v>3442</v>
      </c>
      <c r="C830" s="2" t="str">
        <f>HYPERLINK("http://snap.windin.com/ns/bulletin.php?id=1117625&amp;type=1", "富邦科技:创业板首发招股说明书（申报稿）")</f>
        <v>富邦科技:创业板首发招股说明书（申报稿）</v>
      </c>
      <c r="D830" t="s">
        <v>7483</v>
      </c>
      <c r="E830" t="s">
        <v>5457</v>
      </c>
      <c r="F830" t="s">
        <v>5450</v>
      </c>
    </row>
    <row r="831" spans="1:6" x14ac:dyDescent="0.15">
      <c r="A831" s="1">
        <v>41096</v>
      </c>
      <c r="B831" t="s">
        <v>3446</v>
      </c>
      <c r="C831" s="2" t="str">
        <f>HYPERLINK("http://snap.windin.com/ns/bulletin.php?id=800279&amp;type=1", "鼎捷软件:创业板首发招股说明书（申报稿）")</f>
        <v>鼎捷软件:创业板首发招股说明书（申报稿）</v>
      </c>
      <c r="D831" t="s">
        <v>7484</v>
      </c>
      <c r="E831" t="s">
        <v>436</v>
      </c>
      <c r="F831" t="s">
        <v>5450</v>
      </c>
    </row>
    <row r="832" spans="1:6" x14ac:dyDescent="0.15">
      <c r="A832" s="1">
        <v>41096</v>
      </c>
      <c r="B832" t="s">
        <v>3447</v>
      </c>
      <c r="C832" s="2" t="str">
        <f>HYPERLINK("http://snap.windin.com/ns/bulletin.php?id=846764&amp;type=1", "麦杰科技:创业板首发招股说明书（申报稿）")</f>
        <v>麦杰科技:创业板首发招股说明书（申报稿）</v>
      </c>
      <c r="D832" t="s">
        <v>7485</v>
      </c>
      <c r="E832" t="s">
        <v>5460</v>
      </c>
      <c r="F832" t="s">
        <v>5450</v>
      </c>
    </row>
    <row r="833" spans="1:6" x14ac:dyDescent="0.15">
      <c r="A833" s="1">
        <v>41096</v>
      </c>
      <c r="B833" t="s">
        <v>3448</v>
      </c>
      <c r="C833" s="2" t="str">
        <f>HYPERLINK("http://snap.windin.com/ns/bulletin.php?id=780933&amp;type=1", "中国铁物:首次公开发行股票招股说明书（申报稿）")</f>
        <v>中国铁物:首次公开发行股票招股说明书（申报稿）</v>
      </c>
      <c r="D833" t="s">
        <v>7486</v>
      </c>
      <c r="E833" t="s">
        <v>5461</v>
      </c>
      <c r="F833" t="s">
        <v>5452</v>
      </c>
    </row>
    <row r="834" spans="1:6" x14ac:dyDescent="0.15">
      <c r="A834" s="1">
        <v>41096</v>
      </c>
      <c r="B834" t="s">
        <v>34</v>
      </c>
      <c r="C834" s="2" t="str">
        <f>HYPERLINK("http://snap.windin.com/ns/bulletin.php?id=21843452&amp;type=1", "鼎捷软件:创业板首发招股说明书(申报稿)")</f>
        <v>鼎捷软件:创业板首发招股说明书(申报稿)</v>
      </c>
      <c r="D834" t="s">
        <v>7487</v>
      </c>
      <c r="E834" t="s">
        <v>436</v>
      </c>
      <c r="F834" t="s">
        <v>5462</v>
      </c>
    </row>
    <row r="835" spans="1:6" x14ac:dyDescent="0.15">
      <c r="A835" s="1">
        <v>41095</v>
      </c>
      <c r="B835" t="s">
        <v>103</v>
      </c>
      <c r="C835" s="2" t="str">
        <f>HYPERLINK("http://snap.windin.com/ns/bulletin.php?id=1888385&amp;type=1", "中信重工:首次公开发行股票招股说明书")</f>
        <v>中信重工:首次公开发行股票招股说明书</v>
      </c>
      <c r="D835" t="s">
        <v>1341</v>
      </c>
      <c r="E835" t="s">
        <v>540</v>
      </c>
      <c r="F835" t="s">
        <v>399</v>
      </c>
    </row>
    <row r="836" spans="1:6" x14ac:dyDescent="0.15">
      <c r="A836" s="1">
        <v>41095</v>
      </c>
      <c r="B836" t="s">
        <v>3449</v>
      </c>
      <c r="C836" s="2" t="str">
        <f>HYPERLINK("http://snap.windin.com/ns/bulletin.php?id=1968368&amp;type=1", "光维通信:创业板首发招股说明书（申报稿）")</f>
        <v>光维通信:创业板首发招股说明书（申报稿）</v>
      </c>
      <c r="D836" t="s">
        <v>7488</v>
      </c>
      <c r="E836" t="s">
        <v>5463</v>
      </c>
      <c r="F836" t="s">
        <v>5450</v>
      </c>
    </row>
    <row r="837" spans="1:6" x14ac:dyDescent="0.15">
      <c r="A837" s="1">
        <v>41094</v>
      </c>
      <c r="B837" t="s">
        <v>99</v>
      </c>
      <c r="C837" s="2" t="str">
        <f>HYPERLINK("http://snap.windin.com/ns/bulletin.php?id=565972&amp;type=1", "金河生物:首次公开发行股票招股说明书")</f>
        <v>金河生物:首次公开发行股票招股说明书</v>
      </c>
      <c r="D837" t="s">
        <v>1344</v>
      </c>
      <c r="E837" t="s">
        <v>541</v>
      </c>
      <c r="F837" t="s">
        <v>399</v>
      </c>
    </row>
    <row r="838" spans="1:6" x14ac:dyDescent="0.15">
      <c r="A838" s="1">
        <v>41094</v>
      </c>
      <c r="B838" t="s">
        <v>3451</v>
      </c>
      <c r="C838" s="2" t="str">
        <f>HYPERLINK("http://snap.windin.com/ns/bulletin.php?id=1547159&amp;type=1", "科隆精化:创业板首发招股说明书（申报稿）")</f>
        <v>科隆精化:创业板首发招股说明书（申报稿）</v>
      </c>
      <c r="D838" t="s">
        <v>7489</v>
      </c>
      <c r="E838" t="s">
        <v>5465</v>
      </c>
      <c r="F838" t="s">
        <v>5450</v>
      </c>
    </row>
    <row r="839" spans="1:6" x14ac:dyDescent="0.15">
      <c r="A839" s="1">
        <v>41094</v>
      </c>
      <c r="B839" t="s">
        <v>3450</v>
      </c>
      <c r="C839" s="2" t="str">
        <f>HYPERLINK("http://snap.windin.com/ns/bulletin.php?id=1124306&amp;type=1", "鲟龙科技:创业板首发招股说明书（申报稿）")</f>
        <v>鲟龙科技:创业板首发招股说明书（申报稿）</v>
      </c>
      <c r="D839" t="s">
        <v>7490</v>
      </c>
      <c r="E839" t="s">
        <v>5464</v>
      </c>
      <c r="F839" t="s">
        <v>5450</v>
      </c>
    </row>
    <row r="840" spans="1:6" x14ac:dyDescent="0.15">
      <c r="A840" s="1">
        <v>41093</v>
      </c>
      <c r="B840" t="s">
        <v>100</v>
      </c>
      <c r="C840" s="2" t="str">
        <f>HYPERLINK("http://snap.windin.com/ns/bulletin.php?id=88990&amp;type=1", "乔治白:首次公开发行股票招股说明书")</f>
        <v>乔治白:首次公开发行股票招股说明书</v>
      </c>
      <c r="D840" t="s">
        <v>1346</v>
      </c>
      <c r="E840" t="s">
        <v>543</v>
      </c>
      <c r="F840" t="s">
        <v>399</v>
      </c>
    </row>
    <row r="841" spans="1:6" x14ac:dyDescent="0.15">
      <c r="A841" s="1">
        <v>41092</v>
      </c>
      <c r="B841" t="s">
        <v>3452</v>
      </c>
      <c r="C841" s="2" t="str">
        <f>HYPERLINK("http://snap.windin.com/ns/bulletin.php?id=1806346&amp;type=1", "飞天诚信:创业板首发招股说明书（申报稿）")</f>
        <v>飞天诚信:创业板首发招股说明书（申报稿）</v>
      </c>
      <c r="D841" t="s">
        <v>7491</v>
      </c>
      <c r="E841" t="s">
        <v>382</v>
      </c>
      <c r="F841" t="s">
        <v>5450</v>
      </c>
    </row>
    <row r="842" spans="1:6" x14ac:dyDescent="0.15">
      <c r="A842" s="1">
        <v>41090</v>
      </c>
      <c r="B842" t="s">
        <v>38</v>
      </c>
      <c r="C842" s="2" t="str">
        <f>HYPERLINK("http://snap.windin.com/ns/bulletin.php?id=21810640&amp;type=1", "思美传媒:首次公开发行股票招股说明书(申报稿)")</f>
        <v>思美传媒:首次公开发行股票招股说明书(申报稿)</v>
      </c>
      <c r="D842" t="s">
        <v>7492</v>
      </c>
      <c r="E842" t="s">
        <v>442</v>
      </c>
      <c r="F842" t="s">
        <v>5466</v>
      </c>
    </row>
    <row r="843" spans="1:6" x14ac:dyDescent="0.15">
      <c r="A843" s="1">
        <v>41089</v>
      </c>
      <c r="B843" t="s">
        <v>3453</v>
      </c>
      <c r="C843" s="2" t="str">
        <f>HYPERLINK("http://snap.windin.com/ns/bulletin.php?id=1172906&amp;type=1", "伊泰B股:关于刊发H股招股说明书、H股发行价格区间及H股香港公开发售等相关事宜的公告")</f>
        <v>伊泰B股:关于刊发H股招股说明书、H股发行价格区间及H股香港公开发售等相关事宜的公告</v>
      </c>
      <c r="D843" t="s">
        <v>7493</v>
      </c>
      <c r="E843" t="s">
        <v>5467</v>
      </c>
      <c r="F843" t="s">
        <v>873</v>
      </c>
    </row>
    <row r="844" spans="1:6" x14ac:dyDescent="0.15">
      <c r="A844" s="1">
        <v>41089</v>
      </c>
      <c r="B844" t="s">
        <v>3454</v>
      </c>
      <c r="C844" s="2" t="str">
        <f>HYPERLINK("http://snap.windin.com/ns/bulletin.php?id=530989&amp;type=1", "思美传媒:首次公开发行股票招股说明书（申报稿）")</f>
        <v>思美传媒:首次公开发行股票招股说明书（申报稿）</v>
      </c>
      <c r="D844" t="s">
        <v>7494</v>
      </c>
      <c r="E844" t="s">
        <v>442</v>
      </c>
      <c r="F844" t="s">
        <v>5452</v>
      </c>
    </row>
    <row r="845" spans="1:6" x14ac:dyDescent="0.15">
      <c r="A845" s="1">
        <v>41088</v>
      </c>
      <c r="B845" t="s">
        <v>102</v>
      </c>
      <c r="C845" s="2" t="str">
        <f>HYPERLINK("http://snap.windin.com/ns/bulletin.php?id=1593250&amp;type=1", "迪森股份:首次公开发行股票并在创业板上市招股说明书")</f>
        <v>迪森股份:首次公开发行股票并在创业板上市招股说明书</v>
      </c>
      <c r="D845" t="s">
        <v>1356</v>
      </c>
      <c r="E845" t="s">
        <v>539</v>
      </c>
      <c r="F845" t="s">
        <v>455</v>
      </c>
    </row>
    <row r="846" spans="1:6" x14ac:dyDescent="0.15">
      <c r="A846" s="1">
        <v>41087</v>
      </c>
      <c r="B846" t="s">
        <v>101</v>
      </c>
      <c r="C846" s="2" t="str">
        <f>HYPERLINK("http://snap.windin.com/ns/bulletin.php?id=1988691&amp;type=1", "新文化:首次公开发行股票并在创业板上市招股说明书")</f>
        <v>新文化:首次公开发行股票并在创业板上市招股说明书</v>
      </c>
      <c r="D846" t="s">
        <v>1360</v>
      </c>
      <c r="E846" t="s">
        <v>538</v>
      </c>
      <c r="F846" t="s">
        <v>455</v>
      </c>
    </row>
    <row r="847" spans="1:6" x14ac:dyDescent="0.15">
      <c r="A847" s="1">
        <v>41087</v>
      </c>
      <c r="B847" t="s">
        <v>3406</v>
      </c>
      <c r="C847" s="2" t="str">
        <f>HYPERLINK("http://snap.windin.com/ns/bulletin.php?id=2129698&amp;type=1", "相宜本草:首次公开发行股票招股说明书（申报稿）")</f>
        <v>相宜本草:首次公开发行股票招股说明书（申报稿）</v>
      </c>
      <c r="D847" t="s">
        <v>7495</v>
      </c>
      <c r="E847" t="s">
        <v>5434</v>
      </c>
      <c r="F847" t="s">
        <v>5452</v>
      </c>
    </row>
    <row r="848" spans="1:6" x14ac:dyDescent="0.15">
      <c r="A848" s="1">
        <v>41087</v>
      </c>
      <c r="B848" t="s">
        <v>3455</v>
      </c>
      <c r="C848" s="2" t="str">
        <f>HYPERLINK("http://snap.windin.com/ns/bulletin.php?id=825158&amp;type=1", "金逸股份:首次公开发行股票招股说明书（申报稿）")</f>
        <v>金逸股份:首次公开发行股票招股说明书（申报稿）</v>
      </c>
      <c r="D848" t="s">
        <v>7496</v>
      </c>
      <c r="E848" t="s">
        <v>5358</v>
      </c>
      <c r="F848" t="s">
        <v>5452</v>
      </c>
    </row>
    <row r="849" spans="1:6" x14ac:dyDescent="0.15">
      <c r="A849" s="1">
        <v>41087</v>
      </c>
      <c r="B849" t="s">
        <v>3456</v>
      </c>
      <c r="C849" s="2" t="str">
        <f>HYPERLINK("http://snap.windin.com/ns/bulletin.php?id=978006&amp;type=1", "金陵网络:首次公开发行股票并上市招股说明书（申报稿）")</f>
        <v>金陵网络:首次公开发行股票并上市招股说明书（申报稿）</v>
      </c>
      <c r="D849" t="s">
        <v>7497</v>
      </c>
      <c r="E849" t="s">
        <v>5468</v>
      </c>
      <c r="F849" t="s">
        <v>5469</v>
      </c>
    </row>
    <row r="850" spans="1:6" x14ac:dyDescent="0.15">
      <c r="A850" s="1">
        <v>41087</v>
      </c>
      <c r="B850" t="s">
        <v>22</v>
      </c>
      <c r="C850" s="2" t="str">
        <f>HYPERLINK("http://snap.windin.com/ns/bulletin.php?id=21851294&amp;type=1", "溢多利:创业板首发招股说明书(申报稿)")</f>
        <v>溢多利:创业板首发招股说明书(申报稿)</v>
      </c>
      <c r="D850" t="s">
        <v>7498</v>
      </c>
      <c r="E850" t="s">
        <v>421</v>
      </c>
      <c r="F850" t="s">
        <v>5462</v>
      </c>
    </row>
    <row r="851" spans="1:6" x14ac:dyDescent="0.15">
      <c r="A851" s="1">
        <v>41085</v>
      </c>
      <c r="B851" t="s">
        <v>3417</v>
      </c>
      <c r="C851" s="2" t="str">
        <f>HYPERLINK("http://snap.windin.com/ns/bulletin.php?id=1997514&amp;type=1", "秦港股份:首次公开发行股票招股说明书（申报稿）")</f>
        <v>秦港股份:首次公开发行股票招股说明书（申报稿）</v>
      </c>
      <c r="D851" t="s">
        <v>7499</v>
      </c>
      <c r="E851" t="s">
        <v>5445</v>
      </c>
      <c r="F851" t="s">
        <v>5452</v>
      </c>
    </row>
    <row r="852" spans="1:6" x14ac:dyDescent="0.15">
      <c r="A852" s="1">
        <v>41085</v>
      </c>
      <c r="B852" t="s">
        <v>3457</v>
      </c>
      <c r="C852" s="2" t="str">
        <f>HYPERLINK("http://snap.windin.com/ns/bulletin.php?id=414499&amp;type=1", "川仪股份:首次公开发行股票招股说明书（申报稿）")</f>
        <v>川仪股份:首次公开发行股票招股说明书（申报稿）</v>
      </c>
      <c r="D852" t="s">
        <v>7500</v>
      </c>
      <c r="E852" t="s">
        <v>4656</v>
      </c>
      <c r="F852" t="s">
        <v>5452</v>
      </c>
    </row>
    <row r="853" spans="1:6" x14ac:dyDescent="0.15">
      <c r="A853" s="1">
        <v>41085</v>
      </c>
      <c r="B853" t="s">
        <v>3458</v>
      </c>
      <c r="C853" s="2" t="str">
        <f>HYPERLINK("http://snap.windin.com/ns/bulletin.php?id=1926140&amp;type=1", "永兴特钢:首次公开发行股票招股说明书（申报稿）")</f>
        <v>永兴特钢:首次公开发行股票招股说明书（申报稿）</v>
      </c>
      <c r="D853" t="s">
        <v>7501</v>
      </c>
      <c r="E853" t="s">
        <v>4682</v>
      </c>
      <c r="F853" t="s">
        <v>5452</v>
      </c>
    </row>
    <row r="854" spans="1:6" x14ac:dyDescent="0.15">
      <c r="A854" s="1">
        <v>41081</v>
      </c>
      <c r="B854" t="s">
        <v>3461</v>
      </c>
      <c r="C854" s="2" t="str">
        <f>HYPERLINK("http://snap.windin.com/ns/bulletin.php?id=1813836&amp;type=1", "全通教育:创业板首发招股说明书（申报稿）")</f>
        <v>全通教育:创业板首发招股说明书（申报稿）</v>
      </c>
      <c r="D854" t="s">
        <v>7502</v>
      </c>
      <c r="E854" t="s">
        <v>453</v>
      </c>
      <c r="F854" t="s">
        <v>5450</v>
      </c>
    </row>
    <row r="855" spans="1:6" x14ac:dyDescent="0.15">
      <c r="A855" s="1">
        <v>41081</v>
      </c>
      <c r="B855" t="s">
        <v>3459</v>
      </c>
      <c r="C855" s="2" t="str">
        <f>HYPERLINK("http://snap.windin.com/ns/bulletin.php?id=1882927&amp;type=1", "广东奔朗:创业板首发招股说明书（申报稿）")</f>
        <v>广东奔朗:创业板首发招股说明书（申报稿）</v>
      </c>
      <c r="D855" t="s">
        <v>7503</v>
      </c>
      <c r="E855" t="s">
        <v>5470</v>
      </c>
      <c r="F855" t="s">
        <v>5450</v>
      </c>
    </row>
    <row r="856" spans="1:6" x14ac:dyDescent="0.15">
      <c r="A856" s="1">
        <v>41081</v>
      </c>
      <c r="B856" t="s">
        <v>3462</v>
      </c>
      <c r="C856" s="2" t="str">
        <f>HYPERLINK("http://snap.windin.com/ns/bulletin.php?id=1902441&amp;type=1", "邦柯科技:创业板首发招股说明书（申报稿）")</f>
        <v>邦柯科技:创业板首发招股说明书（申报稿）</v>
      </c>
      <c r="D856" t="s">
        <v>7504</v>
      </c>
      <c r="E856" t="s">
        <v>5472</v>
      </c>
      <c r="F856" t="s">
        <v>5450</v>
      </c>
    </row>
    <row r="857" spans="1:6" x14ac:dyDescent="0.15">
      <c r="A857" s="1">
        <v>41081</v>
      </c>
      <c r="B857" t="s">
        <v>3460</v>
      </c>
      <c r="C857" s="2" t="str">
        <f>HYPERLINK("http://snap.windin.com/ns/bulletin.php?id=602437&amp;type=1", "无线天利:创业板首发招股说明书（申报稿）")</f>
        <v>无线天利:创业板首发招股说明书（申报稿）</v>
      </c>
      <c r="D857" t="s">
        <v>7505</v>
      </c>
      <c r="E857" t="s">
        <v>5471</v>
      </c>
      <c r="F857" t="s">
        <v>5450</v>
      </c>
    </row>
    <row r="858" spans="1:6" x14ac:dyDescent="0.15">
      <c r="A858" s="1">
        <v>41081</v>
      </c>
      <c r="B858" t="s">
        <v>13</v>
      </c>
      <c r="C858" s="2" t="str">
        <f>HYPERLINK("http://snap.windin.com/ns/bulletin.php?id=21851094&amp;type=1", "东方通:创业板首发招股说明书(申报稿)")</f>
        <v>东方通:创业板首发招股说明书(申报稿)</v>
      </c>
      <c r="D858" t="s">
        <v>7506</v>
      </c>
      <c r="E858" t="s">
        <v>404</v>
      </c>
      <c r="F858" t="s">
        <v>5462</v>
      </c>
    </row>
    <row r="859" spans="1:6" x14ac:dyDescent="0.15">
      <c r="A859" s="1">
        <v>41081</v>
      </c>
      <c r="B859" t="s">
        <v>48</v>
      </c>
      <c r="C859" s="2" t="str">
        <f>HYPERLINK("http://snap.windin.com/ns/bulletin.php?id=21750488&amp;type=1", "全通教育:创业板首发招股说明书(申报稿)")</f>
        <v>全通教育:创业板首发招股说明书(申报稿)</v>
      </c>
      <c r="D859" t="s">
        <v>7507</v>
      </c>
      <c r="E859" t="s">
        <v>453</v>
      </c>
      <c r="F859" t="s">
        <v>5462</v>
      </c>
    </row>
    <row r="860" spans="1:6" x14ac:dyDescent="0.15">
      <c r="A860" s="1">
        <v>41080</v>
      </c>
      <c r="B860" t="s">
        <v>105</v>
      </c>
      <c r="C860" s="2" t="str">
        <f>HYPERLINK("http://snap.windin.com/ns/bulletin.php?id=806422&amp;type=1", "亿利达:首次公开发行股票招股说明书")</f>
        <v>亿利达:首次公开发行股票招股说明书</v>
      </c>
      <c r="D860" t="s">
        <v>1374</v>
      </c>
      <c r="E860" t="s">
        <v>544</v>
      </c>
      <c r="F860" t="s">
        <v>399</v>
      </c>
    </row>
    <row r="861" spans="1:6" x14ac:dyDescent="0.15">
      <c r="A861" s="1">
        <v>41080</v>
      </c>
      <c r="B861" t="s">
        <v>104</v>
      </c>
      <c r="C861" s="2" t="str">
        <f>HYPERLINK("http://snap.windin.com/ns/bulletin.php?id=996802&amp;type=1", "津膜科技:首次公开发行股票并在创业板上市招股说明书")</f>
        <v>津膜科技:首次公开发行股票并在创业板上市招股说明书</v>
      </c>
      <c r="D861" t="s">
        <v>1373</v>
      </c>
      <c r="E861" t="s">
        <v>542</v>
      </c>
      <c r="F861" t="s">
        <v>455</v>
      </c>
    </row>
    <row r="862" spans="1:6" x14ac:dyDescent="0.15">
      <c r="A862" s="1">
        <v>41078</v>
      </c>
      <c r="B862" t="s">
        <v>106</v>
      </c>
      <c r="C862" s="2" t="str">
        <f>HYPERLINK("http://snap.windin.com/ns/bulletin.php?id=591965&amp;type=1", "兆日科技:首次公开发行股票并在创业板上市招股说明书")</f>
        <v>兆日科技:首次公开发行股票并在创业板上市招股说明书</v>
      </c>
      <c r="D862" t="s">
        <v>1378</v>
      </c>
      <c r="E862" t="s">
        <v>547</v>
      </c>
      <c r="F862" t="s">
        <v>455</v>
      </c>
    </row>
    <row r="863" spans="1:6" x14ac:dyDescent="0.15">
      <c r="A863" s="1">
        <v>41075</v>
      </c>
      <c r="B863" t="s">
        <v>3424</v>
      </c>
      <c r="C863" s="2" t="str">
        <f>HYPERLINK("http://snap.windin.com/ns/bulletin.php?id=1637420&amp;type=1", "博浩生物:首次公开发行股票招股说明书（申报稿）")</f>
        <v>博浩生物:首次公开发行股票招股说明书（申报稿）</v>
      </c>
      <c r="D863" t="s">
        <v>7508</v>
      </c>
      <c r="E863" t="s">
        <v>5449</v>
      </c>
      <c r="F863" t="s">
        <v>5452</v>
      </c>
    </row>
    <row r="864" spans="1:6" x14ac:dyDescent="0.15">
      <c r="A864" s="1">
        <v>41075</v>
      </c>
      <c r="B864" t="s">
        <v>107</v>
      </c>
      <c r="C864" s="2" t="str">
        <f>HYPERLINK("http://snap.windin.com/ns/bulletin.php?id=185766&amp;type=1", "天壕节能:首次公开发行股票并在创业板上市招股说明书")</f>
        <v>天壕节能:首次公开发行股票并在创业板上市招股说明书</v>
      </c>
      <c r="D864" t="s">
        <v>1388</v>
      </c>
      <c r="E864" t="s">
        <v>548</v>
      </c>
      <c r="F864" t="s">
        <v>455</v>
      </c>
    </row>
    <row r="865" spans="1:6" x14ac:dyDescent="0.15">
      <c r="A865" s="1">
        <v>41075</v>
      </c>
      <c r="B865" t="s">
        <v>39</v>
      </c>
      <c r="C865" s="2" t="str">
        <f>HYPERLINK("http://snap.windin.com/ns/bulletin.php?id=106194&amp;type=1", "恒华科技:创业板首发招股说明书(申报稿)")</f>
        <v>恒华科技:创业板首发招股说明书(申报稿)</v>
      </c>
      <c r="D865" t="s">
        <v>7509</v>
      </c>
      <c r="E865" t="s">
        <v>443</v>
      </c>
      <c r="F865" t="s">
        <v>5462</v>
      </c>
    </row>
    <row r="866" spans="1:6" x14ac:dyDescent="0.15">
      <c r="A866" s="1">
        <v>41075</v>
      </c>
      <c r="B866" t="s">
        <v>3463</v>
      </c>
      <c r="C866" s="2" t="str">
        <f>HYPERLINK("http://snap.windin.com/ns/bulletin.php?id=1250036&amp;type=1", "康新设计:首次公开发行股票招股说明书（申报稿）")</f>
        <v>康新设计:首次公开发行股票招股说明书（申报稿）</v>
      </c>
      <c r="D866" t="s">
        <v>7510</v>
      </c>
      <c r="E866" t="s">
        <v>5387</v>
      </c>
      <c r="F866" t="s">
        <v>5452</v>
      </c>
    </row>
    <row r="867" spans="1:6" x14ac:dyDescent="0.15">
      <c r="A867" s="1">
        <v>41075</v>
      </c>
      <c r="B867" t="s">
        <v>31</v>
      </c>
      <c r="C867" s="2" t="str">
        <f>HYPERLINK("http://snap.windin.com/ns/bulletin.php?id=21811060&amp;type=1", "创意信息:创业板首发招股说明书(申报稿)")</f>
        <v>创意信息:创业板首发招股说明书(申报稿)</v>
      </c>
      <c r="D867" t="s">
        <v>7511</v>
      </c>
      <c r="E867" t="s">
        <v>433</v>
      </c>
      <c r="F867" t="s">
        <v>5462</v>
      </c>
    </row>
    <row r="868" spans="1:6" x14ac:dyDescent="0.15">
      <c r="A868" s="1">
        <v>41075</v>
      </c>
      <c r="B868" t="s">
        <v>12</v>
      </c>
      <c r="C868" s="2" t="str">
        <f>HYPERLINK("http://snap.windin.com/ns/bulletin.php?id=21851416&amp;type=1", "晶方科技:首次公开发行股票招股说明书(申报稿)")</f>
        <v>晶方科技:首次公开发行股票招股说明书(申报稿)</v>
      </c>
      <c r="D868" t="s">
        <v>7512</v>
      </c>
      <c r="E868" t="s">
        <v>403</v>
      </c>
      <c r="F868" t="s">
        <v>5466</v>
      </c>
    </row>
    <row r="869" spans="1:6" x14ac:dyDescent="0.15">
      <c r="A869" s="1">
        <v>41074</v>
      </c>
      <c r="B869" t="s">
        <v>108</v>
      </c>
      <c r="C869" s="2" t="str">
        <f>HYPERLINK("http://snap.windin.com/ns/bulletin.php?id=187886&amp;type=1", "苏大维格:首次公开发行股票并在创业板上市招股说明书")</f>
        <v>苏大维格:首次公开发行股票并在创业板上市招股说明书</v>
      </c>
      <c r="D869" t="s">
        <v>1389</v>
      </c>
      <c r="E869" t="s">
        <v>550</v>
      </c>
      <c r="F869" t="s">
        <v>455</v>
      </c>
    </row>
    <row r="870" spans="1:6" x14ac:dyDescent="0.15">
      <c r="A870" s="1">
        <v>41074</v>
      </c>
      <c r="B870" t="s">
        <v>3464</v>
      </c>
      <c r="C870" s="2" t="str">
        <f>HYPERLINK("http://snap.windin.com/ns/bulletin.php?id=1793663&amp;type=1", "创意技术:创业板首发招股说明书")</f>
        <v>创意技术:创业板首发招股说明书</v>
      </c>
      <c r="D870" t="s">
        <v>7513</v>
      </c>
      <c r="E870" t="s">
        <v>5473</v>
      </c>
      <c r="F870" t="s">
        <v>5474</v>
      </c>
    </row>
    <row r="871" spans="1:6" x14ac:dyDescent="0.15">
      <c r="A871" s="1">
        <v>41074</v>
      </c>
      <c r="B871" t="s">
        <v>3405</v>
      </c>
      <c r="C871" s="2" t="str">
        <f>HYPERLINK("http://snap.windin.com/ns/bulletin.php?id=21753566&amp;type=1", "奥赛康:创业板首发招股说明书(申报稿)")</f>
        <v>奥赛康:创业板首发招股说明书(申报稿)</v>
      </c>
      <c r="D871" t="s">
        <v>7514</v>
      </c>
      <c r="E871" t="s">
        <v>5433</v>
      </c>
      <c r="F871" t="s">
        <v>5462</v>
      </c>
    </row>
    <row r="872" spans="1:6" x14ac:dyDescent="0.15">
      <c r="A872" s="1">
        <v>41074</v>
      </c>
      <c r="B872" t="s">
        <v>2944</v>
      </c>
      <c r="C872" s="2" t="str">
        <f>HYPERLINK("http://snap.windin.com/ns/bulletin.php?id=58754538&amp;type=1", "雪浪环境:创业板首发招股说明书(申报稿)")</f>
        <v>雪浪环境:创业板首发招股说明书(申报稿)</v>
      </c>
      <c r="D872" t="s">
        <v>7515</v>
      </c>
      <c r="E872" t="s">
        <v>4865</v>
      </c>
      <c r="F872" t="s">
        <v>5462</v>
      </c>
    </row>
    <row r="873" spans="1:6" x14ac:dyDescent="0.15">
      <c r="A873" s="1">
        <v>41073</v>
      </c>
      <c r="B873" t="s">
        <v>3465</v>
      </c>
      <c r="C873" s="2" t="str">
        <f>HYPERLINK("http://snap.windin.com/ns/bulletin.php?id=581390&amp;type=1", "奥赛康:创业板首发招股说明书（申报稿）")</f>
        <v>奥赛康:创业板首发招股说明书（申报稿）</v>
      </c>
      <c r="D873" t="s">
        <v>7516</v>
      </c>
      <c r="E873" t="s">
        <v>5433</v>
      </c>
      <c r="F873" t="s">
        <v>5450</v>
      </c>
    </row>
    <row r="874" spans="1:6" x14ac:dyDescent="0.15">
      <c r="A874" s="1">
        <v>41073</v>
      </c>
      <c r="B874" t="s">
        <v>26</v>
      </c>
      <c r="C874" s="2" t="str">
        <f>HYPERLINK("http://snap.windin.com/ns/bulletin.php?id=21851494&amp;type=1", "安硕信息:创业板首发招股说明书(申报稿)")</f>
        <v>安硕信息:创业板首发招股说明书(申报稿)</v>
      </c>
      <c r="D874" t="s">
        <v>7517</v>
      </c>
      <c r="E874" t="s">
        <v>425</v>
      </c>
      <c r="F874" t="s">
        <v>5462</v>
      </c>
    </row>
    <row r="875" spans="1:6" x14ac:dyDescent="0.15">
      <c r="A875" s="1">
        <v>41073</v>
      </c>
      <c r="B875" t="s">
        <v>2941</v>
      </c>
      <c r="C875" s="2" t="str">
        <f>HYPERLINK("http://snap.windin.com/ns/bulletin.php?id=58754270&amp;type=1", "龙大肉食:首次公开发行股票招股说明书(申报稿)")</f>
        <v>龙大肉食:首次公开发行股票招股说明书(申报稿)</v>
      </c>
      <c r="D875" t="s">
        <v>7518</v>
      </c>
      <c r="E875" t="s">
        <v>4862</v>
      </c>
      <c r="F875" t="s">
        <v>5466</v>
      </c>
    </row>
    <row r="876" spans="1:6" x14ac:dyDescent="0.15">
      <c r="A876" s="1">
        <v>41071</v>
      </c>
      <c r="B876" t="s">
        <v>114</v>
      </c>
      <c r="C876" s="2" t="str">
        <f>HYPERLINK("http://snap.windin.com/ns/bulletin.php?id=1832022&amp;type=1", "百隆东方:首次公开发行A股股票招股说明书")</f>
        <v>百隆东方:首次公开发行A股股票招股说明书</v>
      </c>
      <c r="D876" t="s">
        <v>1398</v>
      </c>
      <c r="E876" t="s">
        <v>557</v>
      </c>
      <c r="F876" t="s">
        <v>462</v>
      </c>
    </row>
    <row r="877" spans="1:6" x14ac:dyDescent="0.15">
      <c r="A877" s="1">
        <v>41068</v>
      </c>
      <c r="B877" t="s">
        <v>119</v>
      </c>
      <c r="C877" s="2" t="str">
        <f>HYPERLINK("http://snap.windin.com/ns/bulletin.php?id=1713625&amp;type=1", "中国汽研:首次公开发行股票招股说明书")</f>
        <v>中国汽研:首次公开发行股票招股说明书</v>
      </c>
      <c r="D877" t="s">
        <v>1406</v>
      </c>
      <c r="E877" t="s">
        <v>562</v>
      </c>
      <c r="F877" t="s">
        <v>399</v>
      </c>
    </row>
    <row r="878" spans="1:6" x14ac:dyDescent="0.15">
      <c r="A878" s="1">
        <v>41068</v>
      </c>
      <c r="B878" t="s">
        <v>30</v>
      </c>
      <c r="C878" s="2" t="str">
        <f>HYPERLINK("http://snap.windin.com/ns/bulletin.php?id=21811406&amp;type=1", "欣泰电气:创业板首发招股说明书(申报稿)")</f>
        <v>欣泰电气:创业板首发招股说明书(申报稿)</v>
      </c>
      <c r="D878" t="s">
        <v>7519</v>
      </c>
      <c r="E878" t="s">
        <v>432</v>
      </c>
      <c r="F878" t="s">
        <v>5462</v>
      </c>
    </row>
    <row r="879" spans="1:6" x14ac:dyDescent="0.15">
      <c r="A879" s="1">
        <v>41067</v>
      </c>
      <c r="B879" t="s">
        <v>3466</v>
      </c>
      <c r="C879" s="2" t="str">
        <f>HYPERLINK("http://snap.windin.com/ns/bulletin.php?id=1732823&amp;type=1", "欣泰电气:创业板首发招股说明书（申报稿）")</f>
        <v>欣泰电气:创业板首发招股说明书（申报稿）</v>
      </c>
      <c r="D879" t="s">
        <v>7520</v>
      </c>
      <c r="E879" t="s">
        <v>432</v>
      </c>
      <c r="F879" t="s">
        <v>5450</v>
      </c>
    </row>
    <row r="880" spans="1:6" x14ac:dyDescent="0.15">
      <c r="A880" s="1">
        <v>41067</v>
      </c>
      <c r="B880" t="s">
        <v>110</v>
      </c>
      <c r="C880" s="2" t="str">
        <f>HYPERLINK("http://snap.windin.com/ns/bulletin.php?id=106243&amp;type=1", "海伦钢琴:首次公开发行股票并在创业板上市招股说明书")</f>
        <v>海伦钢琴:首次公开发行股票并在创业板上市招股说明书</v>
      </c>
      <c r="D880" t="s">
        <v>1409</v>
      </c>
      <c r="E880" t="s">
        <v>553</v>
      </c>
      <c r="F880" t="s">
        <v>455</v>
      </c>
    </row>
    <row r="881" spans="1:6" x14ac:dyDescent="0.15">
      <c r="A881" s="1">
        <v>41067</v>
      </c>
      <c r="B881" t="s">
        <v>3467</v>
      </c>
      <c r="C881" s="2" t="str">
        <f>HYPERLINK("http://snap.windin.com/ns/bulletin.php?id=1974959&amp;type=1", "宝色股份:创业板首发招股说明书（申报稿）")</f>
        <v>宝色股份:创业板首发招股说明书（申报稿）</v>
      </c>
      <c r="D881" t="s">
        <v>7521</v>
      </c>
      <c r="E881" t="s">
        <v>5475</v>
      </c>
      <c r="F881" t="s">
        <v>5450</v>
      </c>
    </row>
    <row r="882" spans="1:6" x14ac:dyDescent="0.15">
      <c r="A882" s="1">
        <v>41067</v>
      </c>
      <c r="B882" t="s">
        <v>111</v>
      </c>
      <c r="C882" s="2" t="str">
        <f>HYPERLINK("http://snap.windin.com/ns/bulletin.php?id=833057&amp;type=1", "宜安科技:首次公开发行股票并在创业板上市招股说明书")</f>
        <v>宜安科技:首次公开发行股票并在创业板上市招股说明书</v>
      </c>
      <c r="D882" t="s">
        <v>1410</v>
      </c>
      <c r="E882" t="s">
        <v>554</v>
      </c>
      <c r="F882" t="s">
        <v>455</v>
      </c>
    </row>
    <row r="883" spans="1:6" x14ac:dyDescent="0.15">
      <c r="A883" s="1">
        <v>41066</v>
      </c>
      <c r="B883" t="s">
        <v>3427</v>
      </c>
      <c r="C883" s="2" t="str">
        <f>HYPERLINK("http://snap.windin.com/ns/bulletin.php?id=683266&amp;type=1", "龙大肉食:首次公开发行股票招股说明书（申报稿）")</f>
        <v>龙大肉食:首次公开发行股票招股说明书（申报稿）</v>
      </c>
      <c r="D883" t="s">
        <v>7522</v>
      </c>
      <c r="E883" t="s">
        <v>4862</v>
      </c>
      <c r="F883" t="s">
        <v>5452</v>
      </c>
    </row>
    <row r="884" spans="1:6" x14ac:dyDescent="0.15">
      <c r="A884" s="1">
        <v>41066</v>
      </c>
      <c r="B884" t="s">
        <v>3468</v>
      </c>
      <c r="C884" s="2" t="str">
        <f>HYPERLINK("http://snap.windin.com/ns/bulletin.php?id=85247&amp;type=1", "海洋王:首次公开发行股票招股说明书（申报稿）")</f>
        <v>海洋王:首次公开发行股票招股说明书（申报稿）</v>
      </c>
      <c r="D884" t="s">
        <v>7523</v>
      </c>
      <c r="E884" t="s">
        <v>5396</v>
      </c>
      <c r="F884" t="s">
        <v>5452</v>
      </c>
    </row>
    <row r="885" spans="1:6" x14ac:dyDescent="0.15">
      <c r="A885" s="1">
        <v>41066</v>
      </c>
      <c r="B885" t="s">
        <v>109</v>
      </c>
      <c r="C885" s="2" t="str">
        <f>HYPERLINK("http://snap.windin.com/ns/bulletin.php?id=2017422&amp;type=1", "华虹计通:首次公开发行股票并在创业板上市招股说明书")</f>
        <v>华虹计通:首次公开发行股票并在创业板上市招股说明书</v>
      </c>
      <c r="D885" t="s">
        <v>1415</v>
      </c>
      <c r="E885" t="s">
        <v>552</v>
      </c>
      <c r="F885" t="s">
        <v>455</v>
      </c>
    </row>
    <row r="886" spans="1:6" x14ac:dyDescent="0.15">
      <c r="A886" s="1">
        <v>41066</v>
      </c>
      <c r="B886" t="s">
        <v>3470</v>
      </c>
      <c r="C886" s="2" t="str">
        <f>HYPERLINK("http://snap.windin.com/ns/bulletin.php?id=1575075&amp;type=1", "铁观音:首次公开发行股票招股说明书（申报稿）")</f>
        <v>铁观音:首次公开发行股票招股说明书（申报稿）</v>
      </c>
      <c r="D886" t="s">
        <v>7524</v>
      </c>
      <c r="E886" t="s">
        <v>5477</v>
      </c>
      <c r="F886" t="s">
        <v>5452</v>
      </c>
    </row>
    <row r="887" spans="1:6" x14ac:dyDescent="0.15">
      <c r="A887" s="1">
        <v>41066</v>
      </c>
      <c r="B887" t="s">
        <v>3431</v>
      </c>
      <c r="C887" s="2" t="str">
        <f>HYPERLINK("http://snap.windin.com/ns/bulletin.php?id=576541&amp;type=1", "台城制药:首次公开发行股票招股说明书（申报稿）")</f>
        <v>台城制药:首次公开发行股票招股说明书（申报稿）</v>
      </c>
      <c r="D887" t="s">
        <v>7525</v>
      </c>
      <c r="E887" t="s">
        <v>4652</v>
      </c>
      <c r="F887" t="s">
        <v>5452</v>
      </c>
    </row>
    <row r="888" spans="1:6" x14ac:dyDescent="0.15">
      <c r="A888" s="1">
        <v>41066</v>
      </c>
      <c r="B888" t="s">
        <v>3469</v>
      </c>
      <c r="C888" s="2" t="str">
        <f>HYPERLINK("http://snap.windin.com/ns/bulletin.php?id=883020&amp;type=1", "凯立德:创业板首发招股说明书（申报稿）")</f>
        <v>凯立德:创业板首发招股说明书（申报稿）</v>
      </c>
      <c r="D888" t="s">
        <v>7526</v>
      </c>
      <c r="E888" t="s">
        <v>5476</v>
      </c>
      <c r="F888" t="s">
        <v>5450</v>
      </c>
    </row>
    <row r="889" spans="1:6" x14ac:dyDescent="0.15">
      <c r="A889" s="1">
        <v>41066</v>
      </c>
      <c r="B889" t="s">
        <v>2941</v>
      </c>
      <c r="C889" s="2" t="str">
        <f>HYPERLINK("http://snap.windin.com/ns/bulletin.php?id=58754268&amp;type=1", "龙大肉食:首次公开发行股票招股说明书(申报稿)")</f>
        <v>龙大肉食:首次公开发行股票招股说明书(申报稿)</v>
      </c>
      <c r="D889" t="s">
        <v>7527</v>
      </c>
      <c r="E889" t="s">
        <v>4862</v>
      </c>
      <c r="F889" t="s">
        <v>5466</v>
      </c>
    </row>
    <row r="890" spans="1:6" x14ac:dyDescent="0.15">
      <c r="A890" s="1">
        <v>41064</v>
      </c>
      <c r="B890" t="s">
        <v>113</v>
      </c>
      <c r="C890" s="2" t="str">
        <f>HYPERLINK("http://snap.windin.com/ns/bulletin.php?id=1866004&amp;type=1", "凯利泰:首次公开发行股票并在创业板上市招股说明书")</f>
        <v>凯利泰:首次公开发行股票并在创业板上市招股说明书</v>
      </c>
      <c r="D890" t="s">
        <v>1416</v>
      </c>
      <c r="E890" t="s">
        <v>556</v>
      </c>
      <c r="F890" t="s">
        <v>455</v>
      </c>
    </row>
    <row r="891" spans="1:6" x14ac:dyDescent="0.15">
      <c r="A891" s="1">
        <v>41061</v>
      </c>
      <c r="B891" t="s">
        <v>112</v>
      </c>
      <c r="C891" s="2" t="str">
        <f>HYPERLINK("http://snap.windin.com/ns/bulletin.php?id=1750386&amp;type=1", "中颖电子:首次公开发行股票并在创业板上市招股说明书")</f>
        <v>中颖电子:首次公开发行股票并在创业板上市招股说明书</v>
      </c>
      <c r="D891" t="s">
        <v>1420</v>
      </c>
      <c r="E891" t="s">
        <v>555</v>
      </c>
      <c r="F891" t="s">
        <v>455</v>
      </c>
    </row>
    <row r="892" spans="1:6" x14ac:dyDescent="0.15">
      <c r="A892" s="1">
        <v>41061</v>
      </c>
      <c r="B892" t="s">
        <v>33</v>
      </c>
      <c r="C892" s="2" t="str">
        <f>HYPERLINK("http://snap.windin.com/ns/bulletin.php?id=21843026&amp;type=1", "易事特:创业板首发招股说明书(申报稿)")</f>
        <v>易事特:创业板首发招股说明书(申报稿)</v>
      </c>
      <c r="D892" t="s">
        <v>7528</v>
      </c>
      <c r="E892" t="s">
        <v>435</v>
      </c>
      <c r="F892" t="s">
        <v>5462</v>
      </c>
    </row>
    <row r="893" spans="1:6" x14ac:dyDescent="0.15">
      <c r="A893" s="1">
        <v>41061</v>
      </c>
      <c r="B893" t="s">
        <v>36</v>
      </c>
      <c r="C893" s="2" t="str">
        <f>HYPERLINK("http://snap.windin.com/ns/bulletin.php?id=21843028&amp;type=1", "鹏翎股份:创业板首发招股说明书(申报稿)")</f>
        <v>鹏翎股份:创业板首发招股说明书(申报稿)</v>
      </c>
      <c r="D893" t="s">
        <v>7529</v>
      </c>
      <c r="E893" t="s">
        <v>438</v>
      </c>
      <c r="F893" t="s">
        <v>5462</v>
      </c>
    </row>
    <row r="894" spans="1:6" x14ac:dyDescent="0.15">
      <c r="A894" s="1">
        <v>41060</v>
      </c>
      <c r="B894" t="s">
        <v>3471</v>
      </c>
      <c r="C894" s="2" t="str">
        <f>HYPERLINK("http://snap.windin.com/ns/bulletin.php?id=177342&amp;type=1", "易事特:创业板首发招股说明书（申报稿）")</f>
        <v>易事特:创业板首发招股说明书（申报稿）</v>
      </c>
      <c r="D894" t="s">
        <v>7530</v>
      </c>
      <c r="E894" t="s">
        <v>435</v>
      </c>
      <c r="F894" t="s">
        <v>5450</v>
      </c>
    </row>
    <row r="895" spans="1:6" x14ac:dyDescent="0.15">
      <c r="A895" s="1">
        <v>41060</v>
      </c>
      <c r="B895" t="s">
        <v>118</v>
      </c>
      <c r="C895" s="2" t="str">
        <f>HYPERLINK("http://snap.windin.com/ns/bulletin.php?id=1230946&amp;type=1", "猛狮科技:首次公开发行股票招股说明书")</f>
        <v>猛狮科技:首次公开发行股票招股说明书</v>
      </c>
      <c r="D895" t="s">
        <v>1427</v>
      </c>
      <c r="E895" t="s">
        <v>561</v>
      </c>
      <c r="F895" t="s">
        <v>399</v>
      </c>
    </row>
    <row r="896" spans="1:6" x14ac:dyDescent="0.15">
      <c r="A896" s="1">
        <v>41060</v>
      </c>
      <c r="B896" t="s">
        <v>3473</v>
      </c>
      <c r="C896" s="2" t="str">
        <f>HYPERLINK("http://snap.windin.com/ns/bulletin.php?id=1415296&amp;type=1", "鹿山新材:创业板首发招股说明书（申报稿）")</f>
        <v>鹿山新材:创业板首发招股说明书（申报稿）</v>
      </c>
      <c r="D896" t="s">
        <v>7531</v>
      </c>
      <c r="E896" t="s">
        <v>5479</v>
      </c>
      <c r="F896" t="s">
        <v>5450</v>
      </c>
    </row>
    <row r="897" spans="1:6" x14ac:dyDescent="0.15">
      <c r="A897" s="1">
        <v>41060</v>
      </c>
      <c r="B897" t="s">
        <v>3472</v>
      </c>
      <c r="C897" s="2" t="str">
        <f>HYPERLINK("http://snap.windin.com/ns/bulletin.php?id=538481&amp;type=1", "浩丰创源:创业板首发招股说明书（申报稿）")</f>
        <v>浩丰创源:创业板首发招股说明书（申报稿）</v>
      </c>
      <c r="D897" t="s">
        <v>7532</v>
      </c>
      <c r="E897" t="s">
        <v>5478</v>
      </c>
      <c r="F897" t="s">
        <v>5450</v>
      </c>
    </row>
    <row r="898" spans="1:6" x14ac:dyDescent="0.15">
      <c r="A898" s="1">
        <v>41060</v>
      </c>
      <c r="B898" t="s">
        <v>3474</v>
      </c>
      <c r="C898" s="2" t="str">
        <f>HYPERLINK("http://snap.windin.com/ns/bulletin.php?id=1592714&amp;type=1", "鹏翎胶管:创业板首发招股说明书（申报稿）")</f>
        <v>鹏翎胶管:创业板首发招股说明书（申报稿）</v>
      </c>
      <c r="D898" t="s">
        <v>7533</v>
      </c>
      <c r="E898" t="s">
        <v>5480</v>
      </c>
      <c r="F898" t="s">
        <v>5450</v>
      </c>
    </row>
    <row r="899" spans="1:6" x14ac:dyDescent="0.15">
      <c r="A899" s="1">
        <v>41060</v>
      </c>
      <c r="B899" t="s">
        <v>117</v>
      </c>
      <c r="C899" s="2" t="str">
        <f>HYPERLINK("http://snap.windin.com/ns/bulletin.php?id=1483506&amp;type=1", "龙洲股份:首次公开发行股票招股说明书")</f>
        <v>龙洲股份:首次公开发行股票招股说明书</v>
      </c>
      <c r="D899" t="s">
        <v>1429</v>
      </c>
      <c r="E899" t="s">
        <v>560</v>
      </c>
      <c r="F899" t="s">
        <v>399</v>
      </c>
    </row>
    <row r="900" spans="1:6" x14ac:dyDescent="0.15">
      <c r="A900" s="1">
        <v>41058</v>
      </c>
      <c r="B900" t="s">
        <v>115</v>
      </c>
      <c r="C900" s="2" t="str">
        <f>HYPERLINK("http://snap.windin.com/ns/bulletin.php?id=1672636&amp;type=1", "宏大爆破:首次公开发行股票招股说明书")</f>
        <v>宏大爆破:首次公开发行股票招股说明书</v>
      </c>
      <c r="D900" t="s">
        <v>1437</v>
      </c>
      <c r="E900" t="s">
        <v>558</v>
      </c>
      <c r="F900" t="s">
        <v>399</v>
      </c>
    </row>
    <row r="901" spans="1:6" x14ac:dyDescent="0.15">
      <c r="A901" s="1">
        <v>41058</v>
      </c>
      <c r="B901" t="s">
        <v>120</v>
      </c>
      <c r="C901" s="2" t="str">
        <f>HYPERLINK("http://snap.windin.com/ns/bulletin.php?id=1765484&amp;type=1", "旋极信息:首次公开发行股票并在创业板上市招股说明书")</f>
        <v>旋极信息:首次公开发行股票并在创业板上市招股说明书</v>
      </c>
      <c r="D901" t="s">
        <v>1434</v>
      </c>
      <c r="E901" t="s">
        <v>563</v>
      </c>
      <c r="F901" t="s">
        <v>455</v>
      </c>
    </row>
    <row r="902" spans="1:6" x14ac:dyDescent="0.15">
      <c r="A902" s="1">
        <v>41058</v>
      </c>
      <c r="B902" t="s">
        <v>115</v>
      </c>
      <c r="C902" s="2" t="str">
        <f>HYPERLINK("http://snap.windin.com/ns/bulletin.php?id=98911&amp;type=1", "宏大爆破:首次公开发行股票招股说明书（更新后）")</f>
        <v>宏大爆破:首次公开发行股票招股说明书（更新后）</v>
      </c>
      <c r="D902" t="s">
        <v>1438</v>
      </c>
      <c r="E902" t="s">
        <v>558</v>
      </c>
      <c r="F902" t="s">
        <v>573</v>
      </c>
    </row>
    <row r="903" spans="1:6" x14ac:dyDescent="0.15">
      <c r="A903" s="1">
        <v>41058</v>
      </c>
      <c r="B903" t="s">
        <v>116</v>
      </c>
      <c r="C903" s="2" t="str">
        <f>HYPERLINK("http://snap.windin.com/ns/bulletin.php?id=828514&amp;type=1", "华东重机:首次公开发行股票招股说明书")</f>
        <v>华东重机:首次公开发行股票招股说明书</v>
      </c>
      <c r="D903" t="s">
        <v>1435</v>
      </c>
      <c r="E903" t="s">
        <v>559</v>
      </c>
      <c r="F903" t="s">
        <v>399</v>
      </c>
    </row>
    <row r="904" spans="1:6" x14ac:dyDescent="0.15">
      <c r="A904" s="1">
        <v>41057</v>
      </c>
      <c r="B904" t="s">
        <v>129</v>
      </c>
      <c r="C904" s="2" t="str">
        <f>HYPERLINK("http://snap.windin.com/ns/bulletin.php?id=770593&amp;type=1", "华贸物流:首次公开发行股票招股说明书")</f>
        <v>华贸物流:首次公开发行股票招股说明书</v>
      </c>
      <c r="D904" t="s">
        <v>1443</v>
      </c>
      <c r="E904" t="s">
        <v>574</v>
      </c>
      <c r="F904" t="s">
        <v>399</v>
      </c>
    </row>
    <row r="905" spans="1:6" x14ac:dyDescent="0.15">
      <c r="A905" s="1">
        <v>41054</v>
      </c>
      <c r="B905" t="s">
        <v>3475</v>
      </c>
      <c r="C905" s="2" t="str">
        <f>HYPERLINK("http://snap.windin.com/ns/bulletin.php?id=1755369&amp;type=1", "英杰电气:创业板首发招股说明书（申报稿）")</f>
        <v>英杰电气:创业板首发招股说明书（申报稿）</v>
      </c>
      <c r="D905" t="s">
        <v>7534</v>
      </c>
      <c r="E905" t="s">
        <v>5481</v>
      </c>
      <c r="F905" t="s">
        <v>5450</v>
      </c>
    </row>
    <row r="906" spans="1:6" x14ac:dyDescent="0.15">
      <c r="A906" s="1">
        <v>41054</v>
      </c>
      <c r="B906" t="s">
        <v>121</v>
      </c>
      <c r="C906" s="2" t="str">
        <f>HYPERLINK("http://snap.windin.com/ns/bulletin.php?id=414823&amp;type=1", "硕贝德:首次公开发行股票并在创业板上市招股说明书")</f>
        <v>硕贝德:首次公开发行股票并在创业板上市招股说明书</v>
      </c>
      <c r="D906" t="s">
        <v>1446</v>
      </c>
      <c r="E906" t="s">
        <v>564</v>
      </c>
      <c r="F906" t="s">
        <v>455</v>
      </c>
    </row>
    <row r="907" spans="1:6" x14ac:dyDescent="0.15">
      <c r="A907" s="1">
        <v>41054</v>
      </c>
      <c r="B907" t="s">
        <v>2944</v>
      </c>
      <c r="C907" s="2" t="str">
        <f>HYPERLINK("http://snap.windin.com/ns/bulletin.php?id=58754536&amp;type=1", "雪浪环境:创业板首发招股说明书(申报稿)")</f>
        <v>雪浪环境:创业板首发招股说明书(申报稿)</v>
      </c>
      <c r="D907" t="s">
        <v>7535</v>
      </c>
      <c r="E907" t="s">
        <v>4865</v>
      </c>
      <c r="F907" t="s">
        <v>5462</v>
      </c>
    </row>
    <row r="908" spans="1:6" x14ac:dyDescent="0.15">
      <c r="A908" s="1">
        <v>41054</v>
      </c>
      <c r="B908" t="s">
        <v>2944</v>
      </c>
      <c r="C908" s="2" t="str">
        <f>HYPERLINK("http://snap.windin.com/ns/bulletin.php?id=1589594&amp;type=1", "雪浪环境:创业板首发招股说明书（申报稿）")</f>
        <v>雪浪环境:创业板首发招股说明书（申报稿）</v>
      </c>
      <c r="D908" t="s">
        <v>7536</v>
      </c>
      <c r="E908" t="s">
        <v>4865</v>
      </c>
      <c r="F908" t="s">
        <v>5450</v>
      </c>
    </row>
    <row r="909" spans="1:6" x14ac:dyDescent="0.15">
      <c r="A909" s="1">
        <v>41053</v>
      </c>
      <c r="B909" t="s">
        <v>122</v>
      </c>
      <c r="C909" s="2" t="str">
        <f>HYPERLINK("http://snap.windin.com/ns/bulletin.php?id=425096&amp;type=1", "奋达科技:首次公开发行股票招股说明书")</f>
        <v>奋达科技:首次公开发行股票招股说明书</v>
      </c>
      <c r="D909" t="s">
        <v>1447</v>
      </c>
      <c r="E909" t="s">
        <v>565</v>
      </c>
      <c r="F909" t="s">
        <v>399</v>
      </c>
    </row>
    <row r="910" spans="1:6" x14ac:dyDescent="0.15">
      <c r="A910" s="1">
        <v>41053</v>
      </c>
      <c r="B910" t="s">
        <v>123</v>
      </c>
      <c r="C910" s="2" t="str">
        <f>HYPERLINK("http://snap.windin.com/ns/bulletin.php?id=802705&amp;type=1", "黄海机械:首次公开发行股票招股说明书（更新后）")</f>
        <v>黄海机械:首次公开发行股票招股说明书（更新后）</v>
      </c>
      <c r="D910" t="s">
        <v>1449</v>
      </c>
      <c r="E910" t="s">
        <v>566</v>
      </c>
      <c r="F910" t="s">
        <v>573</v>
      </c>
    </row>
    <row r="911" spans="1:6" x14ac:dyDescent="0.15">
      <c r="A911" s="1">
        <v>41052</v>
      </c>
      <c r="B911" t="s">
        <v>3476</v>
      </c>
      <c r="C911" s="2" t="str">
        <f>HYPERLINK("http://snap.windin.com/ns/bulletin.php?id=1381772&amp;type=1", "卓越鸿昌:创业板首发招股说明书（申报稿）")</f>
        <v>卓越鸿昌:创业板首发招股说明书（申报稿）</v>
      </c>
      <c r="D911" t="s">
        <v>7537</v>
      </c>
      <c r="E911" t="s">
        <v>5482</v>
      </c>
      <c r="F911" t="s">
        <v>5450</v>
      </c>
    </row>
    <row r="912" spans="1:6" x14ac:dyDescent="0.15">
      <c r="A912" s="1">
        <v>41052</v>
      </c>
      <c r="B912" t="s">
        <v>127</v>
      </c>
      <c r="C912" s="2" t="str">
        <f>HYPERLINK("http://snap.windin.com/ns/bulletin.php?id=1899922&amp;type=1", "海达股份:首次公开发行股票并在创业板上市招股说明书")</f>
        <v>海达股份:首次公开发行股票并在创业板上市招股说明书</v>
      </c>
      <c r="D912" t="s">
        <v>1454</v>
      </c>
      <c r="E912" t="s">
        <v>570</v>
      </c>
      <c r="F912" t="s">
        <v>455</v>
      </c>
    </row>
    <row r="913" spans="1:6" x14ac:dyDescent="0.15">
      <c r="A913" s="1">
        <v>41051</v>
      </c>
      <c r="B913" t="s">
        <v>136</v>
      </c>
      <c r="C913" s="2" t="str">
        <f>HYPERLINK("http://snap.windin.com/ns/bulletin.php?id=464202&amp;type=1", "巴安水务:关于中国证券监督管理委员会对公司《招股说明书》相关事项调查公告")</f>
        <v>巴安水务:关于中国证券监督管理委员会对公司《招股说明书》相关事项调查公告</v>
      </c>
      <c r="D913" t="s">
        <v>1466</v>
      </c>
      <c r="E913" t="s">
        <v>582</v>
      </c>
      <c r="F913" t="s">
        <v>583</v>
      </c>
    </row>
    <row r="914" spans="1:6" x14ac:dyDescent="0.15">
      <c r="A914" s="1">
        <v>41051</v>
      </c>
      <c r="B914" t="s">
        <v>124</v>
      </c>
      <c r="C914" s="2" t="str">
        <f>HYPERLINK("http://snap.windin.com/ns/bulletin.php?id=1070443&amp;type=1", "福建金森:首次公开发行股票招股说明书")</f>
        <v>福建金森:首次公开发行股票招股说明书</v>
      </c>
      <c r="D914" t="s">
        <v>1473</v>
      </c>
      <c r="E914" t="s">
        <v>567</v>
      </c>
      <c r="F914" t="s">
        <v>399</v>
      </c>
    </row>
    <row r="915" spans="1:6" x14ac:dyDescent="0.15">
      <c r="A915" s="1">
        <v>41050</v>
      </c>
      <c r="B915" t="s">
        <v>126</v>
      </c>
      <c r="C915" s="2" t="str">
        <f>HYPERLINK("http://snap.windin.com/ns/bulletin.php?id=1477342&amp;type=1", "德威新材:首次公开发行股票并在创业板上市招股说明书")</f>
        <v>德威新材:首次公开发行股票并在创业板上市招股说明书</v>
      </c>
      <c r="D915" t="s">
        <v>1475</v>
      </c>
      <c r="E915" t="s">
        <v>569</v>
      </c>
      <c r="F915" t="s">
        <v>455</v>
      </c>
    </row>
    <row r="916" spans="1:6" x14ac:dyDescent="0.15">
      <c r="A916" s="1">
        <v>41050</v>
      </c>
      <c r="B916" t="s">
        <v>125</v>
      </c>
      <c r="C916" s="2" t="str">
        <f>HYPERLINK("http://snap.windin.com/ns/bulletin.php?id=634107&amp;type=1", "华灿光电:首次公开发行股票并在创业板上市招股说明书")</f>
        <v>华灿光电:首次公开发行股票并在创业板上市招股说明书</v>
      </c>
      <c r="D916" t="s">
        <v>1476</v>
      </c>
      <c r="E916" t="s">
        <v>568</v>
      </c>
      <c r="F916" t="s">
        <v>455</v>
      </c>
    </row>
    <row r="917" spans="1:6" x14ac:dyDescent="0.15">
      <c r="A917" s="1">
        <v>41047</v>
      </c>
      <c r="B917" t="s">
        <v>128</v>
      </c>
      <c r="C917" s="2" t="str">
        <f>HYPERLINK("http://snap.windin.com/ns/bulletin.php?id=2014621&amp;type=1", "珠江钢琴:首次公开发行股票招股说明书")</f>
        <v>珠江钢琴:首次公开发行股票招股说明书</v>
      </c>
      <c r="D917" t="s">
        <v>1479</v>
      </c>
      <c r="E917" t="s">
        <v>572</v>
      </c>
      <c r="F917" t="s">
        <v>399</v>
      </c>
    </row>
    <row r="918" spans="1:6" x14ac:dyDescent="0.15">
      <c r="A918" s="1">
        <v>41047</v>
      </c>
      <c r="B918" t="s">
        <v>137</v>
      </c>
      <c r="C918" s="2" t="str">
        <f>HYPERLINK("http://snap.windin.com/ns/bulletin.php?id=1026157&amp;type=1", "日出东方:首次公开发行股票招股说明书")</f>
        <v>日出东方:首次公开发行股票招股说明书</v>
      </c>
      <c r="D918" t="s">
        <v>1478</v>
      </c>
      <c r="E918" t="s">
        <v>584</v>
      </c>
      <c r="F918" t="s">
        <v>399</v>
      </c>
    </row>
    <row r="919" spans="1:6" x14ac:dyDescent="0.15">
      <c r="A919" s="1">
        <v>41046</v>
      </c>
      <c r="B919" t="s">
        <v>3477</v>
      </c>
      <c r="C919" s="2" t="str">
        <f>HYPERLINK("http://snap.windin.com/ns/bulletin.php?id=1666813&amp;type=1", "康跃科技:创业板首发招股说明书（申报稿）")</f>
        <v>康跃科技:创业板首发招股说明书（申报稿）</v>
      </c>
      <c r="D919" t="s">
        <v>7538</v>
      </c>
      <c r="E919" t="s">
        <v>4649</v>
      </c>
      <c r="F919" t="s">
        <v>5450</v>
      </c>
    </row>
    <row r="920" spans="1:6" x14ac:dyDescent="0.15">
      <c r="A920" s="1">
        <v>41046</v>
      </c>
      <c r="B920" t="s">
        <v>3478</v>
      </c>
      <c r="C920" s="2" t="str">
        <f>HYPERLINK("http://snap.windin.com/ns/bulletin.php?id=1796354&amp;type=1", "银丰棉花:首次公开发行股票招股说明书（申报稿）")</f>
        <v>银丰棉花:首次公开发行股票招股说明书（申报稿）</v>
      </c>
      <c r="D920" t="s">
        <v>7539</v>
      </c>
      <c r="E920" t="s">
        <v>5483</v>
      </c>
      <c r="F920" t="s">
        <v>5452</v>
      </c>
    </row>
    <row r="921" spans="1:6" x14ac:dyDescent="0.15">
      <c r="A921" s="1">
        <v>41046</v>
      </c>
      <c r="B921" t="s">
        <v>3480</v>
      </c>
      <c r="C921" s="2" t="str">
        <f>HYPERLINK("http://snap.windin.com/ns/bulletin.php?id=1372268&amp;type=1", "禾丰牧业:首次公开发行股票招股说明书（申报稿）")</f>
        <v>禾丰牧业:首次公开发行股票招股说明书（申报稿）</v>
      </c>
      <c r="D921" t="s">
        <v>7540</v>
      </c>
      <c r="E921" t="s">
        <v>4640</v>
      </c>
      <c r="F921" t="s">
        <v>5452</v>
      </c>
    </row>
    <row r="922" spans="1:6" x14ac:dyDescent="0.15">
      <c r="A922" s="1">
        <v>41046</v>
      </c>
      <c r="B922" t="s">
        <v>3481</v>
      </c>
      <c r="C922" s="2" t="str">
        <f>HYPERLINK("http://snap.windin.com/ns/bulletin.php?id=1403967&amp;type=1", "威帝电子:首次公开发行股票招股说明书（申报稿）")</f>
        <v>威帝电子:首次公开发行股票招股说明书（申报稿）</v>
      </c>
      <c r="D922" t="s">
        <v>7541</v>
      </c>
      <c r="E922" t="s">
        <v>5368</v>
      </c>
      <c r="F922" t="s">
        <v>5452</v>
      </c>
    </row>
    <row r="923" spans="1:6" x14ac:dyDescent="0.15">
      <c r="A923" s="1">
        <v>41046</v>
      </c>
      <c r="B923" t="s">
        <v>138</v>
      </c>
      <c r="C923" s="2" t="str">
        <f>HYPERLINK("http://snap.windin.com/ns/bulletin.php?id=1226954&amp;type=1", "宏昌电子:首次公开发行股票招股说明书")</f>
        <v>宏昌电子:首次公开发行股票招股说明书</v>
      </c>
      <c r="D923" t="s">
        <v>1482</v>
      </c>
      <c r="E923" t="s">
        <v>585</v>
      </c>
      <c r="F923" t="s">
        <v>399</v>
      </c>
    </row>
    <row r="924" spans="1:6" x14ac:dyDescent="0.15">
      <c r="A924" s="1">
        <v>41046</v>
      </c>
      <c r="B924" t="s">
        <v>3479</v>
      </c>
      <c r="C924" s="2" t="str">
        <f>HYPERLINK("http://snap.windin.com/ns/bulletin.php?id=582353&amp;type=1", "雄帝科技:创业板首发招股说明书（申报稿）")</f>
        <v>雄帝科技:创业板首发招股说明书（申报稿）</v>
      </c>
      <c r="D924" t="s">
        <v>7542</v>
      </c>
      <c r="E924" t="s">
        <v>4746</v>
      </c>
      <c r="F924" t="s">
        <v>5450</v>
      </c>
    </row>
    <row r="925" spans="1:6" x14ac:dyDescent="0.15">
      <c r="A925" s="1">
        <v>41046</v>
      </c>
      <c r="B925" t="s">
        <v>3482</v>
      </c>
      <c r="C925" s="2" t="str">
        <f>HYPERLINK("http://snap.windin.com/ns/bulletin.php?id=2128566&amp;type=1", "民生轮船:首次公开发行股票招股说明书（申报稿）")</f>
        <v>民生轮船:首次公开发行股票招股说明书（申报稿）</v>
      </c>
      <c r="D925" t="s">
        <v>7543</v>
      </c>
      <c r="E925" t="s">
        <v>5484</v>
      </c>
      <c r="F925" t="s">
        <v>5452</v>
      </c>
    </row>
    <row r="926" spans="1:6" x14ac:dyDescent="0.15">
      <c r="A926" s="1">
        <v>41046</v>
      </c>
      <c r="B926" t="s">
        <v>3415</v>
      </c>
      <c r="C926" s="2" t="str">
        <f>HYPERLINK("http://snap.windin.com/ns/bulletin.php?id=1585953&amp;type=1", "普德药业:首次公开发行股票招股说明书（申报稿）")</f>
        <v>普德药业:首次公开发行股票招股说明书（申报稿）</v>
      </c>
      <c r="D926" t="s">
        <v>7544</v>
      </c>
      <c r="E926" t="s">
        <v>4686</v>
      </c>
      <c r="F926" t="s">
        <v>5452</v>
      </c>
    </row>
    <row r="927" spans="1:6" x14ac:dyDescent="0.15">
      <c r="A927" s="1">
        <v>41046</v>
      </c>
      <c r="B927" t="s">
        <v>3414</v>
      </c>
      <c r="C927" s="2" t="str">
        <f>HYPERLINK("http://snap.windin.com/ns/bulletin.php?id=607624&amp;type=1", "中博生物:首次公开发行股票招股说明书（申报稿）")</f>
        <v>中博生物:首次公开发行股票招股说明书（申报稿）</v>
      </c>
      <c r="D927" t="s">
        <v>7545</v>
      </c>
      <c r="E927" t="s">
        <v>5397</v>
      </c>
      <c r="F927" t="s">
        <v>5452</v>
      </c>
    </row>
    <row r="928" spans="1:6" x14ac:dyDescent="0.15">
      <c r="A928" s="1">
        <v>41046</v>
      </c>
      <c r="B928" t="s">
        <v>3484</v>
      </c>
      <c r="C928" s="2" t="str">
        <f>HYPERLINK("http://snap.windin.com/ns/bulletin.php?id=636923&amp;type=1", "赢时胜:创业板首发招股说明书（申报稿）")</f>
        <v>赢时胜:创业板首发招股说明书（申报稿）</v>
      </c>
      <c r="D928" t="s">
        <v>7546</v>
      </c>
      <c r="E928" t="s">
        <v>434</v>
      </c>
      <c r="F928" t="s">
        <v>5450</v>
      </c>
    </row>
    <row r="929" spans="1:6" x14ac:dyDescent="0.15">
      <c r="A929" s="1">
        <v>41046</v>
      </c>
      <c r="B929" t="s">
        <v>3483</v>
      </c>
      <c r="C929" s="2" t="str">
        <f>HYPERLINK("http://snap.windin.com/ns/bulletin.php?id=752650&amp;type=1", "道恩高材:创业板首发招股说明书（申报稿）")</f>
        <v>道恩高材:创业板首发招股说明书（申报稿）</v>
      </c>
      <c r="D929" t="s">
        <v>7547</v>
      </c>
      <c r="E929" t="s">
        <v>5485</v>
      </c>
      <c r="F929" t="s">
        <v>5450</v>
      </c>
    </row>
    <row r="930" spans="1:6" x14ac:dyDescent="0.15">
      <c r="A930" s="1">
        <v>41046</v>
      </c>
      <c r="B930" t="s">
        <v>32</v>
      </c>
      <c r="C930" s="2" t="str">
        <f>HYPERLINK("http://snap.windin.com/ns/bulletin.php?id=21843162&amp;type=1", "赢时胜:创业板首发招股说明书(申报稿)")</f>
        <v>赢时胜:创业板首发招股说明书(申报稿)</v>
      </c>
      <c r="D930" t="s">
        <v>7548</v>
      </c>
      <c r="E930" t="s">
        <v>434</v>
      </c>
      <c r="F930" t="s">
        <v>5462</v>
      </c>
    </row>
    <row r="931" spans="1:6" x14ac:dyDescent="0.15">
      <c r="A931" s="1">
        <v>41044</v>
      </c>
      <c r="B931" t="s">
        <v>10</v>
      </c>
      <c r="C931" s="2" t="str">
        <f>HYPERLINK("http://snap.windin.com/ns/bulletin.php?id=21752700&amp;type=1", "新宝股份:首次公开发行股票招股说明书(申报稿)")</f>
        <v>新宝股份:首次公开发行股票招股说明书(申报稿)</v>
      </c>
      <c r="D931" t="s">
        <v>7549</v>
      </c>
      <c r="E931" t="s">
        <v>393</v>
      </c>
      <c r="F931" t="s">
        <v>5466</v>
      </c>
    </row>
    <row r="932" spans="1:6" x14ac:dyDescent="0.15">
      <c r="A932" s="1">
        <v>41043</v>
      </c>
      <c r="B932" t="s">
        <v>3407</v>
      </c>
      <c r="C932" s="2" t="str">
        <f>HYPERLINK("http://snap.windin.com/ns/bulletin.php?id=243179&amp;type=1", "会稽山:首次公开发行股票招股说明书（申报稿）")</f>
        <v>会稽山:首次公开发行股票招股说明书（申报稿）</v>
      </c>
      <c r="D932" t="s">
        <v>7550</v>
      </c>
      <c r="E932" t="s">
        <v>4650</v>
      </c>
      <c r="F932" t="s">
        <v>5452</v>
      </c>
    </row>
    <row r="933" spans="1:6" x14ac:dyDescent="0.15">
      <c r="A933" s="1">
        <v>41043</v>
      </c>
      <c r="B933" t="s">
        <v>3419</v>
      </c>
      <c r="C933" s="2" t="str">
        <f>HYPERLINK("http://snap.windin.com/ns/bulletin.php?id=1168744&amp;type=1", "凌丰集团:首次公开发行招股说明书（申报稿）")</f>
        <v>凌丰集团:首次公开发行招股说明书（申报稿）</v>
      </c>
      <c r="D933" t="s">
        <v>7551</v>
      </c>
      <c r="E933" t="s">
        <v>5446</v>
      </c>
      <c r="F933" t="s">
        <v>5486</v>
      </c>
    </row>
    <row r="934" spans="1:6" x14ac:dyDescent="0.15">
      <c r="A934" s="1">
        <v>41043</v>
      </c>
      <c r="B934" t="s">
        <v>133</v>
      </c>
      <c r="C934" s="2" t="str">
        <f>HYPERLINK("http://snap.windin.com/ns/bulletin.php?id=1262754&amp;type=1", "博晖创新:首次公开发行股票并在创业板上市招股说明书")</f>
        <v>博晖创新:首次公开发行股票并在创业板上市招股说明书</v>
      </c>
      <c r="D934" t="s">
        <v>1496</v>
      </c>
      <c r="E934" t="s">
        <v>579</v>
      </c>
      <c r="F934" t="s">
        <v>455</v>
      </c>
    </row>
    <row r="935" spans="1:6" x14ac:dyDescent="0.15">
      <c r="A935" s="1">
        <v>41043</v>
      </c>
      <c r="B935" t="s">
        <v>3425</v>
      </c>
      <c r="C935" s="2" t="str">
        <f>HYPERLINK("http://snap.windin.com/ns/bulletin.php?id=2077175&amp;type=1", "世龙实业:首次公开发行股票招股说明书（申报稿）")</f>
        <v>世龙实业:首次公开发行股票招股说明书（申报稿）</v>
      </c>
      <c r="D935" t="s">
        <v>7552</v>
      </c>
      <c r="E935" t="s">
        <v>4786</v>
      </c>
      <c r="F935" t="s">
        <v>5452</v>
      </c>
    </row>
    <row r="936" spans="1:6" x14ac:dyDescent="0.15">
      <c r="A936" s="1">
        <v>41043</v>
      </c>
      <c r="B936" t="s">
        <v>130</v>
      </c>
      <c r="C936" s="2" t="str">
        <f>HYPERLINK("http://snap.windin.com/ns/bulletin.php?id=1557557&amp;type=1", "东诚生化:首次公开发行股票并上市招股说明书")</f>
        <v>东诚生化:首次公开发行股票并上市招股说明书</v>
      </c>
      <c r="D936" t="s">
        <v>1499</v>
      </c>
      <c r="E936" t="s">
        <v>576</v>
      </c>
      <c r="F936" t="s">
        <v>469</v>
      </c>
    </row>
    <row r="937" spans="1:6" x14ac:dyDescent="0.15">
      <c r="A937" s="1">
        <v>41043</v>
      </c>
      <c r="B937" t="s">
        <v>3485</v>
      </c>
      <c r="C937" s="2" t="str">
        <f>HYPERLINK("http://snap.windin.com/ns/bulletin.php?id=1481526&amp;type=1", "新宝电器:首次公开发行股票招股说明书（申报稿）")</f>
        <v>新宝电器:首次公开发行股票招股说明书（申报稿）</v>
      </c>
      <c r="D937" t="s">
        <v>7553</v>
      </c>
      <c r="E937" t="s">
        <v>5487</v>
      </c>
      <c r="F937" t="s">
        <v>5452</v>
      </c>
    </row>
    <row r="938" spans="1:6" x14ac:dyDescent="0.15">
      <c r="A938" s="1">
        <v>41043</v>
      </c>
      <c r="B938" t="s">
        <v>134</v>
      </c>
      <c r="C938" s="2" t="str">
        <f>HYPERLINK("http://snap.windin.com/ns/bulletin.php?id=885978&amp;type=1", "麦捷科技:首次公开发行股票并在创业板上市招股说明书")</f>
        <v>麦捷科技:首次公开发行股票并在创业板上市招股说明书</v>
      </c>
      <c r="D938" t="s">
        <v>1495</v>
      </c>
      <c r="E938" t="s">
        <v>580</v>
      </c>
      <c r="F938" t="s">
        <v>455</v>
      </c>
    </row>
    <row r="939" spans="1:6" x14ac:dyDescent="0.15">
      <c r="A939" s="1">
        <v>41043</v>
      </c>
      <c r="B939" t="s">
        <v>131</v>
      </c>
      <c r="C939" s="2" t="str">
        <f>HYPERLINK("http://snap.windin.com/ns/bulletin.php?id=829065&amp;type=1", "顺威股份:首次公开发行股票招股说明书")</f>
        <v>顺威股份:首次公开发行股票招股说明书</v>
      </c>
      <c r="D939" t="s">
        <v>1497</v>
      </c>
      <c r="E939" t="s">
        <v>577</v>
      </c>
      <c r="F939" t="s">
        <v>399</v>
      </c>
    </row>
    <row r="940" spans="1:6" x14ac:dyDescent="0.15">
      <c r="A940" s="1">
        <v>41040</v>
      </c>
      <c r="B940" t="s">
        <v>132</v>
      </c>
      <c r="C940" s="2" t="str">
        <f>HYPERLINK("http://snap.windin.com/ns/bulletin.php?id=1712186&amp;type=1", "浙江美大:首次公开发行股票招股说明书")</f>
        <v>浙江美大:首次公开发行股票招股说明书</v>
      </c>
      <c r="D940" t="s">
        <v>1507</v>
      </c>
      <c r="E940" t="s">
        <v>578</v>
      </c>
      <c r="F940" t="s">
        <v>399</v>
      </c>
    </row>
    <row r="941" spans="1:6" x14ac:dyDescent="0.15">
      <c r="A941" s="1">
        <v>41040</v>
      </c>
      <c r="B941" t="s">
        <v>135</v>
      </c>
      <c r="C941" s="2" t="str">
        <f>HYPERLINK("http://snap.windin.com/ns/bulletin.php?id=950969&amp;type=1", "同大股份:首次公开发行股票并在创业板上市招股说明书")</f>
        <v>同大股份:首次公开发行股票并在创业板上市招股说明书</v>
      </c>
      <c r="D941" t="s">
        <v>1502</v>
      </c>
      <c r="E941" t="s">
        <v>581</v>
      </c>
      <c r="F941" t="s">
        <v>455</v>
      </c>
    </row>
    <row r="942" spans="1:6" x14ac:dyDescent="0.15">
      <c r="A942" s="1">
        <v>41040</v>
      </c>
      <c r="B942" t="s">
        <v>20</v>
      </c>
      <c r="C942" s="2" t="str">
        <f>HYPERLINK("http://snap.windin.com/ns/bulletin.php?id=21760402&amp;type=1", "博腾股份:创业板首发招股说明书(申报稿)")</f>
        <v>博腾股份:创业板首发招股说明书(申报稿)</v>
      </c>
      <c r="D942" t="s">
        <v>7554</v>
      </c>
      <c r="E942" t="s">
        <v>418</v>
      </c>
      <c r="F942" t="s">
        <v>5462</v>
      </c>
    </row>
    <row r="943" spans="1:6" x14ac:dyDescent="0.15">
      <c r="A943" s="1">
        <v>41040</v>
      </c>
      <c r="B943" t="s">
        <v>42</v>
      </c>
      <c r="C943" s="2" t="str">
        <f>HYPERLINK("http://snap.windin.com/ns/bulletin.php?id=21752324&amp;type=1", "众信旅游:首次公开发行股票招股说明书(申报稿)")</f>
        <v>众信旅游:首次公开发行股票招股说明书(申报稿)</v>
      </c>
      <c r="D943" t="s">
        <v>7555</v>
      </c>
      <c r="E943" t="s">
        <v>446</v>
      </c>
      <c r="F943" t="s">
        <v>5466</v>
      </c>
    </row>
    <row r="944" spans="1:6" x14ac:dyDescent="0.15">
      <c r="A944" s="1">
        <v>41040</v>
      </c>
      <c r="B944" t="s">
        <v>43</v>
      </c>
      <c r="C944" s="2" t="str">
        <f>HYPERLINK("http://snap.windin.com/ns/bulletin.php?id=21810358&amp;type=1", "扬杰科技:创业板首发招股说明书(申报稿)")</f>
        <v>扬杰科技:创业板首发招股说明书(申报稿)</v>
      </c>
      <c r="D944" t="s">
        <v>7556</v>
      </c>
      <c r="E944" t="s">
        <v>447</v>
      </c>
      <c r="F944" t="s">
        <v>5462</v>
      </c>
    </row>
    <row r="945" spans="1:6" x14ac:dyDescent="0.15">
      <c r="A945" s="1">
        <v>41040</v>
      </c>
      <c r="B945" t="s">
        <v>50</v>
      </c>
      <c r="C945" s="2" t="str">
        <f>HYPERLINK("http://snap.windin.com/ns/bulletin.php?id=21750580&amp;type=1", "楚天科技:创业板首发招股说明书(申报稿)")</f>
        <v>楚天科技:创业板首发招股说明书(申报稿)</v>
      </c>
      <c r="D945" t="s">
        <v>7557</v>
      </c>
      <c r="E945" t="s">
        <v>456</v>
      </c>
      <c r="F945" t="s">
        <v>5462</v>
      </c>
    </row>
    <row r="946" spans="1:6" x14ac:dyDescent="0.15">
      <c r="A946" s="1">
        <v>41039</v>
      </c>
      <c r="B946" t="s">
        <v>3488</v>
      </c>
      <c r="C946" s="2" t="str">
        <f>HYPERLINK("http://snap.windin.com/ns/bulletin.php?id=1235472&amp;type=1", "博腾股份:创业板首发招股说明书（申报稿）")</f>
        <v>博腾股份:创业板首发招股说明书（申报稿）</v>
      </c>
      <c r="D946" t="s">
        <v>7558</v>
      </c>
      <c r="E946" t="s">
        <v>418</v>
      </c>
      <c r="F946" t="s">
        <v>5450</v>
      </c>
    </row>
    <row r="947" spans="1:6" x14ac:dyDescent="0.15">
      <c r="A947" s="1">
        <v>41039</v>
      </c>
      <c r="B947" t="s">
        <v>3486</v>
      </c>
      <c r="C947" s="2" t="str">
        <f>HYPERLINK("http://snap.windin.com/ns/bulletin.php?id=1871167&amp;type=1", "扬杰科技:创业板首发招股说明书（申报稿）")</f>
        <v>扬杰科技:创业板首发招股说明书（申报稿）</v>
      </c>
      <c r="D947" t="s">
        <v>7559</v>
      </c>
      <c r="E947" t="s">
        <v>447</v>
      </c>
      <c r="F947" t="s">
        <v>5450</v>
      </c>
    </row>
    <row r="948" spans="1:6" x14ac:dyDescent="0.15">
      <c r="A948" s="1">
        <v>41039</v>
      </c>
      <c r="B948" t="s">
        <v>3487</v>
      </c>
      <c r="C948" s="2" t="str">
        <f>HYPERLINK("http://snap.windin.com/ns/bulletin.php?id=636575&amp;type=1", "楚天科技:创业板首发招股说明书（申报稿）")</f>
        <v>楚天科技:创业板首发招股说明书（申报稿）</v>
      </c>
      <c r="D948" t="s">
        <v>7560</v>
      </c>
      <c r="E948" t="s">
        <v>456</v>
      </c>
      <c r="F948" t="s">
        <v>5450</v>
      </c>
    </row>
    <row r="949" spans="1:6" x14ac:dyDescent="0.15">
      <c r="A949" s="1">
        <v>41038</v>
      </c>
      <c r="B949" t="s">
        <v>3489</v>
      </c>
      <c r="C949" s="2" t="str">
        <f>HYPERLINK("http://snap.windin.com/ns/bulletin.php?id=1260108&amp;type=1", "财富趋势:创业板首发招股说明书（申报稿）")</f>
        <v>财富趋势:创业板首发招股说明书（申报稿）</v>
      </c>
      <c r="D949" t="s">
        <v>7561</v>
      </c>
      <c r="E949" t="s">
        <v>4843</v>
      </c>
      <c r="F949" t="s">
        <v>5450</v>
      </c>
    </row>
    <row r="950" spans="1:6" x14ac:dyDescent="0.15">
      <c r="A950" s="1">
        <v>41038</v>
      </c>
      <c r="B950" t="s">
        <v>3490</v>
      </c>
      <c r="C950" s="2" t="str">
        <f>HYPERLINK("http://snap.windin.com/ns/bulletin.php?id=1927716&amp;type=1", "众信旅游:首次公开发行股票招股说明书（申报稿）")</f>
        <v>众信旅游:首次公开发行股票招股说明书（申报稿）</v>
      </c>
      <c r="D950" t="s">
        <v>7562</v>
      </c>
      <c r="E950" t="s">
        <v>446</v>
      </c>
      <c r="F950" t="s">
        <v>5452</v>
      </c>
    </row>
    <row r="951" spans="1:6" x14ac:dyDescent="0.15">
      <c r="A951" s="1">
        <v>41038</v>
      </c>
      <c r="B951" t="s">
        <v>3491</v>
      </c>
      <c r="C951" s="2" t="str">
        <f>HYPERLINK("http://snap.windin.com/ns/bulletin.php?id=1788575&amp;type=1", "泰嘉新材:招股说明书（申报稿）")</f>
        <v>泰嘉新材:招股说明书（申报稿）</v>
      </c>
      <c r="D951" t="s">
        <v>7563</v>
      </c>
      <c r="E951" t="s">
        <v>4832</v>
      </c>
      <c r="F951" t="s">
        <v>5488</v>
      </c>
    </row>
    <row r="952" spans="1:6" x14ac:dyDescent="0.15">
      <c r="A952" s="1">
        <v>41038</v>
      </c>
      <c r="B952" t="s">
        <v>3492</v>
      </c>
      <c r="C952" s="2" t="str">
        <f>HYPERLINK("http://snap.windin.com/ns/bulletin.php?id=1028719&amp;type=1", "汇胜股份:首次公开发行股票招股说明书（申报稿）")</f>
        <v>汇胜股份:首次公开发行股票招股说明书（申报稿）</v>
      </c>
      <c r="D952" t="s">
        <v>7564</v>
      </c>
      <c r="E952" t="s">
        <v>5489</v>
      </c>
      <c r="F952" t="s">
        <v>5452</v>
      </c>
    </row>
    <row r="953" spans="1:6" x14ac:dyDescent="0.15">
      <c r="A953" s="1">
        <v>41034</v>
      </c>
      <c r="B953" t="s">
        <v>47</v>
      </c>
      <c r="C953" s="2" t="str">
        <f>HYPERLINK("http://snap.windin.com/ns/bulletin.php?id=21753772&amp;type=1", "炬华科技:创业板首发招股说明书(申报稿)")</f>
        <v>炬华科技:创业板首发招股说明书(申报稿)</v>
      </c>
      <c r="D953" t="s">
        <v>7565</v>
      </c>
      <c r="E953" t="s">
        <v>452</v>
      </c>
      <c r="F953" t="s">
        <v>5462</v>
      </c>
    </row>
    <row r="954" spans="1:6" x14ac:dyDescent="0.15">
      <c r="A954" s="1">
        <v>41034</v>
      </c>
      <c r="B954" t="s">
        <v>46</v>
      </c>
      <c r="C954" s="2" t="str">
        <f>HYPERLINK("http://snap.windin.com/ns/bulletin.php?id=21752318&amp;type=1", "我武生物:创业板首发招股说明书(申报稿)")</f>
        <v>我武生物:创业板首发招股说明书(申报稿)</v>
      </c>
      <c r="D954" t="s">
        <v>7566</v>
      </c>
      <c r="E954" t="s">
        <v>451</v>
      </c>
      <c r="F954" t="s">
        <v>5462</v>
      </c>
    </row>
    <row r="955" spans="1:6" x14ac:dyDescent="0.15">
      <c r="A955" s="1">
        <v>41033</v>
      </c>
      <c r="B955" t="s">
        <v>3493</v>
      </c>
      <c r="C955" s="2" t="str">
        <f>HYPERLINK("http://snap.windin.com/ns/bulletin.php?id=2113341&amp;type=1", "我武生物:创业板首发招股说明书（申报稿）")</f>
        <v>我武生物:创业板首发招股说明书（申报稿）</v>
      </c>
      <c r="D955" t="s">
        <v>7567</v>
      </c>
      <c r="E955" t="s">
        <v>451</v>
      </c>
      <c r="F955" t="s">
        <v>5450</v>
      </c>
    </row>
    <row r="956" spans="1:6" x14ac:dyDescent="0.15">
      <c r="A956" s="1">
        <v>41033</v>
      </c>
      <c r="B956" t="s">
        <v>3494</v>
      </c>
      <c r="C956" s="2" t="str">
        <f>HYPERLINK("http://snap.windin.com/ns/bulletin.php?id=410522&amp;type=1", "炬华股份:创业板首发招股说明书（申报稿）")</f>
        <v>炬华股份:创业板首发招股说明书（申报稿）</v>
      </c>
      <c r="D956" t="s">
        <v>7568</v>
      </c>
      <c r="E956" t="s">
        <v>5490</v>
      </c>
      <c r="F956" t="s">
        <v>5450</v>
      </c>
    </row>
    <row r="957" spans="1:6" x14ac:dyDescent="0.15">
      <c r="A957" s="1">
        <v>41033</v>
      </c>
      <c r="B957" t="s">
        <v>144</v>
      </c>
      <c r="C957" s="2" t="str">
        <f>HYPERLINK("http://snap.windin.com/ns/bulletin.php?id=859228&amp;type=1", "明星电缆:首次公开发行股票招股说明书")</f>
        <v>明星电缆:首次公开发行股票招股说明书</v>
      </c>
      <c r="D957" t="s">
        <v>1524</v>
      </c>
      <c r="E957" t="s">
        <v>592</v>
      </c>
      <c r="F957" t="s">
        <v>399</v>
      </c>
    </row>
    <row r="958" spans="1:6" x14ac:dyDescent="0.15">
      <c r="A958" s="1">
        <v>41032</v>
      </c>
      <c r="B958" t="s">
        <v>3495</v>
      </c>
      <c r="C958" s="2" t="str">
        <f>HYPERLINK("http://snap.windin.com/ns/bulletin.php?id=80822&amp;type=1", "铜都阀门:创业板首发招股说明书（申报稿）")</f>
        <v>铜都阀门:创业板首发招股说明书（申报稿）</v>
      </c>
      <c r="D958" t="s">
        <v>7569</v>
      </c>
      <c r="E958" t="s">
        <v>5491</v>
      </c>
      <c r="F958" t="s">
        <v>5450</v>
      </c>
    </row>
    <row r="959" spans="1:6" x14ac:dyDescent="0.15">
      <c r="A959" s="1">
        <v>41031</v>
      </c>
      <c r="B959" t="s">
        <v>146</v>
      </c>
      <c r="C959" s="2" t="str">
        <f>HYPERLINK("http://snap.windin.com/ns/bulletin.php?id=1246786&amp;type=1", "翠微股份:首次公开发行股票招股说明书")</f>
        <v>翠微股份:首次公开发行股票招股说明书</v>
      </c>
      <c r="D959" t="s">
        <v>1533</v>
      </c>
      <c r="E959" t="s">
        <v>594</v>
      </c>
      <c r="F959" t="s">
        <v>399</v>
      </c>
    </row>
    <row r="960" spans="1:6" x14ac:dyDescent="0.15">
      <c r="A960" s="1">
        <v>41031</v>
      </c>
      <c r="B960" t="s">
        <v>139</v>
      </c>
      <c r="C960" s="2" t="str">
        <f>HYPERLINK("http://snap.windin.com/ns/bulletin.php?id=825182&amp;type=1", "珈伟股份:首次公开发行股票并在创业板上市招股说明书")</f>
        <v>珈伟股份:首次公开发行股票并在创业板上市招股说明书</v>
      </c>
      <c r="D960" t="s">
        <v>1536</v>
      </c>
      <c r="E960" t="s">
        <v>586</v>
      </c>
      <c r="F960" t="s">
        <v>455</v>
      </c>
    </row>
    <row r="961" spans="1:6" x14ac:dyDescent="0.15">
      <c r="A961" s="1">
        <v>41027</v>
      </c>
      <c r="B961" t="s">
        <v>3496</v>
      </c>
      <c r="C961" s="2" t="str">
        <f>HYPERLINK("http://snap.windin.com/ns/bulletin.php?id=2049533&amp;type=1", "中国速递:首次公开发行A股股票招股说明书（申报稿）")</f>
        <v>中国速递:首次公开发行A股股票招股说明书（申报稿）</v>
      </c>
      <c r="D961" t="s">
        <v>7570</v>
      </c>
      <c r="E961" t="s">
        <v>5492</v>
      </c>
      <c r="F961" t="s">
        <v>5493</v>
      </c>
    </row>
    <row r="962" spans="1:6" x14ac:dyDescent="0.15">
      <c r="A962" s="1">
        <v>41026</v>
      </c>
      <c r="B962" t="s">
        <v>141</v>
      </c>
      <c r="C962" s="2" t="str">
        <f>HYPERLINK("http://snap.windin.com/ns/bulletin.php?id=1237230&amp;type=1", "晶盛机电:首次公开发行股票并在创业板上市招股说明书")</f>
        <v>晶盛机电:首次公开发行股票并在创业板上市招股说明书</v>
      </c>
      <c r="D962" t="s">
        <v>1540</v>
      </c>
      <c r="E962" t="s">
        <v>589</v>
      </c>
      <c r="F962" t="s">
        <v>455</v>
      </c>
    </row>
    <row r="963" spans="1:6" x14ac:dyDescent="0.15">
      <c r="A963" s="1">
        <v>41026</v>
      </c>
      <c r="B963" t="s">
        <v>140</v>
      </c>
      <c r="C963" s="2" t="str">
        <f>HYPERLINK("http://snap.windin.com/ns/bulletin.php?id=1461048&amp;type=1", "掌趣科技:首次公开发行股票并在创业板上市招股说明书")</f>
        <v>掌趣科技:首次公开发行股票并在创业板上市招股说明书</v>
      </c>
      <c r="D963" t="s">
        <v>1541</v>
      </c>
      <c r="E963" t="s">
        <v>588</v>
      </c>
      <c r="F963" t="s">
        <v>455</v>
      </c>
    </row>
    <row r="964" spans="1:6" x14ac:dyDescent="0.15">
      <c r="A964" s="1">
        <v>41025</v>
      </c>
      <c r="B964" t="s">
        <v>149</v>
      </c>
      <c r="C964" s="2" t="str">
        <f>HYPERLINK("http://snap.windin.com/ns/bulletin.php?id=1261651&amp;type=1", "人民网:首次公开发行股票招股说明书")</f>
        <v>人民网:首次公开发行股票招股说明书</v>
      </c>
      <c r="D964" t="s">
        <v>1543</v>
      </c>
      <c r="E964" t="s">
        <v>597</v>
      </c>
      <c r="F964" t="s">
        <v>399</v>
      </c>
    </row>
    <row r="965" spans="1:6" x14ac:dyDescent="0.15">
      <c r="A965" s="1">
        <v>41025</v>
      </c>
      <c r="B965" t="s">
        <v>44</v>
      </c>
      <c r="C965" s="2" t="str">
        <f>HYPERLINK("http://snap.windin.com/ns/bulletin.php?id=21811408&amp;type=1", "汇金股份:创业板首发招股说明书(申报稿)")</f>
        <v>汇金股份:创业板首发招股说明书(申报稿)</v>
      </c>
      <c r="D965" t="s">
        <v>7571</v>
      </c>
      <c r="E965" t="s">
        <v>448</v>
      </c>
      <c r="F965" t="s">
        <v>5462</v>
      </c>
    </row>
    <row r="966" spans="1:6" x14ac:dyDescent="0.15">
      <c r="A966" s="1">
        <v>41024</v>
      </c>
      <c r="B966" t="s">
        <v>3497</v>
      </c>
      <c r="C966" s="2" t="str">
        <f>HYPERLINK("http://snap.windin.com/ns/bulletin.php?id=107776&amp;type=1", "地尔汉宇:创业板首发招股说明书（申报稿）")</f>
        <v>地尔汉宇:创业板首发招股说明书（申报稿）</v>
      </c>
      <c r="D966" t="s">
        <v>7572</v>
      </c>
      <c r="E966" t="s">
        <v>5494</v>
      </c>
      <c r="F966" t="s">
        <v>5450</v>
      </c>
    </row>
    <row r="967" spans="1:6" x14ac:dyDescent="0.15">
      <c r="A967" s="1">
        <v>41024</v>
      </c>
      <c r="B967" t="s">
        <v>3499</v>
      </c>
      <c r="C967" s="2" t="str">
        <f>HYPERLINK("http://snap.windin.com/ns/bulletin.php?id=21843988&amp;type=1", "石英股份:首次公开发行股票招股说明书(申报稿)")</f>
        <v>石英股份:首次公开发行股票招股说明书(申报稿)</v>
      </c>
      <c r="D967" t="s">
        <v>7573</v>
      </c>
      <c r="E967" t="s">
        <v>5496</v>
      </c>
      <c r="F967" t="s">
        <v>5466</v>
      </c>
    </row>
    <row r="968" spans="1:6" x14ac:dyDescent="0.15">
      <c r="A968" s="1">
        <v>41024</v>
      </c>
      <c r="B968" t="s">
        <v>3498</v>
      </c>
      <c r="C968" s="2" t="str">
        <f>HYPERLINK("http://snap.windin.com/ns/bulletin.php?id=1523211&amp;type=1", "汇金机电:创业板首发招股说明书（申报稿）")</f>
        <v>汇金机电:创业板首发招股说明书（申报稿）</v>
      </c>
      <c r="D968" t="s">
        <v>7574</v>
      </c>
      <c r="E968" t="s">
        <v>5495</v>
      </c>
      <c r="F968" t="s">
        <v>5450</v>
      </c>
    </row>
    <row r="969" spans="1:6" x14ac:dyDescent="0.15">
      <c r="A969" s="1">
        <v>41024</v>
      </c>
      <c r="B969" t="s">
        <v>151</v>
      </c>
      <c r="C969" s="2" t="str">
        <f>HYPERLINK("http://snap.windin.com/ns/bulletin.php?id=810903&amp;type=1", "奥康国际:首次公开发行股票招股说明书")</f>
        <v>奥康国际:首次公开发行股票招股说明书</v>
      </c>
      <c r="D969" t="s">
        <v>1547</v>
      </c>
      <c r="E969" t="s">
        <v>600</v>
      </c>
      <c r="F969" t="s">
        <v>399</v>
      </c>
    </row>
    <row r="970" spans="1:6" x14ac:dyDescent="0.15">
      <c r="A970" s="1">
        <v>41024</v>
      </c>
      <c r="B970" t="s">
        <v>35</v>
      </c>
      <c r="C970" s="2" t="str">
        <f>HYPERLINK("http://snap.windin.com/ns/bulletin.php?id=21851438&amp;type=1", "金一文化:首次公开发行股票招股说明书(申报稿)")</f>
        <v>金一文化:首次公开发行股票招股说明书(申报稿)</v>
      </c>
      <c r="D970" t="s">
        <v>7575</v>
      </c>
      <c r="E970" t="s">
        <v>437</v>
      </c>
      <c r="F970" t="s">
        <v>5466</v>
      </c>
    </row>
    <row r="971" spans="1:6" x14ac:dyDescent="0.15">
      <c r="A971" s="1">
        <v>41024</v>
      </c>
      <c r="B971" t="s">
        <v>2765</v>
      </c>
      <c r="C971" s="2" t="str">
        <f>HYPERLINK("http://snap.windin.com/ns/bulletin.php?id=789793&amp;type=1", "迪瑞医疗:创业板首发招股说明书（申报稿）")</f>
        <v>迪瑞医疗:创业板首发招股说明书（申报稿）</v>
      </c>
      <c r="D971" t="s">
        <v>7576</v>
      </c>
      <c r="E971" t="s">
        <v>4615</v>
      </c>
      <c r="F971" t="s">
        <v>5450</v>
      </c>
    </row>
    <row r="972" spans="1:6" x14ac:dyDescent="0.15">
      <c r="A972" s="1">
        <v>41023</v>
      </c>
      <c r="B972" t="s">
        <v>3420</v>
      </c>
      <c r="C972" s="2" t="str">
        <f>HYPERLINK("http://snap.windin.com/ns/bulletin.php?id=2121255&amp;type=1", "可立克:首次公开发行股票招股说明书（申报稿）")</f>
        <v>可立克:首次公开发行股票招股说明书（申报稿）</v>
      </c>
      <c r="D972" t="s">
        <v>7577</v>
      </c>
      <c r="E972" t="s">
        <v>4778</v>
      </c>
      <c r="F972" t="s">
        <v>5452</v>
      </c>
    </row>
    <row r="973" spans="1:6" x14ac:dyDescent="0.15">
      <c r="A973" s="1">
        <v>41023</v>
      </c>
      <c r="B973" t="s">
        <v>143</v>
      </c>
      <c r="C973" s="2" t="str">
        <f>HYPERLINK("http://snap.windin.com/ns/bulletin.php?id=1411800&amp;type=1", "邦讯技术:首次公开发行股票并在创业板上市招股说明书")</f>
        <v>邦讯技术:首次公开发行股票并在创业板上市招股说明书</v>
      </c>
      <c r="D973" t="s">
        <v>1563</v>
      </c>
      <c r="E973" t="s">
        <v>591</v>
      </c>
      <c r="F973" t="s">
        <v>455</v>
      </c>
    </row>
    <row r="974" spans="1:6" x14ac:dyDescent="0.15">
      <c r="A974" s="1">
        <v>41023</v>
      </c>
      <c r="B974" t="s">
        <v>3500</v>
      </c>
      <c r="C974" s="2" t="str">
        <f>HYPERLINK("http://snap.windin.com/ns/bulletin.php?id=2061812&amp;type=1", "淮北矿业:首次公开发行股票招股说明书（申报稿）")</f>
        <v>淮北矿业:首次公开发行股票招股说明书（申报稿）</v>
      </c>
      <c r="D974" t="s">
        <v>7578</v>
      </c>
      <c r="E974" t="s">
        <v>5497</v>
      </c>
      <c r="F974" t="s">
        <v>5452</v>
      </c>
    </row>
    <row r="975" spans="1:6" x14ac:dyDescent="0.15">
      <c r="A975" s="1">
        <v>41023</v>
      </c>
      <c r="B975" t="s">
        <v>3430</v>
      </c>
      <c r="C975" s="2" t="str">
        <f>HYPERLINK("http://snap.windin.com/ns/bulletin.php?id=1868734&amp;type=1", "重庆燃气:首次公开发行股票招股说明书（申报稿）")</f>
        <v>重庆燃气:首次公开发行股票招股说明书（申报稿）</v>
      </c>
      <c r="D975" t="s">
        <v>7579</v>
      </c>
      <c r="E975" t="s">
        <v>5105</v>
      </c>
      <c r="F975" t="s">
        <v>5452</v>
      </c>
    </row>
    <row r="976" spans="1:6" x14ac:dyDescent="0.15">
      <c r="A976" s="1">
        <v>41023</v>
      </c>
      <c r="B976" t="s">
        <v>145</v>
      </c>
      <c r="C976" s="2" t="str">
        <f>HYPERLINK("http://snap.windin.com/ns/bulletin.php?id=1978912&amp;type=1", "兴业科技:首次公开发行股票招股说明书")</f>
        <v>兴业科技:首次公开发行股票招股说明书</v>
      </c>
      <c r="D976" t="s">
        <v>1568</v>
      </c>
      <c r="E976" t="s">
        <v>593</v>
      </c>
      <c r="F976" t="s">
        <v>399</v>
      </c>
    </row>
    <row r="977" spans="1:6" x14ac:dyDescent="0.15">
      <c r="A977" s="1">
        <v>41023</v>
      </c>
      <c r="B977" t="s">
        <v>3501</v>
      </c>
      <c r="C977" s="2" t="str">
        <f>HYPERLINK("http://snap.windin.com/ns/bulletin.php?id=1833514&amp;type=1", "东方道迩:创业板首发招股说明书（申报稿）")</f>
        <v>东方道迩:创业板首发招股说明书（申报稿）</v>
      </c>
      <c r="D977" t="s">
        <v>7580</v>
      </c>
      <c r="E977" t="s">
        <v>5499</v>
      </c>
      <c r="F977" t="s">
        <v>5450</v>
      </c>
    </row>
    <row r="978" spans="1:6" x14ac:dyDescent="0.15">
      <c r="A978" s="1">
        <v>41023</v>
      </c>
      <c r="B978" t="s">
        <v>3502</v>
      </c>
      <c r="C978" s="2" t="str">
        <f>HYPERLINK("http://snap.windin.com/ns/bulletin.php?id=1567367&amp;type=1", "华龙电子:首次公开发行股票招股说明书（申报稿）")</f>
        <v>华龙电子:首次公开发行股票招股说明书（申报稿）</v>
      </c>
      <c r="D978" t="s">
        <v>7581</v>
      </c>
      <c r="E978" t="s">
        <v>5500</v>
      </c>
      <c r="F978" t="s">
        <v>5452</v>
      </c>
    </row>
    <row r="979" spans="1:6" x14ac:dyDescent="0.15">
      <c r="A979" s="1">
        <v>41023</v>
      </c>
      <c r="B979" t="s">
        <v>65</v>
      </c>
      <c r="C979" s="2" t="str">
        <f>HYPERLINK("http://snap.windin.com/ns/bulletin.php?id=1469502&amp;type=1", "永贵电器:创业板首发招股说明书（申报稿）")</f>
        <v>永贵电器:创业板首发招股说明书（申报稿）</v>
      </c>
      <c r="D979" t="s">
        <v>7582</v>
      </c>
      <c r="E979" t="s">
        <v>493</v>
      </c>
      <c r="F979" t="s">
        <v>5450</v>
      </c>
    </row>
    <row r="980" spans="1:6" x14ac:dyDescent="0.15">
      <c r="A980" s="1">
        <v>41023</v>
      </c>
      <c r="B980" t="s">
        <v>3503</v>
      </c>
      <c r="C980" s="2" t="str">
        <f>HYPERLINK("http://snap.windin.com/ns/bulletin.php?id=1515330&amp;type=1", "太平洋:首次公开发行股票招股说明书（申报稿）")</f>
        <v>太平洋:首次公开发行股票招股说明书（申报稿）</v>
      </c>
      <c r="D980" t="s">
        <v>7583</v>
      </c>
      <c r="E980" t="s">
        <v>5501</v>
      </c>
      <c r="F980" t="s">
        <v>5452</v>
      </c>
    </row>
    <row r="981" spans="1:6" x14ac:dyDescent="0.15">
      <c r="A981" s="1">
        <v>41023</v>
      </c>
      <c r="B981" t="s">
        <v>3504</v>
      </c>
      <c r="C981" s="2" t="str">
        <f>HYPERLINK("http://snap.windin.com/ns/bulletin.php?id=1493426&amp;type=1", "海南矿业:首次公开发行股票招股说明书（申报稿）")</f>
        <v>海南矿业:首次公开发行股票招股说明书（申报稿）</v>
      </c>
      <c r="D981" t="s">
        <v>7584</v>
      </c>
      <c r="E981" t="s">
        <v>4680</v>
      </c>
      <c r="F981" t="s">
        <v>5452</v>
      </c>
    </row>
    <row r="982" spans="1:6" x14ac:dyDescent="0.15">
      <c r="A982" s="1">
        <v>41023</v>
      </c>
      <c r="B982" t="s">
        <v>61</v>
      </c>
      <c r="C982" s="2" t="str">
        <f>HYPERLINK("http://snap.windin.com/ns/bulletin.php?id=1126793&amp;type=1", "蒙草股份:创业板首发招股说明书（申报稿）")</f>
        <v>蒙草股份:创业板首发招股说明书（申报稿）</v>
      </c>
      <c r="D982" t="s">
        <v>7585</v>
      </c>
      <c r="E982" t="s">
        <v>5498</v>
      </c>
      <c r="F982" t="s">
        <v>5450</v>
      </c>
    </row>
    <row r="983" spans="1:6" x14ac:dyDescent="0.15">
      <c r="A983" s="1">
        <v>41023</v>
      </c>
      <c r="B983" t="s">
        <v>3409</v>
      </c>
      <c r="C983" s="2" t="str">
        <f>HYPERLINK("http://snap.windin.com/ns/bulletin.php?id=974339&amp;type=1", "金龙股份:首次公开发行股票招股说明书（申报稿）")</f>
        <v>金龙股份:首次公开发行股票招股说明书（申报稿）</v>
      </c>
      <c r="D983" t="s">
        <v>7586</v>
      </c>
      <c r="E983" t="s">
        <v>5437</v>
      </c>
      <c r="F983" t="s">
        <v>5452</v>
      </c>
    </row>
    <row r="984" spans="1:6" x14ac:dyDescent="0.15">
      <c r="A984" s="1">
        <v>41022</v>
      </c>
      <c r="B984" t="s">
        <v>142</v>
      </c>
      <c r="C984" s="2" t="str">
        <f>HYPERLINK("http://snap.windin.com/ns/bulletin.php?id=1668612&amp;type=1", "戴维医疗:首次公开发行股票并在创业板上市招股说明书")</f>
        <v>戴维医疗:首次公开发行股票并在创业板上市招股说明书</v>
      </c>
      <c r="D984" t="s">
        <v>1570</v>
      </c>
      <c r="E984" t="s">
        <v>590</v>
      </c>
      <c r="F984" t="s">
        <v>455</v>
      </c>
    </row>
    <row r="985" spans="1:6" x14ac:dyDescent="0.15">
      <c r="A985" s="1">
        <v>41019</v>
      </c>
      <c r="B985" t="s">
        <v>147</v>
      </c>
      <c r="C985" s="2" t="str">
        <f>HYPERLINK("http://snap.windin.com/ns/bulletin.php?id=98345&amp;type=1", "西部证券:首次公开发行股票招股说明书")</f>
        <v>西部证券:首次公开发行股票招股说明书</v>
      </c>
      <c r="D985" t="s">
        <v>1576</v>
      </c>
      <c r="E985" t="s">
        <v>595</v>
      </c>
      <c r="F985" t="s">
        <v>399</v>
      </c>
    </row>
    <row r="986" spans="1:6" x14ac:dyDescent="0.15">
      <c r="A986" s="1">
        <v>41019</v>
      </c>
      <c r="B986" t="s">
        <v>155</v>
      </c>
      <c r="C986" s="2" t="str">
        <f>HYPERLINK("http://snap.windin.com/ns/bulletin.php?id=793692&amp;type=1", "怡球资源:首次公开发行股票招股说明书")</f>
        <v>怡球资源:首次公开发行股票招股说明书</v>
      </c>
      <c r="D986" t="s">
        <v>1572</v>
      </c>
      <c r="E986" t="s">
        <v>605</v>
      </c>
      <c r="F986" t="s">
        <v>399</v>
      </c>
    </row>
    <row r="987" spans="1:6" x14ac:dyDescent="0.15">
      <c r="A987" s="1">
        <v>41019</v>
      </c>
      <c r="B987" t="s">
        <v>25</v>
      </c>
      <c r="C987" s="2" t="str">
        <f>HYPERLINK("http://snap.windin.com/ns/bulletin.php?id=21846510&amp;type=1", "麦趣尔:首次公开发行股票招股说明书(申报稿)")</f>
        <v>麦趣尔:首次公开发行股票招股说明书(申报稿)</v>
      </c>
      <c r="D987" t="s">
        <v>7587</v>
      </c>
      <c r="E987" t="s">
        <v>424</v>
      </c>
      <c r="F987" t="s">
        <v>5466</v>
      </c>
    </row>
    <row r="988" spans="1:6" x14ac:dyDescent="0.15">
      <c r="A988" s="1">
        <v>41019</v>
      </c>
      <c r="B988" t="s">
        <v>2934</v>
      </c>
      <c r="C988" s="2" t="str">
        <f>HYPERLINK("http://snap.windin.com/ns/bulletin.php?id=1327220&amp;type=1", "北特科技:首次公开发行股票招股说明书（申报稿）")</f>
        <v>北特科技:首次公开发行股票招股说明书（申报稿）</v>
      </c>
      <c r="D988" t="s">
        <v>7588</v>
      </c>
      <c r="E988" t="s">
        <v>4853</v>
      </c>
      <c r="F988" t="s">
        <v>5452</v>
      </c>
    </row>
    <row r="989" spans="1:6" x14ac:dyDescent="0.15">
      <c r="A989" s="1">
        <v>41018</v>
      </c>
      <c r="B989" t="s">
        <v>3505</v>
      </c>
      <c r="C989" s="2" t="str">
        <f>HYPERLINK("http://snap.windin.com/ns/bulletin.php?id=1719298&amp;type=1", "国祯环保:创业板首发招股说明书（申报稿）")</f>
        <v>国祯环保:创业板首发招股说明书（申报稿）</v>
      </c>
      <c r="D989" t="s">
        <v>7589</v>
      </c>
      <c r="E989" t="s">
        <v>4645</v>
      </c>
      <c r="F989" t="s">
        <v>5450</v>
      </c>
    </row>
    <row r="990" spans="1:6" x14ac:dyDescent="0.15">
      <c r="A990" s="1">
        <v>41018</v>
      </c>
      <c r="B990" t="s">
        <v>3506</v>
      </c>
      <c r="C990" s="2" t="str">
        <f>HYPERLINK("http://snap.windin.com/ns/bulletin.php?id=1985067&amp;type=1", "中技股份:首次公开发行股票招股说明书（申报稿）")</f>
        <v>中技股份:首次公开发行股票招股说明书（申报稿）</v>
      </c>
      <c r="D990" t="s">
        <v>7590</v>
      </c>
      <c r="E990" t="s">
        <v>5502</v>
      </c>
      <c r="F990" t="s">
        <v>5452</v>
      </c>
    </row>
    <row r="991" spans="1:6" x14ac:dyDescent="0.15">
      <c r="A991" s="1">
        <v>41018</v>
      </c>
      <c r="B991" t="s">
        <v>3507</v>
      </c>
      <c r="C991" s="2" t="str">
        <f>HYPERLINK("http://snap.windin.com/ns/bulletin.php?id=123544&amp;type=1", "华锡集团:首次公开发行股票招股说明书")</f>
        <v>华锡集团:首次公开发行股票招股说明书</v>
      </c>
      <c r="D991" t="s">
        <v>7591</v>
      </c>
      <c r="E991" t="s">
        <v>5503</v>
      </c>
      <c r="F991" t="s">
        <v>399</v>
      </c>
    </row>
    <row r="992" spans="1:6" x14ac:dyDescent="0.15">
      <c r="A992" s="1">
        <v>41018</v>
      </c>
      <c r="B992" t="s">
        <v>3508</v>
      </c>
      <c r="C992" s="2" t="str">
        <f>HYPERLINK("http://snap.windin.com/ns/bulletin.php?id=238074&amp;type=1", "天珑移动:首次公开发行股票招股说明书（申报稿）")</f>
        <v>天珑移动:首次公开发行股票招股说明书（申报稿）</v>
      </c>
      <c r="D992" t="s">
        <v>7592</v>
      </c>
      <c r="E992" t="s">
        <v>5504</v>
      </c>
      <c r="F992" t="s">
        <v>5452</v>
      </c>
    </row>
    <row r="993" spans="1:6" x14ac:dyDescent="0.15">
      <c r="A993" s="1">
        <v>41018</v>
      </c>
      <c r="B993" t="s">
        <v>3429</v>
      </c>
      <c r="C993" s="2" t="str">
        <f>HYPERLINK("http://snap.windin.com/ns/bulletin.php?id=1198876&amp;type=1", "普莱柯:首次公开发行股票招股说明书（申报稿）")</f>
        <v>普莱柯:首次公开发行股票招股说明书（申报稿）</v>
      </c>
      <c r="D993" t="s">
        <v>7593</v>
      </c>
      <c r="E993" t="s">
        <v>4678</v>
      </c>
      <c r="F993" t="s">
        <v>5452</v>
      </c>
    </row>
    <row r="994" spans="1:6" x14ac:dyDescent="0.15">
      <c r="A994" s="1">
        <v>41018</v>
      </c>
      <c r="B994" t="s">
        <v>3509</v>
      </c>
      <c r="C994" s="2" t="str">
        <f>HYPERLINK("http://snap.windin.com/ns/bulletin.php?id=1232115&amp;type=1", "联冠电极:首次公开发行股票招股说明书（申报稿）")</f>
        <v>联冠电极:首次公开发行股票招股说明书（申报稿）</v>
      </c>
      <c r="D994" t="s">
        <v>7594</v>
      </c>
      <c r="E994" t="s">
        <v>5505</v>
      </c>
      <c r="F994" t="s">
        <v>5452</v>
      </c>
    </row>
    <row r="995" spans="1:6" x14ac:dyDescent="0.15">
      <c r="A995" s="1">
        <v>41018</v>
      </c>
      <c r="B995" t="s">
        <v>3510</v>
      </c>
      <c r="C995" s="2" t="str">
        <f>HYPERLINK("http://snap.windin.com/ns/bulletin.php?id=590371&amp;type=1", "福斯特:首次公开发行股票招股说明书（申报稿）")</f>
        <v>福斯特:首次公开发行股票招股说明书（申报稿）</v>
      </c>
      <c r="D995" t="s">
        <v>7595</v>
      </c>
      <c r="E995" t="s">
        <v>5240</v>
      </c>
      <c r="F995" t="s">
        <v>5452</v>
      </c>
    </row>
    <row r="996" spans="1:6" x14ac:dyDescent="0.15">
      <c r="A996" s="1">
        <v>41018</v>
      </c>
      <c r="B996" t="s">
        <v>3421</v>
      </c>
      <c r="C996" s="2" t="str">
        <f>HYPERLINK("http://snap.windin.com/ns/bulletin.php?id=2052795&amp;type=1", "艾华集团:首次公开发行股票招股说明书（申报稿）")</f>
        <v>艾华集团:首次公开发行股票招股说明书（申报稿）</v>
      </c>
      <c r="D996" t="s">
        <v>7596</v>
      </c>
      <c r="E996" t="s">
        <v>4684</v>
      </c>
      <c r="F996" t="s">
        <v>5452</v>
      </c>
    </row>
    <row r="997" spans="1:6" x14ac:dyDescent="0.15">
      <c r="A997" s="1">
        <v>41018</v>
      </c>
      <c r="B997" t="s">
        <v>63</v>
      </c>
      <c r="C997" s="2" t="str">
        <f>HYPERLINK("http://snap.windin.com/ns/bulletin.php?id=1983034&amp;type=1", "新疆浩源:首次公开发行股票招股说明书（申报稿）")</f>
        <v>新疆浩源:首次公开发行股票招股说明书（申报稿）</v>
      </c>
      <c r="D997" t="s">
        <v>7597</v>
      </c>
      <c r="E997" t="s">
        <v>491</v>
      </c>
      <c r="F997" t="s">
        <v>5452</v>
      </c>
    </row>
    <row r="998" spans="1:6" x14ac:dyDescent="0.15">
      <c r="A998" s="1">
        <v>41018</v>
      </c>
      <c r="B998" t="s">
        <v>3511</v>
      </c>
      <c r="C998" s="2" t="str">
        <f>HYPERLINK("http://snap.windin.com/ns/bulletin.php?id=1889392&amp;type=1", "精达成形:首次公开发行股票招股说明书（申报稿）")</f>
        <v>精达成形:首次公开发行股票招股说明书（申报稿）</v>
      </c>
      <c r="D998" t="s">
        <v>7598</v>
      </c>
      <c r="E998" t="s">
        <v>5210</v>
      </c>
      <c r="F998" t="s">
        <v>5452</v>
      </c>
    </row>
    <row r="999" spans="1:6" x14ac:dyDescent="0.15">
      <c r="A999" s="1">
        <v>41018</v>
      </c>
      <c r="B999" t="s">
        <v>3512</v>
      </c>
      <c r="C999" s="2" t="str">
        <f>HYPERLINK("http://snap.windin.com/ns/bulletin.php?id=1553797&amp;type=1", "沧海重工:首次公开发行股票招股说明书（申报稿）")</f>
        <v>沧海重工:首次公开发行股票招股说明书（申报稿）</v>
      </c>
      <c r="D999" t="s">
        <v>7599</v>
      </c>
      <c r="E999" t="s">
        <v>5506</v>
      </c>
      <c r="F999" t="s">
        <v>5452</v>
      </c>
    </row>
    <row r="1000" spans="1:6" x14ac:dyDescent="0.15">
      <c r="A1000" s="1">
        <v>41018</v>
      </c>
      <c r="B1000" t="s">
        <v>3513</v>
      </c>
      <c r="C1000" s="2" t="str">
        <f>HYPERLINK("http://snap.windin.com/ns/bulletin.php?id=1538535&amp;type=1", "来伊份:首次公开发行股票招股说明书（申报稿）")</f>
        <v>来伊份:首次公开发行股票招股说明书（申报稿）</v>
      </c>
      <c r="D1000" t="s">
        <v>7600</v>
      </c>
      <c r="E1000" t="s">
        <v>5389</v>
      </c>
      <c r="F1000" t="s">
        <v>5452</v>
      </c>
    </row>
    <row r="1001" spans="1:6" x14ac:dyDescent="0.15">
      <c r="A1001" s="1">
        <v>41018</v>
      </c>
      <c r="B1001" t="s">
        <v>3423</v>
      </c>
      <c r="C1001" s="2" t="str">
        <f>HYPERLINK("http://snap.windin.com/ns/bulletin.php?id=731458&amp;type=1", "洁华股份:首次公开发行股票招股说明书（申报稿）")</f>
        <v>洁华股份:首次公开发行股票招股说明书（申报稿）</v>
      </c>
      <c r="D1001" t="s">
        <v>7601</v>
      </c>
      <c r="E1001" t="s">
        <v>5448</v>
      </c>
      <c r="F1001" t="s">
        <v>5452</v>
      </c>
    </row>
    <row r="1002" spans="1:6" x14ac:dyDescent="0.15">
      <c r="A1002" s="1">
        <v>41018</v>
      </c>
      <c r="B1002" t="s">
        <v>45</v>
      </c>
      <c r="C1002" s="2" t="str">
        <f>HYPERLINK("http://snap.windin.com/ns/bulletin.php?id=21760384&amp;type=1", "应流股份:首次公开发行股票招股说明书(申报稿)")</f>
        <v>应流股份:首次公开发行股票招股说明书(申报稿)</v>
      </c>
      <c r="D1002" t="s">
        <v>7602</v>
      </c>
      <c r="E1002" t="s">
        <v>450</v>
      </c>
      <c r="F1002" t="s">
        <v>5466</v>
      </c>
    </row>
    <row r="1003" spans="1:6" x14ac:dyDescent="0.15">
      <c r="A1003" s="1">
        <v>41017</v>
      </c>
      <c r="B1003" t="s">
        <v>156</v>
      </c>
      <c r="C1003" s="2" t="str">
        <f>HYPERLINK("http://snap.windin.com/ns/bulletin.php?id=1180315&amp;type=1", "海通证券:H股--招股说明书（中文）")</f>
        <v>海通证券:H股--招股说明书（中文）</v>
      </c>
      <c r="D1003" t="s">
        <v>1579</v>
      </c>
      <c r="E1003" t="s">
        <v>606</v>
      </c>
      <c r="F1003" t="s">
        <v>607</v>
      </c>
    </row>
    <row r="1004" spans="1:6" x14ac:dyDescent="0.15">
      <c r="A1004" s="1">
        <v>41017</v>
      </c>
      <c r="B1004" t="s">
        <v>3515</v>
      </c>
      <c r="C1004" s="2" t="str">
        <f>HYPERLINK("http://snap.windin.com/ns/bulletin.php?id=1369955&amp;type=1", "应流机电:首次公开发行股票招股说明书（申报稿）")</f>
        <v>应流机电:首次公开发行股票招股说明书（申报稿）</v>
      </c>
      <c r="D1004" t="s">
        <v>7603</v>
      </c>
      <c r="E1004" t="s">
        <v>5507</v>
      </c>
      <c r="F1004" t="s">
        <v>5452</v>
      </c>
    </row>
    <row r="1005" spans="1:6" x14ac:dyDescent="0.15">
      <c r="A1005" s="1">
        <v>41017</v>
      </c>
      <c r="B1005" t="s">
        <v>3514</v>
      </c>
      <c r="C1005" s="2" t="str">
        <f>HYPERLINK("http://snap.windin.com/ns/bulletin.php?id=1142100&amp;type=1", "新乡日升:创业板首发招股说明书（申报稿）")</f>
        <v>新乡日升:创业板首发招股说明书（申报稿）</v>
      </c>
      <c r="D1005" t="s">
        <v>7604</v>
      </c>
      <c r="E1005" t="s">
        <v>4810</v>
      </c>
      <c r="F1005" t="s">
        <v>5450</v>
      </c>
    </row>
    <row r="1006" spans="1:6" x14ac:dyDescent="0.15">
      <c r="A1006" s="1">
        <v>41017</v>
      </c>
      <c r="B1006" t="s">
        <v>156</v>
      </c>
      <c r="C1006" s="2" t="str">
        <f>HYPERLINK("http://snap.windin.com/ns/bulletin.php?id=962018&amp;type=1", "海通证券:H股--招股说明书（英文）")</f>
        <v>海通证券:H股--招股说明书（英文）</v>
      </c>
      <c r="D1006" t="s">
        <v>1578</v>
      </c>
      <c r="E1006" t="s">
        <v>606</v>
      </c>
      <c r="F1006" t="s">
        <v>608</v>
      </c>
    </row>
    <row r="1007" spans="1:6" x14ac:dyDescent="0.15">
      <c r="A1007" s="1">
        <v>41016</v>
      </c>
      <c r="B1007" t="s">
        <v>150</v>
      </c>
      <c r="C1007" s="2" t="str">
        <f>HYPERLINK("http://snap.windin.com/ns/bulletin.php?id=1343380&amp;type=1", "龙泉股份:首次公开发行股票招股说明书")</f>
        <v>龙泉股份:首次公开发行股票招股说明书</v>
      </c>
      <c r="D1007" t="s">
        <v>1588</v>
      </c>
      <c r="E1007" t="s">
        <v>599</v>
      </c>
      <c r="F1007" t="s">
        <v>399</v>
      </c>
    </row>
    <row r="1008" spans="1:6" x14ac:dyDescent="0.15">
      <c r="A1008" s="1">
        <v>41015</v>
      </c>
      <c r="B1008" t="s">
        <v>148</v>
      </c>
      <c r="C1008" s="2" t="str">
        <f>HYPERLINK("http://snap.windin.com/ns/bulletin.php?id=1720342&amp;type=1", "东江环保:首次公开发行A股股票招股说明书")</f>
        <v>东江环保:首次公开发行A股股票招股说明书</v>
      </c>
      <c r="D1008" t="s">
        <v>1592</v>
      </c>
      <c r="E1008" t="s">
        <v>601</v>
      </c>
      <c r="F1008" t="s">
        <v>462</v>
      </c>
    </row>
    <row r="1009" spans="1:6" x14ac:dyDescent="0.15">
      <c r="A1009" s="1">
        <v>41015</v>
      </c>
      <c r="B1009" t="s">
        <v>153</v>
      </c>
      <c r="C1009" s="2" t="str">
        <f>HYPERLINK("http://snap.windin.com/ns/bulletin.php?id=1563343&amp;type=1", "天山生物:首次公开发行股票并在创业板上市招股说明书")</f>
        <v>天山生物:首次公开发行股票并在创业板上市招股说明书</v>
      </c>
      <c r="D1009" t="s">
        <v>1590</v>
      </c>
      <c r="E1009" t="s">
        <v>603</v>
      </c>
      <c r="F1009" t="s">
        <v>455</v>
      </c>
    </row>
    <row r="1010" spans="1:6" x14ac:dyDescent="0.15">
      <c r="A1010" s="1">
        <v>41012</v>
      </c>
      <c r="B1010" t="s">
        <v>154</v>
      </c>
      <c r="C1010" s="2" t="str">
        <f>HYPERLINK("http://snap.windin.com/ns/bulletin.php?id=236429&amp;type=1", "宜通世纪:首次公开发行股票并在创业板上市招股说明书")</f>
        <v>宜通世纪:首次公开发行股票并在创业板上市招股说明书</v>
      </c>
      <c r="D1010" t="s">
        <v>1596</v>
      </c>
      <c r="E1010" t="s">
        <v>604</v>
      </c>
      <c r="F1010" t="s">
        <v>455</v>
      </c>
    </row>
    <row r="1011" spans="1:6" x14ac:dyDescent="0.15">
      <c r="A1011" s="1">
        <v>41012</v>
      </c>
      <c r="B1011" t="s">
        <v>152</v>
      </c>
      <c r="C1011" s="2" t="str">
        <f>HYPERLINK("http://snap.windin.com/ns/bulletin.php?id=495008&amp;type=1", "任子行:首次公开发行股票并在创业板上市招股说明书")</f>
        <v>任子行:首次公开发行股票并在创业板上市招股说明书</v>
      </c>
      <c r="D1011" t="s">
        <v>1595</v>
      </c>
      <c r="E1011" t="s">
        <v>602</v>
      </c>
      <c r="F1011" t="s">
        <v>455</v>
      </c>
    </row>
    <row r="1012" spans="1:6" x14ac:dyDescent="0.15">
      <c r="A1012" s="1">
        <v>41012</v>
      </c>
      <c r="B1012" t="s">
        <v>3516</v>
      </c>
      <c r="C1012" s="2" t="str">
        <f>HYPERLINK("http://snap.windin.com/ns/bulletin.php?id=2064817&amp;type=1", "东方网力:创业板首发招股说明书（申报稿）")</f>
        <v>东方网力:创业板首发招股说明书（申报稿）</v>
      </c>
      <c r="D1012" t="s">
        <v>7605</v>
      </c>
      <c r="E1012" t="s">
        <v>416</v>
      </c>
      <c r="F1012" t="s">
        <v>5450</v>
      </c>
    </row>
    <row r="1013" spans="1:6" x14ac:dyDescent="0.15">
      <c r="A1013" s="1">
        <v>41012</v>
      </c>
      <c r="B1013" t="s">
        <v>64</v>
      </c>
      <c r="C1013" s="2" t="str">
        <f>HYPERLINK("http://snap.windin.com/ns/bulletin.php?id=1860690&amp;type=1", "东华测试:创业板首发招股说明书（申报稿）")</f>
        <v>东华测试:创业板首发招股说明书（申报稿）</v>
      </c>
      <c r="D1013" t="s">
        <v>7606</v>
      </c>
      <c r="E1013" t="s">
        <v>492</v>
      </c>
      <c r="F1013" t="s">
        <v>5450</v>
      </c>
    </row>
    <row r="1014" spans="1:6" x14ac:dyDescent="0.15">
      <c r="A1014" s="1">
        <v>41012</v>
      </c>
      <c r="B1014" t="s">
        <v>19</v>
      </c>
      <c r="C1014" s="2" t="str">
        <f>HYPERLINK("http://snap.windin.com/ns/bulletin.php?id=21810728&amp;type=1", "东方网力:创业板首发招股说明书(申报稿)")</f>
        <v>东方网力:创业板首发招股说明书(申报稿)</v>
      </c>
      <c r="D1014" t="s">
        <v>7607</v>
      </c>
      <c r="E1014" t="s">
        <v>416</v>
      </c>
      <c r="F1014" t="s">
        <v>5462</v>
      </c>
    </row>
    <row r="1015" spans="1:6" x14ac:dyDescent="0.15">
      <c r="A1015" s="1">
        <v>41012</v>
      </c>
      <c r="B1015" t="s">
        <v>15</v>
      </c>
      <c r="C1015" s="2" t="str">
        <f>HYPERLINK("http://snap.windin.com/ns/bulletin.php?id=21810698&amp;type=1", "绿盟科技:创业板首发招股说明书(申报稿)")</f>
        <v>绿盟科技:创业板首发招股说明书(申报稿)</v>
      </c>
      <c r="D1015" t="s">
        <v>7608</v>
      </c>
      <c r="E1015" t="s">
        <v>409</v>
      </c>
      <c r="F1015" t="s">
        <v>5462</v>
      </c>
    </row>
    <row r="1016" spans="1:6" x14ac:dyDescent="0.15">
      <c r="A1016" s="1">
        <v>41012</v>
      </c>
      <c r="B1016" t="s">
        <v>6</v>
      </c>
      <c r="C1016" s="2" t="str">
        <f>HYPERLINK("http://snap.windin.com/ns/bulletin.php?id=21811058&amp;type=1", "安控股份:创业板首发招股说明书(申报稿)")</f>
        <v>安控股份:创业板首发招股说明书(申报稿)</v>
      </c>
      <c r="D1016" t="s">
        <v>7609</v>
      </c>
      <c r="E1016" t="s">
        <v>386</v>
      </c>
      <c r="F1016" t="s">
        <v>5462</v>
      </c>
    </row>
    <row r="1017" spans="1:6" x14ac:dyDescent="0.15">
      <c r="A1017" s="1">
        <v>41011</v>
      </c>
      <c r="B1017" t="s">
        <v>3517</v>
      </c>
      <c r="C1017" s="2" t="str">
        <f>HYPERLINK("http://snap.windin.com/ns/bulletin.php?id=1633277&amp;type=1", "绿盟科技:创业板首发招股说明书（申报稿）")</f>
        <v>绿盟科技:创业板首发招股说明书（申报稿）</v>
      </c>
      <c r="D1017" t="s">
        <v>7610</v>
      </c>
      <c r="E1017" t="s">
        <v>409</v>
      </c>
      <c r="F1017" t="s">
        <v>5450</v>
      </c>
    </row>
    <row r="1018" spans="1:6" x14ac:dyDescent="0.15">
      <c r="A1018" s="1">
        <v>41011</v>
      </c>
      <c r="B1018" t="s">
        <v>3518</v>
      </c>
      <c r="C1018" s="2" t="str">
        <f>HYPERLINK("http://snap.windin.com/ns/bulletin.php?id=144555&amp;type=1", "新大地:创业板首发招股说明书（申报稿）")</f>
        <v>新大地:创业板首发招股说明书（申报稿）</v>
      </c>
      <c r="D1018" t="s">
        <v>7611</v>
      </c>
      <c r="E1018" t="s">
        <v>5508</v>
      </c>
      <c r="F1018" t="s">
        <v>5450</v>
      </c>
    </row>
    <row r="1019" spans="1:6" x14ac:dyDescent="0.15">
      <c r="A1019" s="1">
        <v>41011</v>
      </c>
      <c r="B1019" t="s">
        <v>3520</v>
      </c>
      <c r="C1019" s="2" t="str">
        <f>HYPERLINK("http://snap.windin.com/ns/bulletin.php?id=1386271&amp;type=1", "三奥股份:创业板首发招股说明书（申报稿）")</f>
        <v>三奥股份:创业板首发招股说明书（申报稿）</v>
      </c>
      <c r="D1019" t="s">
        <v>7612</v>
      </c>
      <c r="E1019" t="s">
        <v>5510</v>
      </c>
      <c r="F1019" t="s">
        <v>5450</v>
      </c>
    </row>
    <row r="1020" spans="1:6" x14ac:dyDescent="0.15">
      <c r="A1020" s="1">
        <v>41011</v>
      </c>
      <c r="B1020" t="s">
        <v>3521</v>
      </c>
      <c r="C1020" s="2" t="str">
        <f>HYPERLINK("http://snap.windin.com/ns/bulletin.php?id=1819393&amp;type=1", "安控科技:创业板首发招股说明书（申报稿）")</f>
        <v>安控科技:创业板首发招股说明书（申报稿）</v>
      </c>
      <c r="D1020" t="s">
        <v>7613</v>
      </c>
      <c r="E1020" t="s">
        <v>5511</v>
      </c>
      <c r="F1020" t="s">
        <v>5450</v>
      </c>
    </row>
    <row r="1021" spans="1:6" x14ac:dyDescent="0.15">
      <c r="A1021" s="1">
        <v>41011</v>
      </c>
      <c r="B1021" t="s">
        <v>3519</v>
      </c>
      <c r="C1021" s="2" t="str">
        <f>HYPERLINK("http://snap.windin.com/ns/bulletin.php?id=1803446&amp;type=1", "大地水刀:创业板首发招股说明书（申报稿）")</f>
        <v>大地水刀:创业板首发招股说明书（申报稿）</v>
      </c>
      <c r="D1021" t="s">
        <v>7614</v>
      </c>
      <c r="E1021" t="s">
        <v>5509</v>
      </c>
      <c r="F1021" t="s">
        <v>5450</v>
      </c>
    </row>
    <row r="1022" spans="1:6" x14ac:dyDescent="0.15">
      <c r="A1022" s="1">
        <v>41011</v>
      </c>
      <c r="B1022" t="s">
        <v>3404</v>
      </c>
      <c r="C1022" s="2" t="str">
        <f>HYPERLINK("http://snap.windin.com/ns/bulletin.php?id=21845686&amp;type=1", "宏良股份:首次公开发行股票招股说明书(申报稿)")</f>
        <v>宏良股份:首次公开发行股票招股说明书(申报稿)</v>
      </c>
      <c r="D1022" t="s">
        <v>7615</v>
      </c>
      <c r="E1022" t="s">
        <v>5432</v>
      </c>
      <c r="F1022" t="s">
        <v>5466</v>
      </c>
    </row>
    <row r="1023" spans="1:6" x14ac:dyDescent="0.15">
      <c r="A1023" s="1">
        <v>41010</v>
      </c>
      <c r="B1023" t="s">
        <v>3418</v>
      </c>
      <c r="C1023" s="2" t="str">
        <f>HYPERLINK("http://snap.windin.com/ns/bulletin.php?id=1715565&amp;type=1", "中节能:首次公开发行股票招股说明书（申报稿）")</f>
        <v>中节能:首次公开发行股票招股说明书（申报稿）</v>
      </c>
      <c r="D1023" t="s">
        <v>7616</v>
      </c>
      <c r="E1023" t="s">
        <v>5302</v>
      </c>
      <c r="F1023" t="s">
        <v>5452</v>
      </c>
    </row>
    <row r="1024" spans="1:6" x14ac:dyDescent="0.15">
      <c r="A1024" s="1">
        <v>41010</v>
      </c>
      <c r="B1024" t="s">
        <v>3522</v>
      </c>
      <c r="C1024" s="2" t="str">
        <f>HYPERLINK("http://snap.windin.com/ns/bulletin.php?id=1651333&amp;type=1", "欧贝黎:首次公开发行股票招股说明书（申报稿）")</f>
        <v>欧贝黎:首次公开发行股票招股说明书（申报稿）</v>
      </c>
      <c r="D1024" t="s">
        <v>7617</v>
      </c>
      <c r="E1024" t="s">
        <v>5512</v>
      </c>
      <c r="F1024" t="s">
        <v>5452</v>
      </c>
    </row>
    <row r="1025" spans="1:6" x14ac:dyDescent="0.15">
      <c r="A1025" s="1">
        <v>41010</v>
      </c>
      <c r="B1025" t="s">
        <v>3422</v>
      </c>
      <c r="C1025" s="2" t="str">
        <f>HYPERLINK("http://snap.windin.com/ns/bulletin.php?id=239267&amp;type=1", "浙旅股份:首发招股说明书（申报稿）")</f>
        <v>浙旅股份:首发招股说明书（申报稿）</v>
      </c>
      <c r="D1025" t="s">
        <v>7618</v>
      </c>
      <c r="E1025" t="s">
        <v>5447</v>
      </c>
      <c r="F1025" t="s">
        <v>5513</v>
      </c>
    </row>
    <row r="1026" spans="1:6" x14ac:dyDescent="0.15">
      <c r="A1026" s="1">
        <v>41010</v>
      </c>
      <c r="B1026" t="s">
        <v>62</v>
      </c>
      <c r="C1026" s="2" t="str">
        <f>HYPERLINK("http://snap.windin.com/ns/bulletin.php?id=1570935&amp;type=1", "东土科技:创业板首发招股说明书（申报稿）")</f>
        <v>东土科技:创业板首发招股说明书（申报稿）</v>
      </c>
      <c r="D1026" t="s">
        <v>7619</v>
      </c>
      <c r="E1026" t="s">
        <v>490</v>
      </c>
      <c r="F1026" t="s">
        <v>5450</v>
      </c>
    </row>
    <row r="1027" spans="1:6" x14ac:dyDescent="0.15">
      <c r="A1027" s="1">
        <v>41010</v>
      </c>
      <c r="B1027" t="s">
        <v>3524</v>
      </c>
      <c r="C1027" s="2" t="str">
        <f>HYPERLINK("http://snap.windin.com/ns/bulletin.php?id=1562928&amp;type=1", "宏良皮业:首次公开发行股票招股说明书（申报稿）")</f>
        <v>宏良皮业:首次公开发行股票招股说明书（申报稿）</v>
      </c>
      <c r="D1027" t="s">
        <v>7620</v>
      </c>
      <c r="E1027" t="s">
        <v>5514</v>
      </c>
      <c r="F1027" t="s">
        <v>5452</v>
      </c>
    </row>
    <row r="1028" spans="1:6" x14ac:dyDescent="0.15">
      <c r="A1028" s="1">
        <v>41010</v>
      </c>
      <c r="B1028" t="s">
        <v>3428</v>
      </c>
      <c r="C1028" s="2" t="str">
        <f>HYPERLINK("http://snap.windin.com/ns/bulletin.php?id=1541539&amp;type=1", "依顿科技:首次公开发行股票招股说明书(申报稿)")</f>
        <v>依顿科技:首次公开发行股票招股说明书(申报稿)</v>
      </c>
      <c r="D1028" t="s">
        <v>7621</v>
      </c>
      <c r="E1028" t="s">
        <v>5388</v>
      </c>
      <c r="F1028" t="s">
        <v>5466</v>
      </c>
    </row>
    <row r="1029" spans="1:6" x14ac:dyDescent="0.15">
      <c r="A1029" s="1">
        <v>41010</v>
      </c>
      <c r="B1029" t="s">
        <v>3525</v>
      </c>
      <c r="C1029" s="2" t="str">
        <f>HYPERLINK("http://snap.windin.com/ns/bulletin.php?id=608196&amp;type=1", "大中矿业:首次公开发行股票招股说明书（申报稿）")</f>
        <v>大中矿业:首次公开发行股票招股说明书（申报稿）</v>
      </c>
      <c r="D1029" t="s">
        <v>7622</v>
      </c>
      <c r="E1029" t="s">
        <v>5235</v>
      </c>
      <c r="F1029" t="s">
        <v>5452</v>
      </c>
    </row>
    <row r="1030" spans="1:6" x14ac:dyDescent="0.15">
      <c r="A1030" s="1">
        <v>41010</v>
      </c>
      <c r="B1030" t="s">
        <v>3523</v>
      </c>
      <c r="C1030" s="2" t="str">
        <f>HYPERLINK("http://snap.windin.com/ns/bulletin.php?id=1278367&amp;type=1", "奥力威:创业板首发招股说明书（申报稿）")</f>
        <v>奥力威:创业板首发招股说明书（申报稿）</v>
      </c>
      <c r="D1030" t="s">
        <v>7623</v>
      </c>
      <c r="E1030" t="s">
        <v>5097</v>
      </c>
      <c r="F1030" t="s">
        <v>5450</v>
      </c>
    </row>
    <row r="1031" spans="1:6" x14ac:dyDescent="0.15">
      <c r="A1031" s="1">
        <v>41010</v>
      </c>
      <c r="B1031" t="s">
        <v>3526</v>
      </c>
      <c r="C1031" s="2" t="str">
        <f>HYPERLINK("http://snap.windin.com/ns/bulletin.php?id=844189&amp;type=1", "纽威阀门:首次公开发行股票招股说明书（申报稿）")</f>
        <v>纽威阀门:首次公开发行股票招股说明书（申报稿）</v>
      </c>
      <c r="D1031" t="s">
        <v>7624</v>
      </c>
      <c r="E1031" t="s">
        <v>5515</v>
      </c>
      <c r="F1031" t="s">
        <v>5452</v>
      </c>
    </row>
    <row r="1032" spans="1:6" x14ac:dyDescent="0.15">
      <c r="A1032" s="1">
        <v>41010</v>
      </c>
      <c r="B1032" t="s">
        <v>3408</v>
      </c>
      <c r="C1032" s="2" t="str">
        <f>HYPERLINK("http://snap.windin.com/ns/bulletin.php?id=959845&amp;type=1", "福达股份:首次公开发行股票招股说明书（申报稿）")</f>
        <v>福达股份:首次公开发行股票招股说明书（申报稿）</v>
      </c>
      <c r="D1032" t="s">
        <v>7625</v>
      </c>
      <c r="E1032" t="s">
        <v>5284</v>
      </c>
      <c r="F1032" t="s">
        <v>5452</v>
      </c>
    </row>
    <row r="1033" spans="1:6" x14ac:dyDescent="0.15">
      <c r="A1033" s="1">
        <v>41010</v>
      </c>
      <c r="B1033" t="s">
        <v>53</v>
      </c>
      <c r="C1033" s="2" t="str">
        <f>HYPERLINK("http://snap.windin.com/ns/bulletin.php?id=21750420&amp;type=1", "纽威股份:首次公开发行股票招股说明书(申报稿)")</f>
        <v>纽威股份:首次公开发行股票招股说明书(申报稿)</v>
      </c>
      <c r="D1033" t="s">
        <v>7626</v>
      </c>
      <c r="E1033" t="s">
        <v>463</v>
      </c>
      <c r="F1033" t="s">
        <v>5466</v>
      </c>
    </row>
    <row r="1034" spans="1:6" x14ac:dyDescent="0.15">
      <c r="A1034" s="1">
        <v>41009</v>
      </c>
      <c r="B1034" t="s">
        <v>161</v>
      </c>
      <c r="C1034" s="2" t="str">
        <f>HYPERLINK("http://snap.windin.com/ns/bulletin.php?id=1747454&amp;type=1", "隆基股份:首次公开发行股票招股说明书")</f>
        <v>隆基股份:首次公开发行股票招股说明书</v>
      </c>
      <c r="D1034" t="s">
        <v>1612</v>
      </c>
      <c r="E1034" t="s">
        <v>617</v>
      </c>
      <c r="F1034" t="s">
        <v>399</v>
      </c>
    </row>
    <row r="1035" spans="1:6" x14ac:dyDescent="0.15">
      <c r="A1035" s="1">
        <v>41009</v>
      </c>
      <c r="B1035" t="s">
        <v>3527</v>
      </c>
      <c r="C1035" s="2" t="str">
        <f>HYPERLINK("http://snap.windin.com/ns/bulletin.php?id=1287718&amp;type=1", "百胜科技:创业板首发招股说明书（申报稿）")</f>
        <v>百胜科技:创业板首发招股说明书（申报稿）</v>
      </c>
      <c r="D1035" t="s">
        <v>7627</v>
      </c>
      <c r="E1035" t="s">
        <v>5516</v>
      </c>
      <c r="F1035" t="s">
        <v>5450</v>
      </c>
    </row>
    <row r="1036" spans="1:6" x14ac:dyDescent="0.15">
      <c r="A1036" s="1">
        <v>41009</v>
      </c>
      <c r="B1036" t="s">
        <v>59</v>
      </c>
      <c r="C1036" s="2" t="str">
        <f>HYPERLINK("http://snap.windin.com/ns/bulletin.php?id=1021849&amp;type=1", "光一科技:创业板首发招股说明书（申报稿）")</f>
        <v>光一科技:创业板首发招股说明书（申报稿）</v>
      </c>
      <c r="D1036" t="s">
        <v>7628</v>
      </c>
      <c r="E1036" t="s">
        <v>487</v>
      </c>
      <c r="F1036" t="s">
        <v>5450</v>
      </c>
    </row>
    <row r="1037" spans="1:6" x14ac:dyDescent="0.15">
      <c r="A1037" s="1">
        <v>41006</v>
      </c>
      <c r="B1037" t="s">
        <v>52</v>
      </c>
      <c r="C1037" s="2" t="str">
        <f>HYPERLINK("http://snap.windin.com/ns/bulletin.php?id=21752492&amp;type=1", "良信电器:首次公开发行股票招股说明书(申报稿)")</f>
        <v>良信电器:首次公开发行股票招股说明书(申报稿)</v>
      </c>
      <c r="D1037" t="s">
        <v>7629</v>
      </c>
      <c r="E1037" t="s">
        <v>458</v>
      </c>
      <c r="F1037" t="s">
        <v>5466</v>
      </c>
    </row>
    <row r="1038" spans="1:6" x14ac:dyDescent="0.15">
      <c r="A1038" s="1">
        <v>41006</v>
      </c>
      <c r="B1038" t="s">
        <v>23</v>
      </c>
      <c r="C1038" s="2" t="str">
        <f>HYPERLINK("http://snap.windin.com/ns/bulletin.php?id=21851498&amp;type=1", "金轮股份:首次公开发行股票招股说明书(申报稿)")</f>
        <v>金轮股份:首次公开发行股票招股说明书(申报稿)</v>
      </c>
      <c r="D1038" t="s">
        <v>7630</v>
      </c>
      <c r="E1038" t="s">
        <v>422</v>
      </c>
      <c r="F1038" t="s">
        <v>5466</v>
      </c>
    </row>
    <row r="1039" spans="1:6" x14ac:dyDescent="0.15">
      <c r="A1039" s="1">
        <v>41006</v>
      </c>
      <c r="B1039" t="s">
        <v>24</v>
      </c>
      <c r="C1039" s="2" t="str">
        <f>HYPERLINK("http://snap.windin.com/ns/bulletin.php?id=21851318&amp;type=1", "牧原股份:首次公开发行股票招股说明书(申报稿)")</f>
        <v>牧原股份:首次公开发行股票招股说明书(申报稿)</v>
      </c>
      <c r="D1039" t="s">
        <v>7631</v>
      </c>
      <c r="E1039" t="s">
        <v>423</v>
      </c>
      <c r="F1039" t="s">
        <v>5466</v>
      </c>
    </row>
    <row r="1040" spans="1:6" x14ac:dyDescent="0.15">
      <c r="A1040" s="1">
        <v>41005</v>
      </c>
      <c r="B1040" t="s">
        <v>56</v>
      </c>
      <c r="C1040" s="2" t="str">
        <f>HYPERLINK("http://snap.windin.com/ns/bulletin.php?id=1742525&amp;type=1", "浙江世宝:首次公开发行股票招股说明书（申报稿）")</f>
        <v>浙江世宝:首次公开发行股票招股说明书（申报稿）</v>
      </c>
      <c r="D1040" t="s">
        <v>7632</v>
      </c>
      <c r="E1040" t="s">
        <v>484</v>
      </c>
      <c r="F1040" t="s">
        <v>5452</v>
      </c>
    </row>
    <row r="1041" spans="1:6" x14ac:dyDescent="0.15">
      <c r="A1041" s="1">
        <v>41005</v>
      </c>
      <c r="B1041" t="s">
        <v>3426</v>
      </c>
      <c r="C1041" s="2" t="str">
        <f>HYPERLINK("http://snap.windin.com/ns/bulletin.php?id=1764925&amp;type=1", "崇达技术:首次公开发行股票招股说明书（申报稿）")</f>
        <v>崇达技术:首次公开发行股票招股说明书（申报稿）</v>
      </c>
      <c r="D1041" t="s">
        <v>7633</v>
      </c>
      <c r="E1041" t="s">
        <v>5058</v>
      </c>
      <c r="F1041" t="s">
        <v>5452</v>
      </c>
    </row>
    <row r="1042" spans="1:6" x14ac:dyDescent="0.15">
      <c r="A1042" s="1">
        <v>41005</v>
      </c>
      <c r="B1042" t="s">
        <v>3528</v>
      </c>
      <c r="C1042" s="2" t="str">
        <f>HYPERLINK("http://snap.windin.com/ns/bulletin.php?id=81792&amp;type=1", "珠江桥:首次公开发行股票招股说明书（申报稿）")</f>
        <v>珠江桥:首次公开发行股票招股说明书（申报稿）</v>
      </c>
      <c r="D1042" t="s">
        <v>7634</v>
      </c>
      <c r="E1042" t="s">
        <v>5517</v>
      </c>
      <c r="F1042" t="s">
        <v>5452</v>
      </c>
    </row>
    <row r="1043" spans="1:6" x14ac:dyDescent="0.15">
      <c r="A1043" s="1">
        <v>41005</v>
      </c>
      <c r="B1043" t="s">
        <v>3529</v>
      </c>
      <c r="C1043" s="2" t="str">
        <f>HYPERLINK("http://snap.windin.com/ns/bulletin.php?id=1572292&amp;type=1", "牧原食品:首次公开发行股票招股说明书（申报稿）")</f>
        <v>牧原食品:首次公开发行股票招股说明书（申报稿）</v>
      </c>
      <c r="D1043" t="s">
        <v>7635</v>
      </c>
      <c r="E1043" t="s">
        <v>5518</v>
      </c>
      <c r="F1043" t="s">
        <v>5452</v>
      </c>
    </row>
    <row r="1044" spans="1:6" x14ac:dyDescent="0.15">
      <c r="A1044" s="1">
        <v>41005</v>
      </c>
      <c r="B1044" t="s">
        <v>3530</v>
      </c>
      <c r="C1044" s="2" t="str">
        <f>HYPERLINK("http://snap.windin.com/ns/bulletin.php?id=1454409&amp;type=1", "志诚泰和:首次公开发行股票招股说明书（申报稿）")</f>
        <v>志诚泰和:首次公开发行股票招股说明书（申报稿）</v>
      </c>
      <c r="D1044" t="s">
        <v>7636</v>
      </c>
      <c r="E1044" t="s">
        <v>5519</v>
      </c>
      <c r="F1044" t="s">
        <v>5452</v>
      </c>
    </row>
    <row r="1045" spans="1:6" x14ac:dyDescent="0.15">
      <c r="A1045" s="1">
        <v>41005</v>
      </c>
      <c r="B1045" t="s">
        <v>3531</v>
      </c>
      <c r="C1045" s="2" t="str">
        <f>HYPERLINK("http://snap.windin.com/ns/bulletin.php?id=1489159&amp;type=1", "良信电器:首次公开发行股票招股说明书（申报稿）")</f>
        <v>良信电器:首次公开发行股票招股说明书（申报稿）</v>
      </c>
      <c r="D1045" t="s">
        <v>7637</v>
      </c>
      <c r="E1045" t="s">
        <v>458</v>
      </c>
      <c r="F1045" t="s">
        <v>5452</v>
      </c>
    </row>
    <row r="1046" spans="1:6" x14ac:dyDescent="0.15">
      <c r="A1046" s="1">
        <v>41005</v>
      </c>
      <c r="B1046" t="s">
        <v>3532</v>
      </c>
      <c r="C1046" s="2" t="str">
        <f>HYPERLINK("http://snap.windin.com/ns/bulletin.php?id=1535372&amp;type=1", "赛瓦特:首次公开发行股票招股说明书（申报稿）")</f>
        <v>赛瓦特:首次公开发行股票招股说明书（申报稿）</v>
      </c>
      <c r="D1046" t="s">
        <v>7638</v>
      </c>
      <c r="E1046" t="s">
        <v>5520</v>
      </c>
      <c r="F1046" t="s">
        <v>5452</v>
      </c>
    </row>
    <row r="1047" spans="1:6" x14ac:dyDescent="0.15">
      <c r="A1047" s="1">
        <v>41004</v>
      </c>
      <c r="B1047" t="s">
        <v>3533</v>
      </c>
      <c r="C1047" s="2" t="str">
        <f>HYPERLINK("http://snap.windin.com/ns/bulletin.php?id=129032&amp;type=1", "上机数控:创业板首发招股说明书（申报稿）")</f>
        <v>上机数控:创业板首发招股说明书（申报稿）</v>
      </c>
      <c r="D1047" t="s">
        <v>7639</v>
      </c>
      <c r="E1047" t="s">
        <v>5521</v>
      </c>
      <c r="F1047" t="s">
        <v>5450</v>
      </c>
    </row>
    <row r="1048" spans="1:6" x14ac:dyDescent="0.15">
      <c r="A1048" s="1">
        <v>41004</v>
      </c>
      <c r="B1048" t="s">
        <v>157</v>
      </c>
      <c r="C1048" s="2" t="str">
        <f>HYPERLINK("http://snap.windin.com/ns/bulletin.php?id=2055436&amp;type=1", "华声股份:首次公开发行股票招股说明书")</f>
        <v>华声股份:首次公开发行股票招股说明书</v>
      </c>
      <c r="D1048" t="s">
        <v>1627</v>
      </c>
      <c r="E1048" t="s">
        <v>611</v>
      </c>
      <c r="F1048" t="s">
        <v>399</v>
      </c>
    </row>
    <row r="1049" spans="1:6" x14ac:dyDescent="0.15">
      <c r="A1049" s="1">
        <v>40999</v>
      </c>
      <c r="B1049" t="s">
        <v>16</v>
      </c>
      <c r="C1049" s="2" t="str">
        <f>HYPERLINK("http://snap.windin.com/ns/bulletin.php?id=21845736&amp;type=1", "斯莱克:首次公开发行股票招股说明书(申报稿)")</f>
        <v>斯莱克:首次公开发行股票招股说明书(申报稿)</v>
      </c>
      <c r="D1049" t="s">
        <v>7640</v>
      </c>
      <c r="E1049" t="s">
        <v>411</v>
      </c>
      <c r="F1049" t="s">
        <v>5466</v>
      </c>
    </row>
    <row r="1050" spans="1:6" x14ac:dyDescent="0.15">
      <c r="A1050" s="1">
        <v>40999</v>
      </c>
      <c r="B1050" t="s">
        <v>51</v>
      </c>
      <c r="C1050" s="2" t="str">
        <f>HYPERLINK("http://snap.windin.com/ns/bulletin.php?id=21760428&amp;type=1", "光洋股份:首次公开发行股票招股说明书(申报稿)")</f>
        <v>光洋股份:首次公开发行股票招股说明书(申报稿)</v>
      </c>
      <c r="D1050" t="s">
        <v>7641</v>
      </c>
      <c r="E1050" t="s">
        <v>457</v>
      </c>
      <c r="F1050" t="s">
        <v>5466</v>
      </c>
    </row>
    <row r="1051" spans="1:6" x14ac:dyDescent="0.15">
      <c r="A1051" s="1">
        <v>40999</v>
      </c>
      <c r="B1051" t="s">
        <v>41</v>
      </c>
      <c r="C1051" s="2" t="str">
        <f>HYPERLINK("http://snap.windin.com/ns/bulletin.php?id=21760408&amp;type=1", "天赐材料:首次公开发行股票招股说明书(申报稿)")</f>
        <v>天赐材料:首次公开发行股票招股说明书(申报稿)</v>
      </c>
      <c r="D1051" t="s">
        <v>7642</v>
      </c>
      <c r="E1051" t="s">
        <v>445</v>
      </c>
      <c r="F1051" t="s">
        <v>5466</v>
      </c>
    </row>
    <row r="1052" spans="1:6" x14ac:dyDescent="0.15">
      <c r="A1052" s="1">
        <v>40999</v>
      </c>
      <c r="B1052" t="s">
        <v>17</v>
      </c>
      <c r="C1052" s="2" t="str">
        <f>HYPERLINK("http://snap.windin.com/ns/bulletin.php?id=21851538&amp;type=1", "跃岭股份:首次公开发行股票招股说明书(申报稿)")</f>
        <v>跃岭股份:首次公开发行股票招股说明书(申报稿)</v>
      </c>
      <c r="D1052" t="s">
        <v>7643</v>
      </c>
      <c r="E1052" t="s">
        <v>413</v>
      </c>
      <c r="F1052" t="s">
        <v>5466</v>
      </c>
    </row>
    <row r="1053" spans="1:6" x14ac:dyDescent="0.15">
      <c r="A1053" s="1">
        <v>40999</v>
      </c>
      <c r="B1053" t="s">
        <v>37</v>
      </c>
      <c r="C1053" s="2" t="str">
        <f>HYPERLINK("http://snap.windin.com/ns/bulletin.php?id=21843048&amp;type=1", "贵人鸟:首次公开发行股票招股说明书(申报稿)")</f>
        <v>贵人鸟:首次公开发行股票招股说明书(申报稿)</v>
      </c>
      <c r="D1053" t="s">
        <v>7644</v>
      </c>
      <c r="E1053" t="s">
        <v>441</v>
      </c>
      <c r="F1053" t="s">
        <v>5466</v>
      </c>
    </row>
    <row r="1054" spans="1:6" x14ac:dyDescent="0.15">
      <c r="A1054" s="1">
        <v>40998</v>
      </c>
      <c r="B1054" t="s">
        <v>58</v>
      </c>
      <c r="C1054" s="2" t="str">
        <f>HYPERLINK("http://snap.windin.com/ns/bulletin.php?id=114704&amp;type=1", "腾新食品:首次公开发行股票招股说明书（申报稿）")</f>
        <v>腾新食品:首次公开发行股票招股说明书（申报稿）</v>
      </c>
      <c r="D1054" t="s">
        <v>7645</v>
      </c>
      <c r="E1054" t="s">
        <v>486</v>
      </c>
      <c r="F1054" t="s">
        <v>5452</v>
      </c>
    </row>
    <row r="1055" spans="1:6" x14ac:dyDescent="0.15">
      <c r="A1055" s="1">
        <v>40998</v>
      </c>
      <c r="B1055" t="s">
        <v>3534</v>
      </c>
      <c r="C1055" s="2" t="str">
        <f>HYPERLINK("http://snap.windin.com/ns/bulletin.php?id=1326167&amp;type=1", "斯莱克:创业板首发招股说明书（申报稿）")</f>
        <v>斯莱克:创业板首发招股说明书（申报稿）</v>
      </c>
      <c r="D1055" t="s">
        <v>7646</v>
      </c>
      <c r="E1055" t="s">
        <v>411</v>
      </c>
      <c r="F1055" t="s">
        <v>5450</v>
      </c>
    </row>
    <row r="1056" spans="1:6" x14ac:dyDescent="0.15">
      <c r="A1056" s="1">
        <v>40998</v>
      </c>
      <c r="B1056" t="s">
        <v>158</v>
      </c>
      <c r="C1056" s="2" t="str">
        <f>HYPERLINK("http://snap.windin.com/ns/bulletin.php?id=1397163&amp;type=1", "康达新材:首次公开发行股票招股说明书")</f>
        <v>康达新材:首次公开发行股票招股说明书</v>
      </c>
      <c r="D1056" t="s">
        <v>1631</v>
      </c>
      <c r="E1056" t="s">
        <v>613</v>
      </c>
      <c r="F1056" t="s">
        <v>399</v>
      </c>
    </row>
    <row r="1057" spans="1:6" x14ac:dyDescent="0.15">
      <c r="A1057" s="1">
        <v>40998</v>
      </c>
      <c r="B1057" t="s">
        <v>3535</v>
      </c>
      <c r="C1057" s="2" t="str">
        <f>HYPERLINK("http://snap.windin.com/ns/bulletin.php?id=70268&amp;type=1", "仙坛股份:首发招股说明书(申报稿)")</f>
        <v>仙坛股份:首发招股说明书(申报稿)</v>
      </c>
      <c r="D1057" t="s">
        <v>7647</v>
      </c>
      <c r="E1057" t="s">
        <v>5522</v>
      </c>
      <c r="F1057" t="s">
        <v>5523</v>
      </c>
    </row>
    <row r="1058" spans="1:6" x14ac:dyDescent="0.15">
      <c r="A1058" s="1">
        <v>40998</v>
      </c>
      <c r="B1058" t="s">
        <v>3536</v>
      </c>
      <c r="C1058" s="2" t="str">
        <f>HYPERLINK("http://snap.windin.com/ns/bulletin.php?id=2095913&amp;type=1", "贵人鸟:首次公开发行股票招股说明书（申报稿）")</f>
        <v>贵人鸟:首次公开发行股票招股说明书（申报稿）</v>
      </c>
      <c r="D1058" t="s">
        <v>7648</v>
      </c>
      <c r="E1058" t="s">
        <v>441</v>
      </c>
      <c r="F1058" t="s">
        <v>5452</v>
      </c>
    </row>
    <row r="1059" spans="1:6" x14ac:dyDescent="0.15">
      <c r="A1059" s="1">
        <v>40998</v>
      </c>
      <c r="B1059" t="s">
        <v>70</v>
      </c>
      <c r="C1059" s="2" t="str">
        <f>HYPERLINK("http://snap.windin.com/ns/bulletin.php?id=2047660&amp;type=1", "煌上煌:首次公开发行股票招股说明书（申报稿）")</f>
        <v>煌上煌:首次公开发行股票招股说明书（申报稿）</v>
      </c>
      <c r="D1059" t="s">
        <v>7649</v>
      </c>
      <c r="E1059" t="s">
        <v>500</v>
      </c>
      <c r="F1059" t="s">
        <v>5452</v>
      </c>
    </row>
    <row r="1060" spans="1:6" x14ac:dyDescent="0.15">
      <c r="A1060" s="1">
        <v>40998</v>
      </c>
      <c r="B1060" t="s">
        <v>3537</v>
      </c>
      <c r="C1060" s="2" t="str">
        <f>HYPERLINK("http://snap.windin.com/ns/bulletin.php?id=2025215&amp;type=1", "秦宝牧业:首次公开发行股票招股说明书（申报稿）")</f>
        <v>秦宝牧业:首次公开发行股票招股说明书（申报稿）</v>
      </c>
      <c r="D1060" t="s">
        <v>7650</v>
      </c>
      <c r="E1060" t="s">
        <v>5524</v>
      </c>
      <c r="F1060" t="s">
        <v>5452</v>
      </c>
    </row>
    <row r="1061" spans="1:6" x14ac:dyDescent="0.15">
      <c r="A1061" s="1">
        <v>40998</v>
      </c>
      <c r="B1061" t="s">
        <v>3538</v>
      </c>
      <c r="C1061" s="2" t="str">
        <f>HYPERLINK("http://snap.windin.com/ns/bulletin.php?id=1878317&amp;type=1", "光洋股份:首次公开发行股票招股说明书（申报稿）")</f>
        <v>光洋股份:首次公开发行股票招股说明书（申报稿）</v>
      </c>
      <c r="D1061" t="s">
        <v>7651</v>
      </c>
      <c r="E1061" t="s">
        <v>457</v>
      </c>
      <c r="F1061" t="s">
        <v>5452</v>
      </c>
    </row>
    <row r="1062" spans="1:6" x14ac:dyDescent="0.15">
      <c r="A1062" s="1">
        <v>40998</v>
      </c>
      <c r="B1062" t="s">
        <v>3539</v>
      </c>
      <c r="C1062" s="2" t="str">
        <f>HYPERLINK("http://snap.windin.com/ns/bulletin.php?id=1893385&amp;type=1", "南京莱斯:首次公开发行股票招股说明书（申报稿）")</f>
        <v>南京莱斯:首次公开发行股票招股说明书（申报稿）</v>
      </c>
      <c r="D1062" t="s">
        <v>7652</v>
      </c>
      <c r="E1062" t="s">
        <v>5525</v>
      </c>
      <c r="F1062" t="s">
        <v>5452</v>
      </c>
    </row>
    <row r="1063" spans="1:6" x14ac:dyDescent="0.15">
      <c r="A1063" s="1">
        <v>40998</v>
      </c>
      <c r="B1063" t="s">
        <v>3540</v>
      </c>
      <c r="C1063" s="2" t="str">
        <f>HYPERLINK("http://snap.windin.com/ns/bulletin.php?id=1945836&amp;type=1", "跃岭股份:首次公开发行股票招股说明书（申报稿）")</f>
        <v>跃岭股份:首次公开发行股票招股说明书（申报稿）</v>
      </c>
      <c r="D1063" t="s">
        <v>7653</v>
      </c>
      <c r="E1063" t="s">
        <v>413</v>
      </c>
      <c r="F1063" t="s">
        <v>5452</v>
      </c>
    </row>
    <row r="1064" spans="1:6" x14ac:dyDescent="0.15">
      <c r="A1064" s="1">
        <v>40998</v>
      </c>
      <c r="B1064" t="s">
        <v>3541</v>
      </c>
      <c r="C1064" s="2" t="str">
        <f>HYPERLINK("http://snap.windin.com/ns/bulletin.php?id=1429640&amp;type=1", "天赐材料:首次公开发行股票招股说明书（申报稿）")</f>
        <v>天赐材料:首次公开发行股票招股说明书（申报稿）</v>
      </c>
      <c r="D1064" t="s">
        <v>7654</v>
      </c>
      <c r="E1064" t="s">
        <v>445</v>
      </c>
      <c r="F1064" t="s">
        <v>5452</v>
      </c>
    </row>
    <row r="1065" spans="1:6" x14ac:dyDescent="0.15">
      <c r="A1065" s="1">
        <v>40998</v>
      </c>
      <c r="B1065" t="s">
        <v>3542</v>
      </c>
      <c r="C1065" s="2" t="str">
        <f>HYPERLINK("http://snap.windin.com/ns/bulletin.php?id=1293510&amp;type=1", "中航文化:(首次公开发行股票招股说明书（申报稿)")</f>
        <v>中航文化:(首次公开发行股票招股说明书（申报稿)</v>
      </c>
      <c r="D1065" t="s">
        <v>7655</v>
      </c>
      <c r="E1065" t="s">
        <v>5526</v>
      </c>
      <c r="F1065" t="s">
        <v>5527</v>
      </c>
    </row>
    <row r="1066" spans="1:6" x14ac:dyDescent="0.15">
      <c r="A1066" s="1">
        <v>40997</v>
      </c>
      <c r="B1066" t="s">
        <v>66</v>
      </c>
      <c r="C1066" s="2" t="str">
        <f>HYPERLINK("http://snap.windin.com/ns/bulletin.php?id=1534184&amp;type=1", "北信源:创业板首发招股说明书（申报稿）")</f>
        <v>北信源:创业板首发招股说明书（申报稿）</v>
      </c>
      <c r="D1066" t="s">
        <v>7656</v>
      </c>
      <c r="E1066" t="s">
        <v>494</v>
      </c>
      <c r="F1066" t="s">
        <v>5450</v>
      </c>
    </row>
    <row r="1067" spans="1:6" x14ac:dyDescent="0.15">
      <c r="A1067" s="1">
        <v>40996</v>
      </c>
      <c r="B1067" t="s">
        <v>3543</v>
      </c>
      <c r="C1067" s="2" t="str">
        <f>HYPERLINK("http://snap.windin.com/ns/bulletin.php?id=857413&amp;type=1", "爱康宜诚:创业板首发招股说明书（申报稿）")</f>
        <v>爱康宜诚:创业板首发招股说明书（申报稿）</v>
      </c>
      <c r="D1067" t="s">
        <v>7657</v>
      </c>
      <c r="E1067" t="s">
        <v>5528</v>
      </c>
      <c r="F1067" t="s">
        <v>5450</v>
      </c>
    </row>
    <row r="1068" spans="1:6" x14ac:dyDescent="0.15">
      <c r="A1068" s="1">
        <v>40995</v>
      </c>
      <c r="B1068" t="s">
        <v>160</v>
      </c>
      <c r="C1068" s="2" t="str">
        <f>HYPERLINK("http://snap.windin.com/ns/bulletin.php?id=1843114&amp;type=1", "吉艾科技:首次公开发行股票并在创业板上市招股说明书（更新后）")</f>
        <v>吉艾科技:首次公开发行股票并在创业板上市招股说明书（更新后）</v>
      </c>
      <c r="D1068" t="s">
        <v>1641</v>
      </c>
      <c r="E1068" t="s">
        <v>619</v>
      </c>
      <c r="F1068" t="s">
        <v>626</v>
      </c>
    </row>
    <row r="1069" spans="1:6" x14ac:dyDescent="0.15">
      <c r="A1069" s="1">
        <v>40995</v>
      </c>
      <c r="B1069" t="s">
        <v>159</v>
      </c>
      <c r="C1069" s="2" t="str">
        <f>HYPERLINK("http://snap.windin.com/ns/bulletin.php?id=1848191&amp;type=1", "奥马电器:首次公开发行股票招股说明书")</f>
        <v>奥马电器:首次公开发行股票招股说明书</v>
      </c>
      <c r="D1069" t="s">
        <v>1642</v>
      </c>
      <c r="E1069" t="s">
        <v>614</v>
      </c>
      <c r="F1069" t="s">
        <v>399</v>
      </c>
    </row>
    <row r="1070" spans="1:6" x14ac:dyDescent="0.15">
      <c r="A1070" s="1">
        <v>40995</v>
      </c>
      <c r="B1070" t="s">
        <v>160</v>
      </c>
      <c r="C1070" s="2" t="str">
        <f>HYPERLINK("http://snap.windin.com/ns/bulletin.php?id=587732&amp;type=1", "吉艾科技:关于《吉艾科技（北京）股份公司首次公开发行股票并在创业板上市招股说明书》的更正公告")</f>
        <v>吉艾科技:关于《吉艾科技（北京）股份公司首次公开发行股票并在创业板上市招股说明书》的更正公告</v>
      </c>
      <c r="D1070" t="s">
        <v>1640</v>
      </c>
      <c r="E1070" t="s">
        <v>619</v>
      </c>
      <c r="F1070" t="s">
        <v>629</v>
      </c>
    </row>
    <row r="1071" spans="1:6" x14ac:dyDescent="0.15">
      <c r="A1071" s="1">
        <v>40994</v>
      </c>
      <c r="B1071" t="s">
        <v>160</v>
      </c>
      <c r="C1071" s="2" t="str">
        <f>HYPERLINK("http://snap.windin.com/ns/bulletin.php?id=1553528&amp;type=1", "吉艾科技:首次公开发行股票并在创业板上市招股说明书")</f>
        <v>吉艾科技:首次公开发行股票并在创业板上市招股说明书</v>
      </c>
      <c r="D1071" t="s">
        <v>1646</v>
      </c>
      <c r="E1071" t="s">
        <v>619</v>
      </c>
      <c r="F1071" t="s">
        <v>455</v>
      </c>
    </row>
    <row r="1072" spans="1:6" x14ac:dyDescent="0.15">
      <c r="A1072" s="1">
        <v>40994</v>
      </c>
      <c r="B1072" t="s">
        <v>103</v>
      </c>
      <c r="C1072" s="2" t="str">
        <f>HYPERLINK("http://snap.windin.com/ns/bulletin.php?id=1507533&amp;type=1", "中信重工:首次公开发行A股股票招股说明书（申报稿）")</f>
        <v>中信重工:首次公开发行A股股票招股说明书（申报稿）</v>
      </c>
      <c r="D1072" t="s">
        <v>7658</v>
      </c>
      <c r="E1072" t="s">
        <v>540</v>
      </c>
      <c r="F1072" t="s">
        <v>5493</v>
      </c>
    </row>
    <row r="1073" spans="1:6" x14ac:dyDescent="0.15">
      <c r="A1073" s="1">
        <v>40992</v>
      </c>
      <c r="B1073" t="s">
        <v>18</v>
      </c>
      <c r="C1073" s="2" t="str">
        <f>HYPERLINK("http://snap.windin.com/ns/bulletin.php?id=21851506&amp;type=1", "金莱特:首次公开发行股票招股说明书(申报稿)")</f>
        <v>金莱特:首次公开发行股票招股说明书(申报稿)</v>
      </c>
      <c r="D1073" t="s">
        <v>7659</v>
      </c>
      <c r="E1073" t="s">
        <v>414</v>
      </c>
      <c r="F1073" t="s">
        <v>5466</v>
      </c>
    </row>
    <row r="1074" spans="1:6" x14ac:dyDescent="0.15">
      <c r="A1074" s="1">
        <v>40992</v>
      </c>
      <c r="B1074" t="s">
        <v>27</v>
      </c>
      <c r="C1074" s="2" t="str">
        <f>HYPERLINK("http://snap.windin.com/ns/bulletin.php?id=21851246&amp;type=1", "友邦吊顶:创业板首发招股说明书(申报稿)")</f>
        <v>友邦吊顶:创业板首发招股说明书(申报稿)</v>
      </c>
      <c r="D1074" t="s">
        <v>7660</v>
      </c>
      <c r="E1074" t="s">
        <v>426</v>
      </c>
      <c r="F1074" t="s">
        <v>5462</v>
      </c>
    </row>
    <row r="1075" spans="1:6" x14ac:dyDescent="0.15">
      <c r="A1075" s="1">
        <v>40992</v>
      </c>
      <c r="B1075" t="s">
        <v>21</v>
      </c>
      <c r="C1075" s="2" t="str">
        <f>HYPERLINK("http://snap.windin.com/ns/bulletin.php?id=21843758&amp;type=1", "金贵银业:首发股票招股说明书(申报稿)")</f>
        <v>金贵银业:首发股票招股说明书(申报稿)</v>
      </c>
      <c r="D1075" t="s">
        <v>7661</v>
      </c>
      <c r="E1075" t="s">
        <v>419</v>
      </c>
      <c r="F1075" t="s">
        <v>5529</v>
      </c>
    </row>
    <row r="1076" spans="1:6" x14ac:dyDescent="0.15">
      <c r="A1076" s="1">
        <v>40992</v>
      </c>
      <c r="B1076" t="s">
        <v>8</v>
      </c>
      <c r="C1076" s="2" t="str">
        <f>HYPERLINK("http://snap.windin.com/ns/bulletin.php?id=21843532&amp;type=1", "登云股份:首次公开发行股票招股说明书(申报稿)")</f>
        <v>登云股份:首次公开发行股票招股说明书(申报稿)</v>
      </c>
      <c r="D1076" t="s">
        <v>7662</v>
      </c>
      <c r="E1076" t="s">
        <v>390</v>
      </c>
      <c r="F1076" t="s">
        <v>5466</v>
      </c>
    </row>
    <row r="1077" spans="1:6" x14ac:dyDescent="0.15">
      <c r="A1077" s="1">
        <v>40992</v>
      </c>
      <c r="B1077" t="s">
        <v>9</v>
      </c>
      <c r="C1077" s="2" t="str">
        <f>HYPERLINK("http://snap.windin.com/ns/bulletin.php?id=21843032&amp;type=1", "东易日盛:首次公开发行股票招股说明书(申报稿)")</f>
        <v>东易日盛:首次公开发行股票招股说明书(申报稿)</v>
      </c>
      <c r="D1077" t="s">
        <v>7663</v>
      </c>
      <c r="E1077" t="s">
        <v>392</v>
      </c>
      <c r="F1077" t="s">
        <v>5466</v>
      </c>
    </row>
    <row r="1078" spans="1:6" x14ac:dyDescent="0.15">
      <c r="A1078" s="1">
        <v>40992</v>
      </c>
      <c r="B1078" t="s">
        <v>3544</v>
      </c>
      <c r="C1078" s="2" t="str">
        <f>HYPERLINK("http://snap.windin.com/ns/bulletin.php?id=21811044&amp;type=1", "慈铭体检:首次公开发行股票招股说明书(申报稿)")</f>
        <v>慈铭体检:首次公开发行股票招股说明书(申报稿)</v>
      </c>
      <c r="D1078" t="s">
        <v>7664</v>
      </c>
      <c r="E1078" t="s">
        <v>5530</v>
      </c>
      <c r="F1078" t="s">
        <v>5466</v>
      </c>
    </row>
    <row r="1079" spans="1:6" x14ac:dyDescent="0.15">
      <c r="A1079" s="1">
        <v>40992</v>
      </c>
      <c r="B1079" t="s">
        <v>40</v>
      </c>
      <c r="C1079" s="2" t="str">
        <f>HYPERLINK("http://snap.windin.com/ns/bulletin.php?id=21811032&amp;type=1", "汇中股份:创业板首发招股说明书(申报稿)")</f>
        <v>汇中股份:创业板首发招股说明书(申报稿)</v>
      </c>
      <c r="D1079" t="s">
        <v>7665</v>
      </c>
      <c r="E1079" t="s">
        <v>444</v>
      </c>
      <c r="F1079" t="s">
        <v>5462</v>
      </c>
    </row>
    <row r="1080" spans="1:6" x14ac:dyDescent="0.15">
      <c r="A1080" s="1">
        <v>40991</v>
      </c>
      <c r="B1080" t="s">
        <v>3545</v>
      </c>
      <c r="C1080" s="2" t="str">
        <f>HYPERLINK("http://snap.windin.com/ns/bulletin.php?id=196278&amp;type=1", "慈铭体检:首次公开发行股票招股说明书（申报稿）")</f>
        <v>慈铭体检:首次公开发行股票招股说明书（申报稿）</v>
      </c>
      <c r="D1080" t="s">
        <v>7666</v>
      </c>
      <c r="E1080" t="s">
        <v>5530</v>
      </c>
      <c r="F1080" t="s">
        <v>5452</v>
      </c>
    </row>
    <row r="1081" spans="1:6" x14ac:dyDescent="0.15">
      <c r="A1081" s="1">
        <v>40991</v>
      </c>
      <c r="B1081" t="s">
        <v>3547</v>
      </c>
      <c r="C1081" s="2" t="str">
        <f>HYPERLINK("http://snap.windin.com/ns/bulletin.php?id=1438791&amp;type=1", "金莱特:首次公开发行股票招股说明书（申报稿）")</f>
        <v>金莱特:首次公开发行股票招股说明书（申报稿）</v>
      </c>
      <c r="D1081" t="s">
        <v>7667</v>
      </c>
      <c r="E1081" t="s">
        <v>414</v>
      </c>
      <c r="F1081" t="s">
        <v>5452</v>
      </c>
    </row>
    <row r="1082" spans="1:6" x14ac:dyDescent="0.15">
      <c r="A1082" s="1">
        <v>40991</v>
      </c>
      <c r="B1082" t="s">
        <v>162</v>
      </c>
      <c r="C1082" s="2" t="str">
        <f>HYPERLINK("http://snap.windin.com/ns/bulletin.php?id=1568933&amp;type=1", "中际装备:首次公开发行股票并在创业板上市招股说明书")</f>
        <v>中际装备:首次公开发行股票并在创业板上市招股说明书</v>
      </c>
      <c r="D1082" t="s">
        <v>1652</v>
      </c>
      <c r="E1082" t="s">
        <v>620</v>
      </c>
      <c r="F1082" t="s">
        <v>455</v>
      </c>
    </row>
    <row r="1083" spans="1:6" x14ac:dyDescent="0.15">
      <c r="A1083" s="1">
        <v>40991</v>
      </c>
      <c r="B1083" t="s">
        <v>3548</v>
      </c>
      <c r="C1083" s="2" t="str">
        <f>HYPERLINK("http://snap.windin.com/ns/bulletin.php?id=1501266&amp;type=1", "通宇通讯:首次公开发行股票招股说明书（申报稿）")</f>
        <v>通宇通讯:首次公开发行股票招股说明书（申报稿）</v>
      </c>
      <c r="D1083" t="s">
        <v>7668</v>
      </c>
      <c r="E1083" t="s">
        <v>5117</v>
      </c>
      <c r="F1083" t="s">
        <v>5452</v>
      </c>
    </row>
    <row r="1084" spans="1:6" x14ac:dyDescent="0.15">
      <c r="A1084" s="1">
        <v>40991</v>
      </c>
      <c r="B1084" t="s">
        <v>3546</v>
      </c>
      <c r="C1084" s="2" t="str">
        <f>HYPERLINK("http://snap.windin.com/ns/bulletin.php?id=633635&amp;type=1", "艾比森:创业板首发招股说明书（申报稿）")</f>
        <v>艾比森:创业板首发招股说明书（申报稿）</v>
      </c>
      <c r="D1084" t="s">
        <v>7669</v>
      </c>
      <c r="E1084" t="s">
        <v>4648</v>
      </c>
      <c r="F1084" t="s">
        <v>5450</v>
      </c>
    </row>
    <row r="1085" spans="1:6" x14ac:dyDescent="0.15">
      <c r="A1085" s="1">
        <v>40991</v>
      </c>
      <c r="B1085" t="s">
        <v>3549</v>
      </c>
      <c r="C1085" s="2" t="str">
        <f>HYPERLINK("http://snap.windin.com/ns/bulletin.php?id=738489&amp;type=1", "登云汽配:首次公开发行股票招股说明书（申报稿）")</f>
        <v>登云汽配:首次公开发行股票招股说明书（申报稿）</v>
      </c>
      <c r="D1085" t="s">
        <v>7670</v>
      </c>
      <c r="E1085" t="s">
        <v>5531</v>
      </c>
      <c r="F1085" t="s">
        <v>5452</v>
      </c>
    </row>
    <row r="1086" spans="1:6" x14ac:dyDescent="0.15">
      <c r="A1086" s="1">
        <v>40991</v>
      </c>
      <c r="B1086" t="s">
        <v>3550</v>
      </c>
      <c r="C1086" s="2" t="str">
        <f>HYPERLINK("http://snap.windin.com/ns/bulletin.php?id=1282653&amp;type=1", "金贵银业:首次公开发行股票招股说明书（申报稿）")</f>
        <v>金贵银业:首次公开发行股票招股说明书（申报稿）</v>
      </c>
      <c r="D1086" t="s">
        <v>7671</v>
      </c>
      <c r="E1086" t="s">
        <v>419</v>
      </c>
      <c r="F1086" t="s">
        <v>5452</v>
      </c>
    </row>
    <row r="1087" spans="1:6" x14ac:dyDescent="0.15">
      <c r="A1087" s="1">
        <v>40991</v>
      </c>
      <c r="B1087" t="s">
        <v>3552</v>
      </c>
      <c r="C1087" s="2" t="str">
        <f>HYPERLINK("http://snap.windin.com/ns/bulletin.php?id=1025693&amp;type=1", "友邦吊顶:(首次公开发行股票招股说明书（申报稿)")</f>
        <v>友邦吊顶:(首次公开发行股票招股说明书（申报稿)</v>
      </c>
      <c r="D1087" t="s">
        <v>7672</v>
      </c>
      <c r="E1087" t="s">
        <v>426</v>
      </c>
      <c r="F1087" t="s">
        <v>5527</v>
      </c>
    </row>
    <row r="1088" spans="1:6" x14ac:dyDescent="0.15">
      <c r="A1088" s="1">
        <v>40991</v>
      </c>
      <c r="B1088" t="s">
        <v>3551</v>
      </c>
      <c r="C1088" s="2" t="str">
        <f>HYPERLINK("http://snap.windin.com/ns/bulletin.php?id=978890&amp;type=1", "汇中股份:创业板首发招股说明书（申报稿）")</f>
        <v>汇中股份:创业板首发招股说明书（申报稿）</v>
      </c>
      <c r="D1088" t="s">
        <v>7673</v>
      </c>
      <c r="E1088" t="s">
        <v>444</v>
      </c>
      <c r="F1088" t="s">
        <v>5450</v>
      </c>
    </row>
    <row r="1089" spans="1:6" x14ac:dyDescent="0.15">
      <c r="A1089" s="1">
        <v>40991</v>
      </c>
      <c r="B1089" t="s">
        <v>3553</v>
      </c>
      <c r="C1089" s="2" t="str">
        <f>HYPERLINK("http://snap.windin.com/ns/bulletin.php?id=1002502&amp;type=1", "东易日盛:首次公开发行股票招股说明书(申报稿)")</f>
        <v>东易日盛:首次公开发行股票招股说明书(申报稿)</v>
      </c>
      <c r="D1089" t="s">
        <v>7674</v>
      </c>
      <c r="E1089" t="s">
        <v>392</v>
      </c>
      <c r="F1089" t="s">
        <v>5466</v>
      </c>
    </row>
    <row r="1090" spans="1:6" x14ac:dyDescent="0.15">
      <c r="A1090" s="1">
        <v>40991</v>
      </c>
      <c r="B1090" t="s">
        <v>2923</v>
      </c>
      <c r="C1090" s="2" t="str">
        <f>HYPERLINK("http://snap.windin.com/ns/bulletin.php?id=1083829&amp;type=1", "一心堂:首次公开发行股票招股说明书(申报稿)")</f>
        <v>一心堂:首次公开发行股票招股说明书(申报稿)</v>
      </c>
      <c r="D1090" t="s">
        <v>7675</v>
      </c>
      <c r="E1090" t="s">
        <v>4840</v>
      </c>
      <c r="F1090" t="s">
        <v>5466</v>
      </c>
    </row>
    <row r="1091" spans="1:6" x14ac:dyDescent="0.15">
      <c r="A1091" s="1">
        <v>40990</v>
      </c>
      <c r="B1091" t="s">
        <v>3554</v>
      </c>
      <c r="C1091" s="2" t="str">
        <f>HYPERLINK("http://snap.windin.com/ns/bulletin.php?id=164306&amp;type=1", "东方广视:创业板首发招股说明书（申报稿）")</f>
        <v>东方广视:创业板首发招股说明书（申报稿）</v>
      </c>
      <c r="D1091" t="s">
        <v>7676</v>
      </c>
      <c r="E1091" t="s">
        <v>5532</v>
      </c>
      <c r="F1091" t="s">
        <v>5450</v>
      </c>
    </row>
    <row r="1092" spans="1:6" x14ac:dyDescent="0.15">
      <c r="A1092" s="1">
        <v>40990</v>
      </c>
      <c r="B1092" t="s">
        <v>3555</v>
      </c>
      <c r="C1092" s="2" t="str">
        <f>HYPERLINK("http://snap.windin.com/ns/bulletin.php?id=2013770&amp;type=1", "思可达:创业板首发招股说明书（申报稿）")</f>
        <v>思可达:创业板首发招股说明书（申报稿）</v>
      </c>
      <c r="D1092" t="s">
        <v>7677</v>
      </c>
      <c r="E1092" t="s">
        <v>5533</v>
      </c>
      <c r="F1092" t="s">
        <v>5450</v>
      </c>
    </row>
    <row r="1093" spans="1:6" x14ac:dyDescent="0.15">
      <c r="A1093" s="1">
        <v>40988</v>
      </c>
      <c r="B1093" t="s">
        <v>164</v>
      </c>
      <c r="C1093" s="2" t="str">
        <f>HYPERLINK("http://snap.windin.com/ns/bulletin.php?id=517883&amp;type=1", "远方光电:首次公开发行股票并在创业板上市招股说明书")</f>
        <v>远方光电:首次公开发行股票并在创业板上市招股说明书</v>
      </c>
      <c r="D1093" t="s">
        <v>1657</v>
      </c>
      <c r="E1093" t="s">
        <v>622</v>
      </c>
      <c r="F1093" t="s">
        <v>455</v>
      </c>
    </row>
    <row r="1094" spans="1:6" x14ac:dyDescent="0.15">
      <c r="A1094" s="1">
        <v>40988</v>
      </c>
      <c r="B1094" t="s">
        <v>166</v>
      </c>
      <c r="C1094" s="2" t="str">
        <f>HYPERLINK("http://snap.windin.com/ns/bulletin.php?id=798147&amp;type=1", "鞍重股份:首次公开发行股票招股说明书")</f>
        <v>鞍重股份:首次公开发行股票招股说明书</v>
      </c>
      <c r="D1094" t="s">
        <v>1667</v>
      </c>
      <c r="E1094" t="s">
        <v>624</v>
      </c>
      <c r="F1094" t="s">
        <v>399</v>
      </c>
    </row>
    <row r="1095" spans="1:6" x14ac:dyDescent="0.15">
      <c r="A1095" s="1">
        <v>40988</v>
      </c>
      <c r="B1095" t="s">
        <v>11</v>
      </c>
      <c r="C1095" s="2" t="str">
        <f>HYPERLINK("http://snap.windin.com/ns/bulletin.php?id=21895906&amp;type=1", "海天味业:首次公开发行股票招股说明书(申报稿)")</f>
        <v>海天味业:首次公开发行股票招股说明书(申报稿)</v>
      </c>
      <c r="D1095" t="s">
        <v>7678</v>
      </c>
      <c r="E1095" t="s">
        <v>401</v>
      </c>
      <c r="F1095" t="s">
        <v>5466</v>
      </c>
    </row>
    <row r="1096" spans="1:6" x14ac:dyDescent="0.15">
      <c r="A1096" s="1">
        <v>40987</v>
      </c>
      <c r="B1096" t="s">
        <v>163</v>
      </c>
      <c r="C1096" s="2" t="str">
        <f>HYPERLINK("http://snap.windin.com/ns/bulletin.php?id=95685&amp;type=1", "慈星股份:首次公开发行股票并在创业板上市招股说明书")</f>
        <v>慈星股份:首次公开发行股票并在创业板上市招股说明书</v>
      </c>
      <c r="D1096" t="s">
        <v>1670</v>
      </c>
      <c r="E1096" t="s">
        <v>621</v>
      </c>
      <c r="F1096" t="s">
        <v>455</v>
      </c>
    </row>
    <row r="1097" spans="1:6" x14ac:dyDescent="0.15">
      <c r="A1097" s="1">
        <v>40987</v>
      </c>
      <c r="B1097" t="s">
        <v>3556</v>
      </c>
      <c r="C1097" s="2" t="str">
        <f>HYPERLINK("http://snap.windin.com/ns/bulletin.php?id=1346799&amp;type=1", "海天股份:首次公开发行股票招股说明书（申报稿）")</f>
        <v>海天股份:首次公开发行股票招股说明书（申报稿）</v>
      </c>
      <c r="D1097" t="s">
        <v>7679</v>
      </c>
      <c r="E1097" t="s">
        <v>5534</v>
      </c>
      <c r="F1097" t="s">
        <v>5452</v>
      </c>
    </row>
    <row r="1098" spans="1:6" x14ac:dyDescent="0.15">
      <c r="A1098" s="1">
        <v>40987</v>
      </c>
      <c r="B1098" t="s">
        <v>3557</v>
      </c>
      <c r="C1098" s="2" t="str">
        <f>HYPERLINK("http://snap.windin.com/ns/bulletin.php?id=1320152&amp;type=1", "秋盛资源:首次公开发行股票招股说明书（申报稿）")</f>
        <v>秋盛资源:首次公开发行股票招股说明书（申报稿）</v>
      </c>
      <c r="D1098" t="s">
        <v>7680</v>
      </c>
      <c r="E1098" t="s">
        <v>5535</v>
      </c>
      <c r="F1098" t="s">
        <v>5452</v>
      </c>
    </row>
    <row r="1099" spans="1:6" x14ac:dyDescent="0.15">
      <c r="A1099" s="1">
        <v>40987</v>
      </c>
      <c r="B1099" t="s">
        <v>3558</v>
      </c>
      <c r="C1099" s="2" t="str">
        <f>HYPERLINK("http://snap.windin.com/ns/bulletin.php?id=540581&amp;type=1", "小西牛:首次公开发行股票招股说明书（申报稿）")</f>
        <v>小西牛:首次公开发行股票招股说明书（申报稿）</v>
      </c>
      <c r="D1099" t="s">
        <v>7681</v>
      </c>
      <c r="E1099" t="s">
        <v>5536</v>
      </c>
      <c r="F1099" t="s">
        <v>5452</v>
      </c>
    </row>
    <row r="1100" spans="1:6" x14ac:dyDescent="0.15">
      <c r="A1100" s="1">
        <v>40987</v>
      </c>
      <c r="B1100" t="s">
        <v>3559</v>
      </c>
      <c r="C1100" s="2" t="str">
        <f>HYPERLINK("http://snap.windin.com/ns/bulletin.php?id=537321&amp;type=1", "富煌钢构:首次公开发行股票招股说明书（申报稿）")</f>
        <v>富煌钢构:首次公开发行股票招股说明书（申报稿）</v>
      </c>
      <c r="D1100" t="s">
        <v>7682</v>
      </c>
      <c r="E1100" t="s">
        <v>5537</v>
      </c>
      <c r="F1100" t="s">
        <v>5452</v>
      </c>
    </row>
    <row r="1101" spans="1:6" x14ac:dyDescent="0.15">
      <c r="A1101" s="1">
        <v>40987</v>
      </c>
      <c r="B1101" t="s">
        <v>3560</v>
      </c>
      <c r="C1101" s="2" t="str">
        <f>HYPERLINK("http://snap.windin.com/ns/bulletin.php?id=1077665&amp;type=1", "利泰制药:首发招股说明书（申报稿）")</f>
        <v>利泰制药:首发招股说明书（申报稿）</v>
      </c>
      <c r="D1101" t="s">
        <v>7683</v>
      </c>
      <c r="E1101" t="s">
        <v>5538</v>
      </c>
      <c r="F1101" t="s">
        <v>5513</v>
      </c>
    </row>
    <row r="1102" spans="1:6" x14ac:dyDescent="0.15">
      <c r="A1102" s="1">
        <v>40986</v>
      </c>
      <c r="B1102" t="s">
        <v>172</v>
      </c>
      <c r="C1102" s="2" t="str">
        <f>HYPERLINK("http://snap.windin.com/ns/bulletin.php?id=1835225&amp;type=1", "云意电气:首次公开发行股票并在创业板上市招股说明书（更新后）")</f>
        <v>云意电气:首次公开发行股票并在创业板上市招股说明书（更新后）</v>
      </c>
      <c r="D1102" t="s">
        <v>1671</v>
      </c>
      <c r="E1102" t="s">
        <v>634</v>
      </c>
      <c r="F1102" t="s">
        <v>626</v>
      </c>
    </row>
    <row r="1103" spans="1:6" x14ac:dyDescent="0.15">
      <c r="A1103" s="1">
        <v>40985</v>
      </c>
      <c r="B1103" t="s">
        <v>14</v>
      </c>
      <c r="C1103" s="2" t="str">
        <f>HYPERLINK("http://snap.windin.com/ns/bulletin.php?id=21851594&amp;type=1", "光环新网:创业板首发招股说明书(申报稿)")</f>
        <v>光环新网:创业板首发招股说明书(申报稿)</v>
      </c>
      <c r="D1103" t="s">
        <v>7684</v>
      </c>
      <c r="E1103" t="s">
        <v>406</v>
      </c>
      <c r="F1103" t="s">
        <v>5462</v>
      </c>
    </row>
    <row r="1104" spans="1:6" x14ac:dyDescent="0.15">
      <c r="A1104" s="1">
        <v>40984</v>
      </c>
      <c r="B1104" t="s">
        <v>3561</v>
      </c>
      <c r="C1104" s="2" t="str">
        <f>HYPERLINK("http://snap.windin.com/ns/bulletin.php?id=1664749&amp;type=1", "光环新网:创业板首发招股说明书（申报稿）")</f>
        <v>光环新网:创业板首发招股说明书（申报稿）</v>
      </c>
      <c r="D1104" t="s">
        <v>7685</v>
      </c>
      <c r="E1104" t="s">
        <v>406</v>
      </c>
      <c r="F1104" t="s">
        <v>5450</v>
      </c>
    </row>
    <row r="1105" spans="1:6" x14ac:dyDescent="0.15">
      <c r="A1105" s="1">
        <v>40984</v>
      </c>
      <c r="B1105" t="s">
        <v>60</v>
      </c>
      <c r="C1105" s="2" t="str">
        <f>HYPERLINK("http://snap.windin.com/ns/bulletin.php?id=1315461&amp;type=1", "洛阳钼业:首发招股说明书（申报稿）")</f>
        <v>洛阳钼业:首发招股说明书（申报稿）</v>
      </c>
      <c r="D1105" t="s">
        <v>7686</v>
      </c>
      <c r="E1105" t="s">
        <v>488</v>
      </c>
      <c r="F1105" t="s">
        <v>5513</v>
      </c>
    </row>
    <row r="1106" spans="1:6" x14ac:dyDescent="0.15">
      <c r="A1106" s="1">
        <v>40984</v>
      </c>
      <c r="B1106" t="s">
        <v>3562</v>
      </c>
      <c r="C1106" s="2" t="str">
        <f>HYPERLINK("http://snap.windin.com/ns/bulletin.php?id=2113224&amp;type=1", "斯菲尔:创业板首发招股说明书（申报稿）")</f>
        <v>斯菲尔:创业板首发招股说明书（申报稿）</v>
      </c>
      <c r="D1106" t="s">
        <v>7687</v>
      </c>
      <c r="E1106" t="s">
        <v>5539</v>
      </c>
      <c r="F1106" t="s">
        <v>5450</v>
      </c>
    </row>
    <row r="1107" spans="1:6" x14ac:dyDescent="0.15">
      <c r="A1107" s="1">
        <v>40984</v>
      </c>
      <c r="B1107" t="s">
        <v>165</v>
      </c>
      <c r="C1107" s="2" t="str">
        <f>HYPERLINK("http://snap.windin.com/ns/bulletin.php?id=2040084&amp;type=1", "裕兴股份:首次公开发行股票并在创业板上市招股说明书")</f>
        <v>裕兴股份:首次公开发行股票并在创业板上市招股说明书</v>
      </c>
      <c r="D1107" t="s">
        <v>1676</v>
      </c>
      <c r="E1107" t="s">
        <v>623</v>
      </c>
      <c r="F1107" t="s">
        <v>455</v>
      </c>
    </row>
    <row r="1108" spans="1:6" x14ac:dyDescent="0.15">
      <c r="A1108" s="1">
        <v>40984</v>
      </c>
      <c r="B1108" t="s">
        <v>3563</v>
      </c>
      <c r="C1108" s="2" t="str">
        <f>HYPERLINK("http://snap.windin.com/ns/bulletin.php?id=1966640&amp;type=1", "中材节能:首次公开发行股票招股说明书（申报稿）")</f>
        <v>中材节能:首次公开发行股票招股说明书（申报稿）</v>
      </c>
      <c r="D1108" t="s">
        <v>7688</v>
      </c>
      <c r="E1108" t="s">
        <v>4653</v>
      </c>
      <c r="F1108" t="s">
        <v>5452</v>
      </c>
    </row>
    <row r="1109" spans="1:6" x14ac:dyDescent="0.15">
      <c r="A1109" s="1">
        <v>40984</v>
      </c>
      <c r="B1109" t="s">
        <v>118</v>
      </c>
      <c r="C1109" s="2" t="str">
        <f>HYPERLINK("http://snap.windin.com/ns/bulletin.php?id=1458169&amp;type=1", "猛狮科技:首次公开发行股票招股说明书（申报稿）")</f>
        <v>猛狮科技:首次公开发行股票招股说明书（申报稿）</v>
      </c>
      <c r="D1109" t="s">
        <v>7689</v>
      </c>
      <c r="E1109" t="s">
        <v>561</v>
      </c>
      <c r="F1109" t="s">
        <v>5452</v>
      </c>
    </row>
    <row r="1110" spans="1:6" x14ac:dyDescent="0.15">
      <c r="A1110" s="1">
        <v>40984</v>
      </c>
      <c r="B1110" t="s">
        <v>82</v>
      </c>
      <c r="C1110" s="2" t="str">
        <f>HYPERLINK("http://snap.windin.com/ns/bulletin.php?id=870539&amp;type=1", "双成药业:首次公开发行股票招股说明书（申报稿）")</f>
        <v>双成药业:首次公开发行股票招股说明书（申报稿）</v>
      </c>
      <c r="D1110" t="s">
        <v>7690</v>
      </c>
      <c r="E1110" t="s">
        <v>514</v>
      </c>
      <c r="F1110" t="s">
        <v>5452</v>
      </c>
    </row>
    <row r="1111" spans="1:6" x14ac:dyDescent="0.15">
      <c r="A1111" s="1">
        <v>40984</v>
      </c>
      <c r="B1111" t="s">
        <v>3564</v>
      </c>
      <c r="C1111" s="2" t="str">
        <f>HYPERLINK("http://snap.windin.com/ns/bulletin.php?id=975277&amp;type=1", "佳利电子:创业板首发招股说明书（申报稿）")</f>
        <v>佳利电子:创业板首发招股说明书（申报稿）</v>
      </c>
      <c r="D1111" t="s">
        <v>7691</v>
      </c>
      <c r="E1111" t="s">
        <v>5540</v>
      </c>
      <c r="F1111" t="s">
        <v>5450</v>
      </c>
    </row>
    <row r="1112" spans="1:6" x14ac:dyDescent="0.15">
      <c r="A1112" s="1">
        <v>40983</v>
      </c>
      <c r="B1112" t="s">
        <v>85</v>
      </c>
      <c r="C1112" s="2" t="str">
        <f>HYPERLINK("http://snap.windin.com/ns/bulletin.php?id=1315696&amp;type=1", "红宇新材:创业板首发招股说明书（申报稿）")</f>
        <v>红宇新材:创业板首发招股说明书（申报稿）</v>
      </c>
      <c r="D1112" t="s">
        <v>7692</v>
      </c>
      <c r="E1112" t="s">
        <v>517</v>
      </c>
      <c r="F1112" t="s">
        <v>5450</v>
      </c>
    </row>
    <row r="1113" spans="1:6" x14ac:dyDescent="0.15">
      <c r="A1113" s="1">
        <v>40983</v>
      </c>
      <c r="B1113" t="s">
        <v>86</v>
      </c>
      <c r="C1113" s="2" t="str">
        <f>HYPERLINK("http://snap.windin.com/ns/bulletin.php?id=2045445&amp;type=1", "联创节能:创业板首发招股说明书（申报稿）")</f>
        <v>联创节能:创业板首发招股说明书（申报稿）</v>
      </c>
      <c r="D1113" t="s">
        <v>7693</v>
      </c>
      <c r="E1113" t="s">
        <v>518</v>
      </c>
      <c r="F1113" t="s">
        <v>5450</v>
      </c>
    </row>
    <row r="1114" spans="1:6" x14ac:dyDescent="0.15">
      <c r="A1114" s="1">
        <v>40983</v>
      </c>
      <c r="B1114" t="s">
        <v>3565</v>
      </c>
      <c r="C1114" s="2" t="str">
        <f>HYPERLINK("http://snap.windin.com/ns/bulletin.php?id=1506461&amp;type=1", "宁夏日晶:创业板首发招股说明书（申报稿）")</f>
        <v>宁夏日晶:创业板首发招股说明书（申报稿）</v>
      </c>
      <c r="D1114" t="s">
        <v>7694</v>
      </c>
      <c r="E1114" t="s">
        <v>5541</v>
      </c>
      <c r="F1114" t="s">
        <v>5450</v>
      </c>
    </row>
    <row r="1115" spans="1:6" x14ac:dyDescent="0.15">
      <c r="A1115" s="1">
        <v>40983</v>
      </c>
      <c r="B1115" t="s">
        <v>49</v>
      </c>
      <c r="C1115" s="2" t="str">
        <f>HYPERLINK("http://snap.windin.com/ns/bulletin.php?id=21752876&amp;type=1", "天保重装:创业板首发招股说明书(申报稿)")</f>
        <v>天保重装:创业板首发招股说明书(申报稿)</v>
      </c>
      <c r="D1115" t="s">
        <v>7695</v>
      </c>
      <c r="E1115" t="s">
        <v>454</v>
      </c>
      <c r="F1115" t="s">
        <v>5462</v>
      </c>
    </row>
    <row r="1116" spans="1:6" x14ac:dyDescent="0.15">
      <c r="A1116" s="1">
        <v>40982</v>
      </c>
      <c r="B1116" t="s">
        <v>3566</v>
      </c>
      <c r="C1116" s="2" t="str">
        <f>HYPERLINK("http://snap.windin.com/ns/bulletin.php?id=2002363&amp;type=1", "益康生物:首次公开发行股票招股说明书（申报稿）")</f>
        <v>益康生物:首次公开发行股票招股说明书（申报稿）</v>
      </c>
      <c r="D1116" t="s">
        <v>7696</v>
      </c>
      <c r="E1116" t="s">
        <v>5542</v>
      </c>
      <c r="F1116" t="s">
        <v>5452</v>
      </c>
    </row>
    <row r="1117" spans="1:6" x14ac:dyDescent="0.15">
      <c r="A1117" s="1">
        <v>40982</v>
      </c>
      <c r="B1117" t="s">
        <v>167</v>
      </c>
      <c r="C1117" s="2" t="str">
        <f>HYPERLINK("http://snap.windin.com/ns/bulletin.php?id=1249606&amp;type=1", "首航节能:首次公开发行股票招股说明书")</f>
        <v>首航节能:首次公开发行股票招股说明书</v>
      </c>
      <c r="D1117" t="s">
        <v>1699</v>
      </c>
      <c r="E1117" t="s">
        <v>630</v>
      </c>
      <c r="F1117" t="s">
        <v>399</v>
      </c>
    </row>
    <row r="1118" spans="1:6" x14ac:dyDescent="0.15">
      <c r="A1118" s="1">
        <v>40982</v>
      </c>
      <c r="B1118" t="s">
        <v>3567</v>
      </c>
      <c r="C1118" s="2" t="str">
        <f>HYPERLINK("http://snap.windin.com/ns/bulletin.php?id=1211388&amp;type=1", "天保重装:创业板首发招股说明书（申报稿）")</f>
        <v>天保重装:创业板首发招股说明书（申报稿）</v>
      </c>
      <c r="D1118" t="s">
        <v>7697</v>
      </c>
      <c r="E1118" t="s">
        <v>454</v>
      </c>
      <c r="F1118" t="s">
        <v>5450</v>
      </c>
    </row>
    <row r="1119" spans="1:6" x14ac:dyDescent="0.15">
      <c r="A1119" s="1">
        <v>40982</v>
      </c>
      <c r="B1119" t="s">
        <v>84</v>
      </c>
      <c r="C1119" s="2" t="str">
        <f>HYPERLINK("http://snap.windin.com/ns/bulletin.php?id=1811603&amp;type=1", "南大光电:创业板首发招股说明书（申报稿）")</f>
        <v>南大光电:创业板首发招股说明书（申报稿）</v>
      </c>
      <c r="D1119" t="s">
        <v>7698</v>
      </c>
      <c r="E1119" t="s">
        <v>516</v>
      </c>
      <c r="F1119" t="s">
        <v>5450</v>
      </c>
    </row>
    <row r="1120" spans="1:6" x14ac:dyDescent="0.15">
      <c r="A1120" s="1">
        <v>40981</v>
      </c>
      <c r="B1120" t="s">
        <v>3568</v>
      </c>
      <c r="C1120" s="2" t="str">
        <f>HYPERLINK("http://snap.windin.com/ns/bulletin.php?id=1164638&amp;type=1", "爱创科技:创业板首发招股说明书（申报稿）")</f>
        <v>爱创科技:创业板首发招股说明书（申报稿）</v>
      </c>
      <c r="D1120" t="s">
        <v>7699</v>
      </c>
      <c r="E1120" t="s">
        <v>5543</v>
      </c>
      <c r="F1120" t="s">
        <v>5450</v>
      </c>
    </row>
    <row r="1121" spans="1:6" x14ac:dyDescent="0.15">
      <c r="A1121" s="1">
        <v>40981</v>
      </c>
      <c r="B1121" t="s">
        <v>169</v>
      </c>
      <c r="C1121" s="2" t="str">
        <f>HYPERLINK("http://snap.windin.com/ns/bulletin.php?id=1047204&amp;type=1", "德联集团:首次公开发行股票招股说明书")</f>
        <v>德联集团:首次公开发行股票招股说明书</v>
      </c>
      <c r="D1121" t="s">
        <v>1703</v>
      </c>
      <c r="E1121" t="s">
        <v>631</v>
      </c>
      <c r="F1121" t="s">
        <v>399</v>
      </c>
    </row>
    <row r="1122" spans="1:6" x14ac:dyDescent="0.15">
      <c r="A1122" s="1">
        <v>40980</v>
      </c>
      <c r="B1122" t="s">
        <v>172</v>
      </c>
      <c r="C1122" s="2" t="str">
        <f>HYPERLINK("http://snap.windin.com/ns/bulletin.php?id=1690613&amp;type=1", "云意电气:首次公开发行股票并在创业板上市招股说明书")</f>
        <v>云意电气:首次公开发行股票并在创业板上市招股说明书</v>
      </c>
      <c r="D1122" t="s">
        <v>1707</v>
      </c>
      <c r="E1122" t="s">
        <v>634</v>
      </c>
      <c r="F1122" t="s">
        <v>455</v>
      </c>
    </row>
    <row r="1123" spans="1:6" x14ac:dyDescent="0.15">
      <c r="A1123" s="1">
        <v>40980</v>
      </c>
      <c r="B1123" t="s">
        <v>170</v>
      </c>
      <c r="C1123" s="2" t="str">
        <f>HYPERLINK("http://snap.windin.com/ns/bulletin.php?id=1595228&amp;type=1", "同有科技:首次公开发行股票并在创业板上市招股说明书")</f>
        <v>同有科技:首次公开发行股票并在创业板上市招股说明书</v>
      </c>
      <c r="D1123" t="s">
        <v>1708</v>
      </c>
      <c r="E1123" t="s">
        <v>632</v>
      </c>
      <c r="F1123" t="s">
        <v>455</v>
      </c>
    </row>
    <row r="1124" spans="1:6" x14ac:dyDescent="0.15">
      <c r="A1124" s="1">
        <v>40980</v>
      </c>
      <c r="B1124" t="s">
        <v>115</v>
      </c>
      <c r="C1124" s="2" t="str">
        <f>HYPERLINK("http://snap.windin.com/ns/bulletin.php?id=752233&amp;type=1", "宏大爆破:首次公开发行招股说明书（申报稿）")</f>
        <v>宏大爆破:首次公开发行招股说明书（申报稿）</v>
      </c>
      <c r="D1124" t="s">
        <v>7700</v>
      </c>
      <c r="E1124" t="s">
        <v>558</v>
      </c>
      <c r="F1124" t="s">
        <v>5486</v>
      </c>
    </row>
    <row r="1125" spans="1:6" x14ac:dyDescent="0.15">
      <c r="A1125" s="1">
        <v>40980</v>
      </c>
      <c r="B1125" t="s">
        <v>77</v>
      </c>
      <c r="C1125" s="2" t="str">
        <f>HYPERLINK("http://snap.windin.com/ns/bulletin.php?id=850330&amp;type=1", "龙宇燃油:首次公开发行股票招股说明书（申报稿）")</f>
        <v>龙宇燃油:首次公开发行股票招股说明书（申报稿）</v>
      </c>
      <c r="D1125" t="s">
        <v>7701</v>
      </c>
      <c r="E1125" t="s">
        <v>509</v>
      </c>
      <c r="F1125" t="s">
        <v>5452</v>
      </c>
    </row>
    <row r="1126" spans="1:6" x14ac:dyDescent="0.15">
      <c r="A1126" s="1">
        <v>40977</v>
      </c>
      <c r="B1126" t="s">
        <v>171</v>
      </c>
      <c r="C1126" s="2" t="str">
        <f>HYPERLINK("http://snap.windin.com/ns/bulletin.php?id=1693066&amp;type=1", "长方照明:首次公开发行股票并在创业板上市招股说明书")</f>
        <v>长方照明:首次公开发行股票并在创业板上市招股说明书</v>
      </c>
      <c r="D1126" t="s">
        <v>1710</v>
      </c>
      <c r="E1126" t="s">
        <v>633</v>
      </c>
      <c r="F1126" t="s">
        <v>455</v>
      </c>
    </row>
    <row r="1127" spans="1:6" x14ac:dyDescent="0.15">
      <c r="A1127" s="1">
        <v>40977</v>
      </c>
      <c r="B1127" t="s">
        <v>3569</v>
      </c>
      <c r="C1127" s="2" t="str">
        <f>HYPERLINK("http://snap.windin.com/ns/bulletin.php?id=1408940&amp;type=1", "万安智能:首发招股说明书（申报稿）")</f>
        <v>万安智能:首发招股说明书（申报稿）</v>
      </c>
      <c r="D1127" t="s">
        <v>7702</v>
      </c>
      <c r="E1127" t="s">
        <v>5544</v>
      </c>
      <c r="F1127" t="s">
        <v>5513</v>
      </c>
    </row>
    <row r="1128" spans="1:6" x14ac:dyDescent="0.15">
      <c r="A1128" s="1">
        <v>40977</v>
      </c>
      <c r="B1128" t="s">
        <v>105</v>
      </c>
      <c r="C1128" s="2" t="str">
        <f>HYPERLINK("http://snap.windin.com/ns/bulletin.php?id=605239&amp;type=1", "亿利达:首次公开发行股票招股说明书（申报稿）")</f>
        <v>亿利达:首次公开发行股票招股说明书（申报稿）</v>
      </c>
      <c r="D1128" t="s">
        <v>7703</v>
      </c>
      <c r="E1128" t="s">
        <v>544</v>
      </c>
      <c r="F1128" t="s">
        <v>5452</v>
      </c>
    </row>
    <row r="1129" spans="1:6" x14ac:dyDescent="0.15">
      <c r="A1129" s="1">
        <v>40977</v>
      </c>
      <c r="B1129" t="s">
        <v>93</v>
      </c>
      <c r="C1129" s="2" t="str">
        <f>HYPERLINK("http://snap.windin.com/ns/bulletin.php?id=752132&amp;type=1", "麦迪电气:创业板首发招股说明书（申报稿）")</f>
        <v>麦迪电气:创业板首发招股说明书（申报稿）</v>
      </c>
      <c r="D1129" t="s">
        <v>7704</v>
      </c>
      <c r="E1129" t="s">
        <v>529</v>
      </c>
      <c r="F1129" t="s">
        <v>5450</v>
      </c>
    </row>
    <row r="1130" spans="1:6" x14ac:dyDescent="0.15">
      <c r="A1130" s="1">
        <v>40977</v>
      </c>
      <c r="B1130" t="s">
        <v>122</v>
      </c>
      <c r="C1130" s="2" t="str">
        <f>HYPERLINK("http://snap.windin.com/ns/bulletin.php?id=1071656&amp;type=1", "奋达科技:首次公开发行股票招股说明书（申报稿）")</f>
        <v>奋达科技:首次公开发行股票招股说明书（申报稿）</v>
      </c>
      <c r="D1130" t="s">
        <v>7705</v>
      </c>
      <c r="E1130" t="s">
        <v>565</v>
      </c>
      <c r="F1130" t="s">
        <v>5452</v>
      </c>
    </row>
    <row r="1131" spans="1:6" x14ac:dyDescent="0.15">
      <c r="A1131" s="1">
        <v>40976</v>
      </c>
      <c r="B1131" t="s">
        <v>78</v>
      </c>
      <c r="C1131" s="2" t="str">
        <f>HYPERLINK("http://snap.windin.com/ns/bulletin.php?id=1744541&amp;type=1", "泰格医药:创业板首发招股说明书（申报稿）")</f>
        <v>泰格医药:创业板首发招股说明书（申报稿）</v>
      </c>
      <c r="D1131" t="s">
        <v>7706</v>
      </c>
      <c r="E1131" t="s">
        <v>510</v>
      </c>
      <c r="F1131" t="s">
        <v>5450</v>
      </c>
    </row>
    <row r="1132" spans="1:6" x14ac:dyDescent="0.15">
      <c r="A1132" s="1">
        <v>40976</v>
      </c>
      <c r="B1132" t="s">
        <v>185</v>
      </c>
      <c r="C1132" s="2" t="str">
        <f>HYPERLINK("http://snap.windin.com/ns/bulletin.php?id=140589&amp;type=1", "中国交建:首次公开发行A股股票招股说明书")</f>
        <v>中国交建:首次公开发行A股股票招股说明书</v>
      </c>
      <c r="D1132" t="s">
        <v>1712</v>
      </c>
      <c r="E1132" t="s">
        <v>650</v>
      </c>
      <c r="F1132" t="s">
        <v>462</v>
      </c>
    </row>
    <row r="1133" spans="1:6" x14ac:dyDescent="0.15">
      <c r="A1133" s="1">
        <v>40976</v>
      </c>
      <c r="B1133" t="s">
        <v>91</v>
      </c>
      <c r="C1133" s="2" t="str">
        <f>HYPERLINK("http://snap.windin.com/ns/bulletin.php?id=1266548&amp;type=1", "科恒股份:创业板首发招股说明书（申报稿）")</f>
        <v>科恒股份:创业板首发招股说明书（申报稿）</v>
      </c>
      <c r="D1133" t="s">
        <v>7707</v>
      </c>
      <c r="E1133" t="s">
        <v>527</v>
      </c>
      <c r="F1133" t="s">
        <v>5450</v>
      </c>
    </row>
    <row r="1134" spans="1:6" x14ac:dyDescent="0.15">
      <c r="A1134" s="1">
        <v>40976</v>
      </c>
      <c r="B1134" t="s">
        <v>3570</v>
      </c>
      <c r="C1134" s="2" t="str">
        <f>HYPERLINK("http://snap.windin.com/ns/bulletin.php?id=1243277&amp;type=1", "海澜之家:首次公开发行股票招股说明书（申报稿）")</f>
        <v>海澜之家:首次公开发行股票招股说明书（申报稿）</v>
      </c>
      <c r="D1134" t="s">
        <v>7708</v>
      </c>
      <c r="E1134" t="s">
        <v>5545</v>
      </c>
      <c r="F1134" t="s">
        <v>5452</v>
      </c>
    </row>
    <row r="1135" spans="1:6" x14ac:dyDescent="0.15">
      <c r="A1135" s="1">
        <v>40976</v>
      </c>
      <c r="B1135" t="s">
        <v>3571</v>
      </c>
      <c r="C1135" s="2" t="str">
        <f>HYPERLINK("http://snap.windin.com/ns/bulletin.php?id=1367453&amp;type=1", "金大地:首次公开发行股票招股说明书（申报稿）")</f>
        <v>金大地:首次公开发行股票招股说明书（申报稿）</v>
      </c>
      <c r="D1135" t="s">
        <v>7709</v>
      </c>
      <c r="E1135" t="s">
        <v>5546</v>
      </c>
      <c r="F1135" t="s">
        <v>5452</v>
      </c>
    </row>
    <row r="1136" spans="1:6" x14ac:dyDescent="0.15">
      <c r="A1136" s="1">
        <v>40976</v>
      </c>
      <c r="B1136" t="s">
        <v>3572</v>
      </c>
      <c r="C1136" s="2" t="str">
        <f>HYPERLINK("http://snap.windin.com/ns/bulletin.php?id=1826887&amp;type=1", "昇兴集团:首次公开发行股票招股说明书（申报稿）")</f>
        <v>昇兴集团:首次公开发行股票招股说明书（申报稿）</v>
      </c>
      <c r="D1136" t="s">
        <v>7710</v>
      </c>
      <c r="E1136" t="s">
        <v>5547</v>
      </c>
      <c r="F1136" t="s">
        <v>5452</v>
      </c>
    </row>
    <row r="1137" spans="1:6" x14ac:dyDescent="0.15">
      <c r="A1137" s="1">
        <v>40976</v>
      </c>
      <c r="B1137" t="s">
        <v>80</v>
      </c>
      <c r="C1137" s="2" t="str">
        <f>HYPERLINK("http://snap.windin.com/ns/bulletin.php?id=1930150&amp;type=1", "隆鑫通用:首发招股说明书（申报稿）")</f>
        <v>隆鑫通用:首发招股说明书（申报稿）</v>
      </c>
      <c r="D1137" t="s">
        <v>7711</v>
      </c>
      <c r="E1137" t="s">
        <v>512</v>
      </c>
      <c r="F1137" t="s">
        <v>5513</v>
      </c>
    </row>
    <row r="1138" spans="1:6" x14ac:dyDescent="0.15">
      <c r="A1138" s="1">
        <v>40976</v>
      </c>
      <c r="B1138" t="s">
        <v>125</v>
      </c>
      <c r="C1138" s="2" t="str">
        <f>HYPERLINK("http://snap.windin.com/ns/bulletin.php?id=1778145&amp;type=1", "华灿光电:创业板首发招股说明书（申报稿）")</f>
        <v>华灿光电:创业板首发招股说明书（申报稿）</v>
      </c>
      <c r="D1138" t="s">
        <v>7712</v>
      </c>
      <c r="E1138" t="s">
        <v>568</v>
      </c>
      <c r="F1138" t="s">
        <v>5450</v>
      </c>
    </row>
    <row r="1139" spans="1:6" x14ac:dyDescent="0.15">
      <c r="A1139" s="1">
        <v>40976</v>
      </c>
      <c r="B1139" t="s">
        <v>173</v>
      </c>
      <c r="C1139" s="2" t="str">
        <f>HYPERLINK("http://snap.windin.com/ns/bulletin.php?id=1587453&amp;type=1", "聚飞光电:首次公开发行股票并在创业板上市招股说明书")</f>
        <v>聚飞光电:首次公开发行股票并在创业板上市招股说明书</v>
      </c>
      <c r="D1139" t="s">
        <v>1713</v>
      </c>
      <c r="E1139" t="s">
        <v>635</v>
      </c>
      <c r="F1139" t="s">
        <v>455</v>
      </c>
    </row>
    <row r="1140" spans="1:6" x14ac:dyDescent="0.15">
      <c r="A1140" s="1">
        <v>40976</v>
      </c>
      <c r="B1140" t="s">
        <v>102</v>
      </c>
      <c r="C1140" s="2" t="str">
        <f>HYPERLINK("http://snap.windin.com/ns/bulletin.php?id=1531220&amp;type=1", "迪森股份:创业板首发招股说明书（申报稿）")</f>
        <v>迪森股份:创业板首发招股说明书（申报稿）</v>
      </c>
      <c r="D1140" t="s">
        <v>7713</v>
      </c>
      <c r="E1140" t="s">
        <v>539</v>
      </c>
      <c r="F1140" t="s">
        <v>5450</v>
      </c>
    </row>
    <row r="1141" spans="1:6" x14ac:dyDescent="0.15">
      <c r="A1141" s="1">
        <v>40975</v>
      </c>
      <c r="B1141" t="s">
        <v>68</v>
      </c>
      <c r="C1141" s="2" t="str">
        <f>HYPERLINK("http://snap.windin.com/ns/bulletin.php?id=1675978&amp;type=1", "博实股份:首次公开发行股票招股说明书（申报稿）")</f>
        <v>博实股份:首次公开发行股票招股说明书（申报稿）</v>
      </c>
      <c r="D1141" t="s">
        <v>7714</v>
      </c>
      <c r="E1141" t="s">
        <v>498</v>
      </c>
      <c r="F1141" t="s">
        <v>5452</v>
      </c>
    </row>
    <row r="1142" spans="1:6" x14ac:dyDescent="0.15">
      <c r="A1142" s="1">
        <v>40975</v>
      </c>
      <c r="B1142" t="s">
        <v>3573</v>
      </c>
      <c r="C1142" s="2" t="str">
        <f>HYPERLINK("http://snap.windin.com/ns/bulletin.php?id=1917938&amp;type=1", "海诺尔:创业板首发招股说明书（申报稿）")</f>
        <v>海诺尔:创业板首发招股说明书（申报稿）</v>
      </c>
      <c r="D1142" t="s">
        <v>7715</v>
      </c>
      <c r="E1142" t="s">
        <v>5548</v>
      </c>
      <c r="F1142" t="s">
        <v>5450</v>
      </c>
    </row>
    <row r="1143" spans="1:6" x14ac:dyDescent="0.15">
      <c r="A1143" s="1">
        <v>40975</v>
      </c>
      <c r="B1143" t="s">
        <v>176</v>
      </c>
      <c r="C1143" s="2" t="str">
        <f>HYPERLINK("http://snap.windin.com/ns/bulletin.php?id=1927910&amp;type=1", "富春通信:首次公开发行股票并在创业板上市招股说明书")</f>
        <v>富春通信:首次公开发行股票并在创业板上市招股说明书</v>
      </c>
      <c r="D1143" t="s">
        <v>1717</v>
      </c>
      <c r="E1143" t="s">
        <v>639</v>
      </c>
      <c r="F1143" t="s">
        <v>455</v>
      </c>
    </row>
    <row r="1144" spans="1:6" x14ac:dyDescent="0.15">
      <c r="A1144" s="1">
        <v>40974</v>
      </c>
      <c r="B1144" t="s">
        <v>175</v>
      </c>
      <c r="C1144" s="2" t="str">
        <f>HYPERLINK("http://snap.windin.com/ns/bulletin.php?id=1722103&amp;type=1", "汉鼎股份:首次公开发行股票并在创业板上市招股说明书")</f>
        <v>汉鼎股份:首次公开发行股票并在创业板上市招股说明书</v>
      </c>
      <c r="D1144" t="s">
        <v>1724</v>
      </c>
      <c r="E1144" t="s">
        <v>637</v>
      </c>
      <c r="F1144" t="s">
        <v>455</v>
      </c>
    </row>
    <row r="1145" spans="1:6" x14ac:dyDescent="0.15">
      <c r="A1145" s="1">
        <v>40974</v>
      </c>
      <c r="B1145" t="s">
        <v>87</v>
      </c>
      <c r="C1145" s="2" t="str">
        <f>HYPERLINK("http://snap.windin.com/ns/bulletin.php?id=1565398&amp;type=1", "太空板业:创业板首发招股说明书（申报稿）")</f>
        <v>太空板业:创业板首发招股说明书（申报稿）</v>
      </c>
      <c r="D1145" t="s">
        <v>7716</v>
      </c>
      <c r="E1145" t="s">
        <v>519</v>
      </c>
      <c r="F1145" t="s">
        <v>5450</v>
      </c>
    </row>
    <row r="1146" spans="1:6" x14ac:dyDescent="0.15">
      <c r="A1146" s="1">
        <v>40974</v>
      </c>
      <c r="B1146" t="s">
        <v>177</v>
      </c>
      <c r="C1146" s="2" t="str">
        <f>HYPERLINK("http://snap.windin.com/ns/bulletin.php?id=959182&amp;type=1", "茂硕电源:首次公开发行股票招股说明书")</f>
        <v>茂硕电源:首次公开发行股票招股说明书</v>
      </c>
      <c r="D1146" t="s">
        <v>1727</v>
      </c>
      <c r="E1146" t="s">
        <v>640</v>
      </c>
      <c r="F1146" t="s">
        <v>399</v>
      </c>
    </row>
    <row r="1147" spans="1:6" x14ac:dyDescent="0.15">
      <c r="A1147" s="1">
        <v>40973</v>
      </c>
      <c r="B1147" t="s">
        <v>107</v>
      </c>
      <c r="C1147" s="2" t="str">
        <f>HYPERLINK("http://snap.windin.com/ns/bulletin.php?id=1652372&amp;type=1", "天壕节能:创业板首发招股说明书（申报稿）")</f>
        <v>天壕节能:创业板首发招股说明书（申报稿）</v>
      </c>
      <c r="D1147" t="s">
        <v>7717</v>
      </c>
      <c r="E1147" t="s">
        <v>548</v>
      </c>
      <c r="F1147" t="s">
        <v>5450</v>
      </c>
    </row>
    <row r="1148" spans="1:6" x14ac:dyDescent="0.15">
      <c r="A1148" s="1">
        <v>40973</v>
      </c>
      <c r="B1148" t="s">
        <v>75</v>
      </c>
      <c r="C1148" s="2" t="str">
        <f>HYPERLINK("http://snap.windin.com/ns/bulletin.php?id=1995094&amp;type=1", "金卡股份:创业板首发招股说明书（申报稿）")</f>
        <v>金卡股份:创业板首发招股说明书（申报稿）</v>
      </c>
      <c r="D1148" t="s">
        <v>7718</v>
      </c>
      <c r="E1148" t="s">
        <v>507</v>
      </c>
      <c r="F1148" t="s">
        <v>5450</v>
      </c>
    </row>
    <row r="1149" spans="1:6" x14ac:dyDescent="0.15">
      <c r="A1149" s="1">
        <v>40973</v>
      </c>
      <c r="B1149" t="s">
        <v>111</v>
      </c>
      <c r="C1149" s="2" t="str">
        <f>HYPERLINK("http://snap.windin.com/ns/bulletin.php?id=145265&amp;type=1", "宜安科技:创业板首发招股说明书（申报稿）")</f>
        <v>宜安科技:创业板首发招股说明书（申报稿）</v>
      </c>
      <c r="D1149" t="s">
        <v>7719</v>
      </c>
      <c r="E1149" t="s">
        <v>554</v>
      </c>
      <c r="F1149" t="s">
        <v>5450</v>
      </c>
    </row>
    <row r="1150" spans="1:6" x14ac:dyDescent="0.15">
      <c r="A1150" s="1">
        <v>40973</v>
      </c>
      <c r="B1150" t="s">
        <v>178</v>
      </c>
      <c r="C1150" s="2" t="str">
        <f>HYPERLINK("http://snap.windin.com/ns/bulletin.php?id=587522&amp;type=1", "普邦园林:首次公开发行股票招股说明书")</f>
        <v>普邦园林:首次公开发行股票招股说明书</v>
      </c>
      <c r="D1150" t="s">
        <v>1730</v>
      </c>
      <c r="E1150" t="s">
        <v>641</v>
      </c>
      <c r="F1150" t="s">
        <v>399</v>
      </c>
    </row>
    <row r="1151" spans="1:6" x14ac:dyDescent="0.15">
      <c r="A1151" s="1">
        <v>40973</v>
      </c>
      <c r="B1151" t="s">
        <v>174</v>
      </c>
      <c r="C1151" s="2" t="str">
        <f>HYPERLINK("http://snap.windin.com/ns/bulletin.php?id=955409&amp;type=1", "三诺生物:首次公开发行股票并在创业板上市招股说明书")</f>
        <v>三诺生物:首次公开发行股票并在创业板上市招股说明书</v>
      </c>
      <c r="D1151" t="s">
        <v>1729</v>
      </c>
      <c r="E1151" t="s">
        <v>636</v>
      </c>
      <c r="F1151" t="s">
        <v>455</v>
      </c>
    </row>
    <row r="1152" spans="1:6" x14ac:dyDescent="0.15">
      <c r="A1152" s="1">
        <v>40971</v>
      </c>
      <c r="B1152" t="s">
        <v>29</v>
      </c>
      <c r="C1152" s="2" t="str">
        <f>HYPERLINK("http://snap.windin.com/ns/bulletin.php?id=21811052&amp;type=1", "欧浦钢网:首次公开发行股票招股说明书(申报稿)")</f>
        <v>欧浦钢网:首次公开发行股票招股说明书(申报稿)</v>
      </c>
      <c r="D1152" t="s">
        <v>7720</v>
      </c>
      <c r="E1152" t="s">
        <v>430</v>
      </c>
      <c r="F1152" t="s">
        <v>5466</v>
      </c>
    </row>
    <row r="1153" spans="1:6" x14ac:dyDescent="0.15">
      <c r="A1153" s="1">
        <v>40970</v>
      </c>
      <c r="B1153" t="s">
        <v>3574</v>
      </c>
      <c r="C1153" s="2" t="str">
        <f>HYPERLINK("http://snap.windin.com/ns/bulletin.php?id=1715699&amp;type=1", "海四达:首发招股说明书（申报稿）")</f>
        <v>海四达:首发招股说明书（申报稿）</v>
      </c>
      <c r="D1153" t="s">
        <v>7721</v>
      </c>
      <c r="E1153" t="s">
        <v>5549</v>
      </c>
      <c r="F1153" t="s">
        <v>5513</v>
      </c>
    </row>
    <row r="1154" spans="1:6" x14ac:dyDescent="0.15">
      <c r="A1154" s="1">
        <v>40970</v>
      </c>
      <c r="B1154" t="s">
        <v>123</v>
      </c>
      <c r="C1154" s="2" t="str">
        <f>HYPERLINK("http://snap.windin.com/ns/bulletin.php?id=1706811&amp;type=1", "黄海机械:首次公开发行股票招股说明书（申报稿）")</f>
        <v>黄海机械:首次公开发行股票招股说明书（申报稿）</v>
      </c>
      <c r="D1154" t="s">
        <v>7722</v>
      </c>
      <c r="E1154" t="s">
        <v>566</v>
      </c>
      <c r="F1154" t="s">
        <v>5452</v>
      </c>
    </row>
    <row r="1155" spans="1:6" x14ac:dyDescent="0.15">
      <c r="A1155" s="1">
        <v>40970</v>
      </c>
      <c r="B1155" t="s">
        <v>182</v>
      </c>
      <c r="C1155" s="2" t="str">
        <f>HYPERLINK("http://snap.windin.com/ns/bulletin.php?id=1619315&amp;type=1", "利亚德:首次公开发行股票并在创业板上市招股说明书")</f>
        <v>利亚德:首次公开发行股票并在创业板上市招股说明书</v>
      </c>
      <c r="D1155" t="s">
        <v>1735</v>
      </c>
      <c r="E1155" t="s">
        <v>645</v>
      </c>
      <c r="F1155" t="s">
        <v>455</v>
      </c>
    </row>
    <row r="1156" spans="1:6" x14ac:dyDescent="0.15">
      <c r="A1156" s="1">
        <v>40970</v>
      </c>
      <c r="B1156" t="s">
        <v>95</v>
      </c>
      <c r="C1156" s="2" t="str">
        <f>HYPERLINK("http://snap.windin.com/ns/bulletin.php?id=166535&amp;type=1", "银邦股份:创业板首发招股说明书（申报稿）")</f>
        <v>银邦股份:创业板首发招股说明书（申报稿）</v>
      </c>
      <c r="D1156" t="s">
        <v>7723</v>
      </c>
      <c r="E1156" t="s">
        <v>532</v>
      </c>
      <c r="F1156" t="s">
        <v>5450</v>
      </c>
    </row>
    <row r="1157" spans="1:6" x14ac:dyDescent="0.15">
      <c r="A1157" s="1">
        <v>40970</v>
      </c>
      <c r="B1157" t="s">
        <v>183</v>
      </c>
      <c r="C1157" s="2" t="str">
        <f>HYPERLINK("http://snap.windin.com/ns/bulletin.php?id=1315789&amp;type=1", "蓝盾股份:首次公开发行股票并在创业板上市招股说明书")</f>
        <v>蓝盾股份:首次公开发行股票并在创业板上市招股说明书</v>
      </c>
      <c r="D1157" t="s">
        <v>1734</v>
      </c>
      <c r="E1157" t="s">
        <v>648</v>
      </c>
      <c r="F1157" t="s">
        <v>455</v>
      </c>
    </row>
    <row r="1158" spans="1:6" x14ac:dyDescent="0.15">
      <c r="A1158" s="1">
        <v>40970</v>
      </c>
      <c r="B1158" t="s">
        <v>3575</v>
      </c>
      <c r="C1158" s="2" t="str">
        <f>HYPERLINK("http://snap.windin.com/ns/bulletin.php?id=1145046&amp;type=1", "亿邦制药:首次公开发行股票招股说明书（申报稿）")</f>
        <v>亿邦制药:首次公开发行股票招股说明书（申报稿）</v>
      </c>
      <c r="D1158" t="s">
        <v>7724</v>
      </c>
      <c r="E1158" t="s">
        <v>5550</v>
      </c>
      <c r="F1158" t="s">
        <v>5452</v>
      </c>
    </row>
    <row r="1159" spans="1:6" x14ac:dyDescent="0.15">
      <c r="A1159" s="1">
        <v>40970</v>
      </c>
      <c r="B1159" t="s">
        <v>73</v>
      </c>
      <c r="C1159" s="2" t="str">
        <f>HYPERLINK("http://snap.windin.com/ns/bulletin.php?id=2054561&amp;type=1", "新华龙:首发招股说明书（申报稿）")</f>
        <v>新华龙:首发招股说明书（申报稿）</v>
      </c>
      <c r="D1159" t="s">
        <v>7725</v>
      </c>
      <c r="E1159" t="s">
        <v>503</v>
      </c>
      <c r="F1159" t="s">
        <v>5513</v>
      </c>
    </row>
    <row r="1160" spans="1:6" x14ac:dyDescent="0.15">
      <c r="A1160" s="1">
        <v>40970</v>
      </c>
      <c r="B1160" t="s">
        <v>100</v>
      </c>
      <c r="C1160" s="2" t="str">
        <f>HYPERLINK("http://snap.windin.com/ns/bulletin.php?id=2009950&amp;type=1", "乔治白:首次公开发行股票招股说明书（申报稿）")</f>
        <v>乔治白:首次公开发行股票招股说明书（申报稿）</v>
      </c>
      <c r="D1160" t="s">
        <v>7726</v>
      </c>
      <c r="E1160" t="s">
        <v>543</v>
      </c>
      <c r="F1160" t="s">
        <v>5452</v>
      </c>
    </row>
    <row r="1161" spans="1:6" x14ac:dyDescent="0.15">
      <c r="A1161" s="1">
        <v>40970</v>
      </c>
      <c r="B1161" t="s">
        <v>180</v>
      </c>
      <c r="C1161" s="2" t="str">
        <f>HYPERLINK("http://snap.windin.com/ns/bulletin.php?id=1426090&amp;type=1", "克明面业:首次公开发行股票招股说明书")</f>
        <v>克明面业:首次公开发行股票招股说明书</v>
      </c>
      <c r="D1161" t="s">
        <v>1738</v>
      </c>
      <c r="E1161" t="s">
        <v>643</v>
      </c>
      <c r="F1161" t="s">
        <v>399</v>
      </c>
    </row>
    <row r="1162" spans="1:6" x14ac:dyDescent="0.15">
      <c r="A1162" s="1">
        <v>40970</v>
      </c>
      <c r="B1162" t="s">
        <v>179</v>
      </c>
      <c r="C1162" s="2" t="str">
        <f>HYPERLINK("http://snap.windin.com/ns/bulletin.php?id=1426424&amp;type=1", "信质电机:首次公开发行股票招股说明书")</f>
        <v>信质电机:首次公开发行股票招股说明书</v>
      </c>
      <c r="D1162" t="s">
        <v>1736</v>
      </c>
      <c r="E1162" t="s">
        <v>642</v>
      </c>
      <c r="F1162" t="s">
        <v>399</v>
      </c>
    </row>
    <row r="1163" spans="1:6" x14ac:dyDescent="0.15">
      <c r="A1163" s="1">
        <v>40970</v>
      </c>
      <c r="B1163" t="s">
        <v>79</v>
      </c>
      <c r="C1163" s="2" t="str">
        <f>HYPERLINK("http://snap.windin.com/ns/bulletin.php?id=1284993&amp;type=1", "顾地科技:首次公开发行股票招股说明书（申报稿）")</f>
        <v>顾地科技:首次公开发行股票招股说明书（申报稿）</v>
      </c>
      <c r="D1163" t="s">
        <v>7727</v>
      </c>
      <c r="E1163" t="s">
        <v>511</v>
      </c>
      <c r="F1163" t="s">
        <v>5452</v>
      </c>
    </row>
    <row r="1164" spans="1:6" x14ac:dyDescent="0.15">
      <c r="A1164" s="1">
        <v>40970</v>
      </c>
      <c r="B1164" t="s">
        <v>3576</v>
      </c>
      <c r="C1164" s="2" t="str">
        <f>HYPERLINK("http://snap.windin.com/ns/bulletin.php?id=1028863&amp;type=1", "欧浦股份:首次公开发行股票招股说明书(申报稿)")</f>
        <v>欧浦股份:首次公开发行股票招股说明书(申报稿)</v>
      </c>
      <c r="D1164" t="s">
        <v>7728</v>
      </c>
      <c r="E1164" t="s">
        <v>5551</v>
      </c>
      <c r="F1164" t="s">
        <v>5466</v>
      </c>
    </row>
    <row r="1165" spans="1:6" x14ac:dyDescent="0.15">
      <c r="A1165" s="1">
        <v>40969</v>
      </c>
      <c r="B1165" t="s">
        <v>3577</v>
      </c>
      <c r="C1165" s="2" t="str">
        <f>HYPERLINK("http://snap.windin.com/ns/bulletin.php?id=1637317&amp;type=1", "谱尼测试:创业板首发招股说明书（申报稿）")</f>
        <v>谱尼测试:创业板首发招股说明书（申报稿）</v>
      </c>
      <c r="D1165" t="s">
        <v>7729</v>
      </c>
      <c r="E1165" t="s">
        <v>5552</v>
      </c>
      <c r="F1165" t="s">
        <v>5450</v>
      </c>
    </row>
    <row r="1166" spans="1:6" x14ac:dyDescent="0.15">
      <c r="A1166" s="1">
        <v>40969</v>
      </c>
      <c r="B1166" t="s">
        <v>57</v>
      </c>
      <c r="C1166" s="2" t="str">
        <f>HYPERLINK("http://snap.windin.com/ns/bulletin.php?id=2117875&amp;type=1", "奥瑞金:首次公开发行股票招股说明书（申报稿）")</f>
        <v>奥瑞金:首次公开发行股票招股说明书（申报稿）</v>
      </c>
      <c r="D1166" t="s">
        <v>7730</v>
      </c>
      <c r="E1166" t="s">
        <v>485</v>
      </c>
      <c r="F1166" t="s">
        <v>5452</v>
      </c>
    </row>
    <row r="1167" spans="1:6" x14ac:dyDescent="0.15">
      <c r="A1167" s="1">
        <v>40969</v>
      </c>
      <c r="B1167" t="s">
        <v>92</v>
      </c>
      <c r="C1167" s="2" t="str">
        <f>HYPERLINK("http://snap.windin.com/ns/bulletin.php?id=181341&amp;type=1", "开元仪器:创业板首发招股说明书（申报稿）")</f>
        <v>开元仪器:创业板首发招股说明书（申报稿）</v>
      </c>
      <c r="D1167" t="s">
        <v>7731</v>
      </c>
      <c r="E1167" t="s">
        <v>528</v>
      </c>
      <c r="F1167" t="s">
        <v>5450</v>
      </c>
    </row>
    <row r="1168" spans="1:6" x14ac:dyDescent="0.15">
      <c r="A1168" s="1">
        <v>40969</v>
      </c>
      <c r="B1168" t="s">
        <v>187</v>
      </c>
      <c r="C1168" s="2" t="str">
        <f>HYPERLINK("http://snap.windin.com/ns/bulletin.php?id=410016&amp;type=1", "中泰桥梁:首次公开发行股票招股说明书")</f>
        <v>中泰桥梁:首次公开发行股票招股说明书</v>
      </c>
      <c r="D1168" t="s">
        <v>1740</v>
      </c>
      <c r="E1168" t="s">
        <v>652</v>
      </c>
      <c r="F1168" t="s">
        <v>399</v>
      </c>
    </row>
    <row r="1169" spans="1:6" x14ac:dyDescent="0.15">
      <c r="A1169" s="1">
        <v>40969</v>
      </c>
      <c r="B1169" t="s">
        <v>76</v>
      </c>
      <c r="C1169" s="2" t="str">
        <f>HYPERLINK("http://snap.windin.com/ns/bulletin.php?id=791473&amp;type=1", "长亮科技:创业板首发招股说明书（申报稿）")</f>
        <v>长亮科技:创业板首发招股说明书（申报稿）</v>
      </c>
      <c r="D1169" t="s">
        <v>7732</v>
      </c>
      <c r="E1169" t="s">
        <v>508</v>
      </c>
      <c r="F1169" t="s">
        <v>5450</v>
      </c>
    </row>
    <row r="1170" spans="1:6" x14ac:dyDescent="0.15">
      <c r="A1170" s="1">
        <v>40969</v>
      </c>
      <c r="B1170" t="s">
        <v>2767</v>
      </c>
      <c r="C1170" s="2" t="str">
        <f>HYPERLINK("http://snap.windin.com/ns/bulletin.php?id=1837989&amp;type=1", "天和防务:创业板首发招股说明书（申报稿）")</f>
        <v>天和防务:创业板首发招股说明书（申报稿）</v>
      </c>
      <c r="D1170" t="s">
        <v>7733</v>
      </c>
      <c r="E1170" t="s">
        <v>4616</v>
      </c>
      <c r="F1170" t="s">
        <v>5450</v>
      </c>
    </row>
    <row r="1171" spans="1:6" x14ac:dyDescent="0.15">
      <c r="A1171" s="1">
        <v>40968</v>
      </c>
      <c r="B1171" t="s">
        <v>181</v>
      </c>
      <c r="C1171" s="2" t="str">
        <f>HYPERLINK("http://snap.windin.com/ns/bulletin.php?id=1986848&amp;type=1", "三六五网:首次公开发行股票并在创业板上市招股说明书")</f>
        <v>三六五网:首次公开发行股票并在创业板上市招股说明书</v>
      </c>
      <c r="D1171" t="s">
        <v>1744</v>
      </c>
      <c r="E1171" t="s">
        <v>644</v>
      </c>
      <c r="F1171" t="s">
        <v>455</v>
      </c>
    </row>
    <row r="1172" spans="1:6" x14ac:dyDescent="0.15">
      <c r="A1172" s="1">
        <v>40968</v>
      </c>
      <c r="B1172" t="s">
        <v>3578</v>
      </c>
      <c r="C1172" s="2" t="str">
        <f>HYPERLINK("http://snap.windin.com/ns/bulletin.php?id=1536658&amp;type=1", "江苏金源:首发招股说明书（申报稿）")</f>
        <v>江苏金源:首发招股说明书（申报稿）</v>
      </c>
      <c r="D1172" t="s">
        <v>7734</v>
      </c>
      <c r="E1172" t="s">
        <v>5553</v>
      </c>
      <c r="F1172" t="s">
        <v>5513</v>
      </c>
    </row>
    <row r="1173" spans="1:6" x14ac:dyDescent="0.15">
      <c r="A1173" s="1">
        <v>40967</v>
      </c>
      <c r="B1173" t="s">
        <v>3413</v>
      </c>
      <c r="C1173" s="2" t="str">
        <f>HYPERLINK("http://snap.windin.com/ns/bulletin.php?id=131494&amp;type=1", "十一科技:首发招股说明书(申报稿)")</f>
        <v>十一科技:首发招股说明书(申报稿)</v>
      </c>
      <c r="D1173" t="s">
        <v>7735</v>
      </c>
      <c r="E1173" t="s">
        <v>5442</v>
      </c>
      <c r="F1173" t="s">
        <v>5523</v>
      </c>
    </row>
    <row r="1174" spans="1:6" x14ac:dyDescent="0.15">
      <c r="A1174" s="1">
        <v>40967</v>
      </c>
      <c r="B1174" t="s">
        <v>189</v>
      </c>
      <c r="C1174" s="2" t="str">
        <f>HYPERLINK("http://snap.windin.com/ns/bulletin.php?id=415575&amp;type=1", "博雅生物:首次公开发行股票并在创业板上市招股说明书")</f>
        <v>博雅生物:首次公开发行股票并在创业板上市招股说明书</v>
      </c>
      <c r="D1174" t="s">
        <v>1747</v>
      </c>
      <c r="E1174" t="s">
        <v>654</v>
      </c>
      <c r="F1174" t="s">
        <v>455</v>
      </c>
    </row>
    <row r="1175" spans="1:6" x14ac:dyDescent="0.15">
      <c r="A1175" s="1">
        <v>40967</v>
      </c>
      <c r="B1175" t="s">
        <v>186</v>
      </c>
      <c r="C1175" s="2" t="str">
        <f>HYPERLINK("http://snap.windin.com/ns/bulletin.php?id=96466&amp;type=1", "雪迪龙:首次公开发行股票招股说明书")</f>
        <v>雪迪龙:首次公开发行股票招股说明书</v>
      </c>
      <c r="D1175" t="s">
        <v>1752</v>
      </c>
      <c r="E1175" t="s">
        <v>651</v>
      </c>
      <c r="F1175" t="s">
        <v>399</v>
      </c>
    </row>
    <row r="1176" spans="1:6" x14ac:dyDescent="0.15">
      <c r="A1176" s="1">
        <v>40967</v>
      </c>
      <c r="B1176" t="s">
        <v>184</v>
      </c>
      <c r="C1176" s="2" t="str">
        <f>HYPERLINK("http://snap.windin.com/ns/bulletin.php?id=1868865&amp;type=1", "京威股份:首次公开发行股票招股说明书")</f>
        <v>京威股份:首次公开发行股票招股说明书</v>
      </c>
      <c r="D1176" t="s">
        <v>1750</v>
      </c>
      <c r="E1176" t="s">
        <v>649</v>
      </c>
      <c r="F1176" t="s">
        <v>399</v>
      </c>
    </row>
    <row r="1177" spans="1:6" x14ac:dyDescent="0.15">
      <c r="A1177" s="1">
        <v>40966</v>
      </c>
      <c r="B1177" t="s">
        <v>3579</v>
      </c>
      <c r="C1177" s="2" t="str">
        <f>HYPERLINK("http://snap.windin.com/ns/bulletin.php?id=104975&amp;type=1", "信音电子:（中国）股份有限公司首发招股说明书（申报稿）")</f>
        <v>信音电子:（中国）股份有限公司首发招股说明书（申报稿）</v>
      </c>
      <c r="D1177" t="s">
        <v>7736</v>
      </c>
      <c r="E1177" t="s">
        <v>5554</v>
      </c>
      <c r="F1177" t="s">
        <v>5555</v>
      </c>
    </row>
    <row r="1178" spans="1:6" x14ac:dyDescent="0.15">
      <c r="A1178" s="1">
        <v>40966</v>
      </c>
      <c r="B1178" t="s">
        <v>3580</v>
      </c>
      <c r="C1178" s="2" t="str">
        <f>HYPERLINK("http://snap.windin.com/ns/bulletin.php?id=1344215&amp;type=1", "东锋股份:创业板首发招股说明书（申报稿）")</f>
        <v>东锋股份:创业板首发招股说明书（申报稿）</v>
      </c>
      <c r="D1178" t="s">
        <v>7737</v>
      </c>
      <c r="E1178" t="s">
        <v>5556</v>
      </c>
      <c r="F1178" t="s">
        <v>5450</v>
      </c>
    </row>
    <row r="1179" spans="1:6" x14ac:dyDescent="0.15">
      <c r="A1179" s="1">
        <v>40966</v>
      </c>
      <c r="B1179" t="s">
        <v>3581</v>
      </c>
      <c r="C1179" s="2" t="str">
        <f>HYPERLINK("http://snap.windin.com/ns/bulletin.php?id=445822&amp;type=1", "元征科技:首发招股说明书（申报稿）")</f>
        <v>元征科技:首发招股说明书（申报稿）</v>
      </c>
      <c r="D1179" t="s">
        <v>7738</v>
      </c>
      <c r="E1179" t="s">
        <v>5557</v>
      </c>
      <c r="F1179" t="s">
        <v>5513</v>
      </c>
    </row>
    <row r="1180" spans="1:6" x14ac:dyDescent="0.15">
      <c r="A1180" s="1">
        <v>40966</v>
      </c>
      <c r="B1180" t="s">
        <v>188</v>
      </c>
      <c r="C1180" s="2" t="str">
        <f>HYPERLINK("http://snap.windin.com/ns/bulletin.php?id=2080367&amp;type=1", "蓝英装备:首次公开发行股票并在创业板上市招股说明书")</f>
        <v>蓝英装备:首次公开发行股票并在创业板上市招股说明书</v>
      </c>
      <c r="D1180" t="s">
        <v>1754</v>
      </c>
      <c r="E1180" t="s">
        <v>653</v>
      </c>
      <c r="F1180" t="s">
        <v>455</v>
      </c>
    </row>
    <row r="1181" spans="1:6" x14ac:dyDescent="0.15">
      <c r="A1181" s="1">
        <v>40966</v>
      </c>
      <c r="B1181" t="s">
        <v>97</v>
      </c>
      <c r="C1181" s="2" t="str">
        <f>HYPERLINK("http://snap.windin.com/ns/bulletin.php?id=861765&amp;type=1", "喜临门:首次公开发行A股股票招股说明书(申报稿)")</f>
        <v>喜临门:首次公开发行A股股票招股说明书(申报稿)</v>
      </c>
      <c r="D1181" t="s">
        <v>7739</v>
      </c>
      <c r="E1181" t="s">
        <v>534</v>
      </c>
      <c r="F1181" t="s">
        <v>5558</v>
      </c>
    </row>
    <row r="1182" spans="1:6" x14ac:dyDescent="0.15">
      <c r="A1182" s="1">
        <v>40966</v>
      </c>
      <c r="B1182" t="s">
        <v>104</v>
      </c>
      <c r="C1182" s="2" t="str">
        <f>HYPERLINK("http://snap.windin.com/ns/bulletin.php?id=1028120&amp;type=1", "津膜科技:创业板首发招股说明书（申报稿）")</f>
        <v>津膜科技:创业板首发招股说明书（申报稿）</v>
      </c>
      <c r="D1182" t="s">
        <v>7740</v>
      </c>
      <c r="E1182" t="s">
        <v>542</v>
      </c>
      <c r="F1182" t="s">
        <v>5450</v>
      </c>
    </row>
    <row r="1183" spans="1:6" x14ac:dyDescent="0.15">
      <c r="A1183" s="1">
        <v>40966</v>
      </c>
      <c r="B1183" t="s">
        <v>69</v>
      </c>
      <c r="C1183" s="2" t="str">
        <f>HYPERLINK("http://snap.windin.com/ns/bulletin.php?id=1074256&amp;type=1", "渤海轮渡:首次公开发行A股股票招股说明书（申报稿）")</f>
        <v>渤海轮渡:首次公开发行A股股票招股说明书（申报稿）</v>
      </c>
      <c r="D1183" t="s">
        <v>7741</v>
      </c>
      <c r="E1183" t="s">
        <v>499</v>
      </c>
      <c r="F1183" t="s">
        <v>5493</v>
      </c>
    </row>
    <row r="1184" spans="1:6" x14ac:dyDescent="0.15">
      <c r="A1184" s="1">
        <v>40963</v>
      </c>
      <c r="B1184" t="s">
        <v>98</v>
      </c>
      <c r="C1184" s="2" t="str">
        <f>HYPERLINK("http://snap.windin.com/ns/bulletin.php?id=1955834&amp;type=1", "博林特:首次公开发行股票招股说明书(申报稿)")</f>
        <v>博林特:首次公开发行股票招股说明书(申报稿)</v>
      </c>
      <c r="D1184" t="s">
        <v>7742</v>
      </c>
      <c r="E1184" t="s">
        <v>535</v>
      </c>
      <c r="F1184" t="s">
        <v>5466</v>
      </c>
    </row>
    <row r="1185" spans="1:6" x14ac:dyDescent="0.15">
      <c r="A1185" s="1">
        <v>40963</v>
      </c>
      <c r="B1185" t="s">
        <v>101</v>
      </c>
      <c r="C1185" s="2" t="str">
        <f>HYPERLINK("http://snap.windin.com/ns/bulletin.php?id=1923846&amp;type=1", "新文化:创业板首发招股说明书（申报稿）")</f>
        <v>新文化:创业板首发招股说明书（申报稿）</v>
      </c>
      <c r="D1185" t="s">
        <v>7743</v>
      </c>
      <c r="E1185" t="s">
        <v>538</v>
      </c>
      <c r="F1185" t="s">
        <v>5450</v>
      </c>
    </row>
    <row r="1186" spans="1:6" x14ac:dyDescent="0.15">
      <c r="A1186" s="1">
        <v>40963</v>
      </c>
      <c r="B1186" t="s">
        <v>124</v>
      </c>
      <c r="C1186" s="2" t="str">
        <f>HYPERLINK("http://snap.windin.com/ns/bulletin.php?id=939560&amp;type=1", "福建金森:首次公开发行股票招股说明书(申报稿)")</f>
        <v>福建金森:首次公开发行股票招股说明书(申报稿)</v>
      </c>
      <c r="D1186" t="s">
        <v>7744</v>
      </c>
      <c r="E1186" t="s">
        <v>567</v>
      </c>
      <c r="F1186" t="s">
        <v>5466</v>
      </c>
    </row>
    <row r="1187" spans="1:6" x14ac:dyDescent="0.15">
      <c r="A1187" s="1">
        <v>40962</v>
      </c>
      <c r="B1187" t="s">
        <v>3582</v>
      </c>
      <c r="C1187" s="2" t="str">
        <f>HYPERLINK("http://snap.windin.com/ns/bulletin.php?id=1746389&amp;type=1", "先导稀材:创业板首发招股说明书（申报稿）")</f>
        <v>先导稀材:创业板首发招股说明书（申报稿）</v>
      </c>
      <c r="D1187" t="s">
        <v>7745</v>
      </c>
      <c r="E1187" t="s">
        <v>5559</v>
      </c>
      <c r="F1187" t="s">
        <v>5450</v>
      </c>
    </row>
    <row r="1188" spans="1:6" x14ac:dyDescent="0.15">
      <c r="A1188" s="1">
        <v>40962</v>
      </c>
      <c r="B1188" t="s">
        <v>3583</v>
      </c>
      <c r="C1188" s="2" t="str">
        <f>HYPERLINK("http://snap.windin.com/ns/bulletin.php?id=1801896&amp;type=1", "明源软件:创业板首发招股说明书（申报稿）")</f>
        <v>明源软件:创业板首发招股说明书（申报稿）</v>
      </c>
      <c r="D1188" t="s">
        <v>7746</v>
      </c>
      <c r="E1188" t="s">
        <v>5560</v>
      </c>
      <c r="F1188" t="s">
        <v>5450</v>
      </c>
    </row>
    <row r="1189" spans="1:6" x14ac:dyDescent="0.15">
      <c r="A1189" s="1">
        <v>40962</v>
      </c>
      <c r="B1189" t="s">
        <v>96</v>
      </c>
      <c r="C1189" s="2" t="str">
        <f>HYPERLINK("http://snap.windin.com/ns/bulletin.php?id=1951685&amp;type=1", "润和软件:创业板首发招股说明书（申报稿）")</f>
        <v>润和软件:创业板首发招股说明书（申报稿）</v>
      </c>
      <c r="D1189" t="s">
        <v>7747</v>
      </c>
      <c r="E1189" t="s">
        <v>533</v>
      </c>
      <c r="F1189" t="s">
        <v>5450</v>
      </c>
    </row>
    <row r="1190" spans="1:6" x14ac:dyDescent="0.15">
      <c r="A1190" s="1">
        <v>40962</v>
      </c>
      <c r="B1190" t="s">
        <v>121</v>
      </c>
      <c r="C1190" s="2" t="str">
        <f>HYPERLINK("http://snap.windin.com/ns/bulletin.php?id=1939807&amp;type=1", "硕贝德:创业板首发招股说明书（申报稿）")</f>
        <v>硕贝德:创业板首发招股说明书（申报稿）</v>
      </c>
      <c r="D1190" t="s">
        <v>7748</v>
      </c>
      <c r="E1190" t="s">
        <v>564</v>
      </c>
      <c r="F1190" t="s">
        <v>5450</v>
      </c>
    </row>
    <row r="1191" spans="1:6" x14ac:dyDescent="0.15">
      <c r="A1191" s="1">
        <v>40962</v>
      </c>
      <c r="B1191" t="s">
        <v>133</v>
      </c>
      <c r="C1191" s="2" t="str">
        <f>HYPERLINK("http://snap.windin.com/ns/bulletin.php?id=1933269&amp;type=1", "博晖创新:创业板首发招股说明书（申报稿）")</f>
        <v>博晖创新:创业板首发招股说明书（申报稿）</v>
      </c>
      <c r="D1191" t="s">
        <v>7749</v>
      </c>
      <c r="E1191" t="s">
        <v>579</v>
      </c>
      <c r="F1191" t="s">
        <v>5450</v>
      </c>
    </row>
    <row r="1192" spans="1:6" x14ac:dyDescent="0.15">
      <c r="A1192" s="1">
        <v>40962</v>
      </c>
      <c r="B1192" t="s">
        <v>106</v>
      </c>
      <c r="C1192" s="2" t="str">
        <f>HYPERLINK("http://snap.windin.com/ns/bulletin.php?id=861306&amp;type=1", "兆日科技:创业板首发招股说明书（申报稿）")</f>
        <v>兆日科技:创业板首发招股说明书（申报稿）</v>
      </c>
      <c r="D1192" t="s">
        <v>7750</v>
      </c>
      <c r="E1192" t="s">
        <v>547</v>
      </c>
      <c r="F1192" t="s">
        <v>5450</v>
      </c>
    </row>
    <row r="1193" spans="1:6" x14ac:dyDescent="0.15">
      <c r="A1193" s="1">
        <v>40962</v>
      </c>
      <c r="B1193" t="s">
        <v>3584</v>
      </c>
      <c r="C1193" s="2" t="str">
        <f>HYPERLINK("http://snap.windin.com/ns/bulletin.php?id=1033178&amp;type=1", "劲拓股份:创业板首发招股说明书（申报稿）")</f>
        <v>劲拓股份:创业板首发招股说明书（申报稿）</v>
      </c>
      <c r="D1193" t="s">
        <v>7751</v>
      </c>
      <c r="E1193" t="s">
        <v>5561</v>
      </c>
      <c r="F1193" t="s">
        <v>5450</v>
      </c>
    </row>
    <row r="1194" spans="1:6" x14ac:dyDescent="0.15">
      <c r="A1194" s="1">
        <v>40961</v>
      </c>
      <c r="B1194" t="s">
        <v>94</v>
      </c>
      <c r="C1194" s="2" t="str">
        <f>HYPERLINK("http://snap.windin.com/ns/bulletin.php?id=1430966&amp;type=1", "天银机电:创业板首发招股说明书（申报稿）")</f>
        <v>天银机电:创业板首发招股说明书（申报稿）</v>
      </c>
      <c r="D1194" t="s">
        <v>7752</v>
      </c>
      <c r="E1194" t="s">
        <v>530</v>
      </c>
      <c r="F1194" t="s">
        <v>5450</v>
      </c>
    </row>
    <row r="1195" spans="1:6" x14ac:dyDescent="0.15">
      <c r="A1195" s="1">
        <v>40961</v>
      </c>
      <c r="B1195" t="s">
        <v>193</v>
      </c>
      <c r="C1195" s="2" t="str">
        <f>HYPERLINK("http://snap.windin.com/ns/bulletin.php?id=1104507&amp;type=1", "吉视传媒:首次公开发行股票（A股）招股说明书")</f>
        <v>吉视传媒:首次公开发行股票（A股）招股说明书</v>
      </c>
      <c r="D1195" t="s">
        <v>1768</v>
      </c>
      <c r="E1195" t="s">
        <v>659</v>
      </c>
      <c r="F1195" t="s">
        <v>661</v>
      </c>
    </row>
    <row r="1196" spans="1:6" x14ac:dyDescent="0.15">
      <c r="A1196" s="1">
        <v>40960</v>
      </c>
      <c r="B1196" t="s">
        <v>108</v>
      </c>
      <c r="C1196" s="2" t="str">
        <f>HYPERLINK("http://snap.windin.com/ns/bulletin.php?id=1389563&amp;type=1", "苏大维格:创业板首发招股说明书（申报稿）")</f>
        <v>苏大维格:创业板首发招股说明书（申报稿）</v>
      </c>
      <c r="D1196" t="s">
        <v>7753</v>
      </c>
      <c r="E1196" t="s">
        <v>550</v>
      </c>
      <c r="F1196" t="s">
        <v>5450</v>
      </c>
    </row>
    <row r="1197" spans="1:6" x14ac:dyDescent="0.15">
      <c r="A1197" s="1">
        <v>40960</v>
      </c>
      <c r="B1197" t="s">
        <v>3585</v>
      </c>
      <c r="C1197" s="2" t="str">
        <f>HYPERLINK("http://snap.windin.com/ns/bulletin.php?id=867122&amp;type=1", "麦格米特:首次公开发行股票招股说明书（申报稿）")</f>
        <v>麦格米特:首次公开发行股票招股说明书（申报稿）</v>
      </c>
      <c r="D1197" t="s">
        <v>7754</v>
      </c>
      <c r="E1197" t="s">
        <v>5562</v>
      </c>
      <c r="F1197" t="s">
        <v>5452</v>
      </c>
    </row>
    <row r="1198" spans="1:6" x14ac:dyDescent="0.15">
      <c r="A1198" s="1">
        <v>40959</v>
      </c>
      <c r="B1198" t="s">
        <v>190</v>
      </c>
      <c r="C1198" s="2" t="str">
        <f>HYPERLINK("http://snap.windin.com/ns/bulletin.php?id=961376&amp;type=1", "吴通通讯:首次公开发行股票并在创业板上市招股说明书")</f>
        <v>吴通通讯:首次公开发行股票并在创业板上市招股说明书</v>
      </c>
      <c r="D1198" t="s">
        <v>1771</v>
      </c>
      <c r="E1198" t="s">
        <v>656</v>
      </c>
      <c r="F1198" t="s">
        <v>455</v>
      </c>
    </row>
    <row r="1199" spans="1:6" x14ac:dyDescent="0.15">
      <c r="A1199" s="1">
        <v>40956</v>
      </c>
      <c r="B1199" t="s">
        <v>191</v>
      </c>
      <c r="C1199" s="2" t="str">
        <f>HYPERLINK("http://snap.windin.com/ns/bulletin.php?id=1660331&amp;type=1", "中科金财:首次公开发行股票招股说明书")</f>
        <v>中科金财:首次公开发行股票招股说明书</v>
      </c>
      <c r="D1199" t="s">
        <v>1781</v>
      </c>
      <c r="E1199" t="s">
        <v>657</v>
      </c>
      <c r="F1199" t="s">
        <v>399</v>
      </c>
    </row>
    <row r="1200" spans="1:6" x14ac:dyDescent="0.15">
      <c r="A1200" s="1">
        <v>40956</v>
      </c>
      <c r="B1200" t="s">
        <v>128</v>
      </c>
      <c r="C1200" s="2" t="str">
        <f>HYPERLINK("http://snap.windin.com/ns/bulletin.php?id=199191&amp;type=1", "珠江钢琴:首次公开发行股票招股说明书（申报稿）")</f>
        <v>珠江钢琴:首次公开发行股票招股说明书（申报稿）</v>
      </c>
      <c r="D1200" t="s">
        <v>7755</v>
      </c>
      <c r="E1200" t="s">
        <v>572</v>
      </c>
      <c r="F1200" t="s">
        <v>5452</v>
      </c>
    </row>
    <row r="1201" spans="1:6" x14ac:dyDescent="0.15">
      <c r="A1201" s="1">
        <v>40956</v>
      </c>
      <c r="B1201" t="s">
        <v>89</v>
      </c>
      <c r="C1201" s="2" t="str">
        <f>HYPERLINK("http://snap.windin.com/ns/bulletin.php?id=1502086&amp;type=1", "中煤装备:首次公开发行股票招股说明书（申报稿）")</f>
        <v>中煤装备:首次公开发行股票招股说明书（申报稿）</v>
      </c>
      <c r="D1201" t="s">
        <v>7756</v>
      </c>
      <c r="E1201" t="s">
        <v>5563</v>
      </c>
      <c r="F1201" t="s">
        <v>5452</v>
      </c>
    </row>
    <row r="1202" spans="1:6" x14ac:dyDescent="0.15">
      <c r="A1202" s="1">
        <v>40956</v>
      </c>
      <c r="B1202" t="s">
        <v>194</v>
      </c>
      <c r="C1202" s="2" t="str">
        <f>HYPERLINK("http://snap.windin.com/ns/bulletin.php?id=782973&amp;type=1", "环旭电子:首次公开发行股票招股说明书")</f>
        <v>环旭电子:首次公开发行股票招股说明书</v>
      </c>
      <c r="D1202" t="s">
        <v>1779</v>
      </c>
      <c r="E1202" t="s">
        <v>662</v>
      </c>
      <c r="F1202" t="s">
        <v>399</v>
      </c>
    </row>
    <row r="1203" spans="1:6" x14ac:dyDescent="0.15">
      <c r="A1203" s="1">
        <v>40955</v>
      </c>
      <c r="B1203" t="s">
        <v>192</v>
      </c>
      <c r="C1203" s="2" t="str">
        <f>HYPERLINK("http://snap.windin.com/ns/bulletin.php?id=2071928&amp;type=1", "卡奴迪路:首次公开发行股票招股说明书")</f>
        <v>卡奴迪路:首次公开发行股票招股说明书</v>
      </c>
      <c r="D1203" t="s">
        <v>1784</v>
      </c>
      <c r="E1203" t="s">
        <v>658</v>
      </c>
      <c r="F1203" t="s">
        <v>399</v>
      </c>
    </row>
    <row r="1204" spans="1:6" x14ac:dyDescent="0.15">
      <c r="A1204" s="1">
        <v>40954</v>
      </c>
      <c r="B1204" t="s">
        <v>3586</v>
      </c>
      <c r="C1204" s="2" t="str">
        <f>HYPERLINK("http://snap.windin.com/ns/bulletin.php?id=1558898&amp;type=1", "汉嘉设计:首次公开发行股票招股说明书（申报稿）")</f>
        <v>汉嘉设计:首次公开发行股票招股说明书（申报稿）</v>
      </c>
      <c r="D1204" t="s">
        <v>7757</v>
      </c>
      <c r="E1204" t="s">
        <v>5564</v>
      </c>
      <c r="F1204" t="s">
        <v>5452</v>
      </c>
    </row>
    <row r="1205" spans="1:6" x14ac:dyDescent="0.15">
      <c r="A1205" s="1">
        <v>40954</v>
      </c>
      <c r="B1205" t="s">
        <v>198</v>
      </c>
      <c r="C1205" s="2" t="str">
        <f>HYPERLINK("http://snap.windin.com/ns/bulletin.php?id=594797&amp;type=1", "东风股份:首次公开发行股票招股说明书")</f>
        <v>东风股份:首次公开发行股票招股说明书</v>
      </c>
      <c r="D1205" t="s">
        <v>1789</v>
      </c>
      <c r="E1205" t="s">
        <v>666</v>
      </c>
      <c r="F1205" t="s">
        <v>399</v>
      </c>
    </row>
    <row r="1206" spans="1:6" x14ac:dyDescent="0.15">
      <c r="A1206" s="1">
        <v>40954</v>
      </c>
      <c r="B1206" t="s">
        <v>90</v>
      </c>
      <c r="C1206" s="2" t="str">
        <f>HYPERLINK("http://snap.windin.com/ns/bulletin.php?id=638568&amp;type=1", "美亚光电:首次公开发行股票招股说明书（申报稿）")</f>
        <v>美亚光电:首次公开发行股票招股说明书（申报稿）</v>
      </c>
      <c r="D1206" t="s">
        <v>7758</v>
      </c>
      <c r="E1206" t="s">
        <v>526</v>
      </c>
      <c r="F1206" t="s">
        <v>5452</v>
      </c>
    </row>
    <row r="1207" spans="1:6" x14ac:dyDescent="0.15">
      <c r="A1207" s="1">
        <v>40949</v>
      </c>
      <c r="B1207" t="s">
        <v>3587</v>
      </c>
      <c r="C1207" s="2" t="str">
        <f>HYPERLINK("http://snap.windin.com/ns/bulletin.php?id=1768977&amp;type=1", "金发科技:增发招股说明书")</f>
        <v>金发科技:增发招股说明书</v>
      </c>
      <c r="D1207" t="s">
        <v>7759</v>
      </c>
      <c r="E1207" t="s">
        <v>5565</v>
      </c>
      <c r="F1207" t="s">
        <v>5566</v>
      </c>
    </row>
    <row r="1208" spans="1:6" x14ac:dyDescent="0.15">
      <c r="A1208" s="1">
        <v>40949</v>
      </c>
      <c r="B1208" t="s">
        <v>141</v>
      </c>
      <c r="C1208" s="2" t="str">
        <f>HYPERLINK("http://snap.windin.com/ns/bulletin.php?id=113420&amp;type=1", "晶盛机电:创业板首发招股说明书(申报稿)")</f>
        <v>晶盛机电:创业板首发招股说明书(申报稿)</v>
      </c>
      <c r="D1208" t="s">
        <v>7760</v>
      </c>
      <c r="E1208" t="s">
        <v>589</v>
      </c>
      <c r="F1208" t="s">
        <v>5462</v>
      </c>
    </row>
    <row r="1209" spans="1:6" x14ac:dyDescent="0.15">
      <c r="A1209" s="1">
        <v>40949</v>
      </c>
      <c r="B1209" t="s">
        <v>137</v>
      </c>
      <c r="C1209" s="2" t="str">
        <f>HYPERLINK("http://snap.windin.com/ns/bulletin.php?id=2017961&amp;type=1", "日出东方:首次公开发行股票招股说明书（申报稿）")</f>
        <v>日出东方:首次公开发行股票招股说明书（申报稿）</v>
      </c>
      <c r="D1209" t="s">
        <v>7761</v>
      </c>
      <c r="E1209" t="s">
        <v>584</v>
      </c>
      <c r="F1209" t="s">
        <v>5452</v>
      </c>
    </row>
    <row r="1210" spans="1:6" x14ac:dyDescent="0.15">
      <c r="A1210" s="1">
        <v>40949</v>
      </c>
      <c r="B1210" t="s">
        <v>134</v>
      </c>
      <c r="C1210" s="2" t="str">
        <f>HYPERLINK("http://snap.windin.com/ns/bulletin.php?id=1583315&amp;type=1", "麦捷科技:创业板首发招股说明书（申报稿）")</f>
        <v>麦捷科技:创业板首发招股说明书（申报稿）</v>
      </c>
      <c r="D1210" t="s">
        <v>7762</v>
      </c>
      <c r="E1210" t="s">
        <v>580</v>
      </c>
      <c r="F1210" t="s">
        <v>5450</v>
      </c>
    </row>
    <row r="1211" spans="1:6" x14ac:dyDescent="0.15">
      <c r="A1211" s="1">
        <v>40947</v>
      </c>
      <c r="B1211" t="s">
        <v>195</v>
      </c>
      <c r="C1211" s="2" t="str">
        <f>HYPERLINK("http://snap.windin.com/ns/bulletin.php?id=219030&amp;type=1", "共达电声:首次公开发行股票招股说明书")</f>
        <v>共达电声:首次公开发行股票招股说明书</v>
      </c>
      <c r="D1211" t="s">
        <v>1800</v>
      </c>
      <c r="E1211" t="s">
        <v>663</v>
      </c>
      <c r="F1211" t="s">
        <v>399</v>
      </c>
    </row>
    <row r="1212" spans="1:6" x14ac:dyDescent="0.15">
      <c r="A1212" s="1">
        <v>40947</v>
      </c>
      <c r="B1212" t="s">
        <v>83</v>
      </c>
      <c r="C1212" s="2" t="str">
        <f>HYPERLINK("http://snap.windin.com/ns/bulletin.php?id=178056&amp;type=1", "新远程:首次公开发行股票招股说明书（申报稿）")</f>
        <v>新远程:首次公开发行股票招股说明书（申报稿）</v>
      </c>
      <c r="D1212" t="s">
        <v>7763</v>
      </c>
      <c r="E1212" t="s">
        <v>5567</v>
      </c>
      <c r="F1212" t="s">
        <v>5452</v>
      </c>
    </row>
    <row r="1213" spans="1:6" x14ac:dyDescent="0.15">
      <c r="A1213" s="1">
        <v>40947</v>
      </c>
      <c r="B1213" t="s">
        <v>88</v>
      </c>
      <c r="C1213" s="2" t="str">
        <f>HYPERLINK("http://snap.windin.com/ns/bulletin.php?id=423681&amp;type=1", "和邦股份:首次公开发行股票招股说明书（申报稿）")</f>
        <v>和邦股份:首次公开发行股票招股说明书（申报稿）</v>
      </c>
      <c r="D1213" t="s">
        <v>7764</v>
      </c>
      <c r="E1213" t="s">
        <v>524</v>
      </c>
      <c r="F1213" t="s">
        <v>5452</v>
      </c>
    </row>
    <row r="1214" spans="1:6" x14ac:dyDescent="0.15">
      <c r="A1214" s="1">
        <v>40947</v>
      </c>
      <c r="B1214" t="s">
        <v>195</v>
      </c>
      <c r="C1214" s="2" t="str">
        <f>HYPERLINK("http://snap.windin.com/ns/bulletin.php?id=720646&amp;type=1", "共达电声:首次公开发行股票招股说明书（更新后）")</f>
        <v>共达电声:首次公开发行股票招股说明书（更新后）</v>
      </c>
      <c r="D1214" t="s">
        <v>1801</v>
      </c>
      <c r="E1214" t="s">
        <v>663</v>
      </c>
      <c r="F1214" t="s">
        <v>573</v>
      </c>
    </row>
    <row r="1215" spans="1:6" x14ac:dyDescent="0.15">
      <c r="A1215" s="1">
        <v>40947</v>
      </c>
      <c r="B1215" t="s">
        <v>2929</v>
      </c>
      <c r="C1215" s="2" t="str">
        <f>HYPERLINK("http://snap.windin.com/ns/bulletin.php?id=680554&amp;type=1", "莎普爱思:首次公开发行股票招股说明书(申报稿)")</f>
        <v>莎普爱思:首次公开发行股票招股说明书(申报稿)</v>
      </c>
      <c r="D1215" t="s">
        <v>7765</v>
      </c>
      <c r="E1215" t="s">
        <v>4847</v>
      </c>
      <c r="F1215" t="s">
        <v>5466</v>
      </c>
    </row>
    <row r="1216" spans="1:6" x14ac:dyDescent="0.15">
      <c r="A1216" s="1">
        <v>40946</v>
      </c>
      <c r="B1216" t="s">
        <v>199</v>
      </c>
      <c r="C1216" s="2" t="str">
        <f>HYPERLINK("http://snap.windin.com/ns/bulletin.php?id=2002321&amp;type=1", "朗玛信息:首次公开发行股票并在创业板上市招股说明书")</f>
        <v>朗玛信息:首次公开发行股票并在创业板上市招股说明书</v>
      </c>
      <c r="D1216" t="s">
        <v>1806</v>
      </c>
      <c r="E1216" t="s">
        <v>667</v>
      </c>
      <c r="F1216" t="s">
        <v>455</v>
      </c>
    </row>
    <row r="1217" spans="1:6" x14ac:dyDescent="0.15">
      <c r="A1217" s="1">
        <v>40946</v>
      </c>
      <c r="B1217" t="s">
        <v>197</v>
      </c>
      <c r="C1217" s="2" t="str">
        <f>HYPERLINK("http://snap.windin.com/ns/bulletin.php?id=743175&amp;type=1", "荣科科技:首次公开发行股票并在创业板上市招股说明书")</f>
        <v>荣科科技:首次公开发行股票并在创业板上市招股说明书</v>
      </c>
      <c r="D1217" t="s">
        <v>1804</v>
      </c>
      <c r="E1217" t="s">
        <v>665</v>
      </c>
      <c r="F1217" t="s">
        <v>455</v>
      </c>
    </row>
    <row r="1218" spans="1:6" x14ac:dyDescent="0.15">
      <c r="A1218" s="1">
        <v>40946</v>
      </c>
      <c r="B1218" t="s">
        <v>200</v>
      </c>
      <c r="C1218" s="2" t="str">
        <f>HYPERLINK("http://snap.windin.com/ns/bulletin.php?id=1031907&amp;type=1", "利德曼:首次公开发行股票并在创业板上市招股说明书")</f>
        <v>利德曼:首次公开发行股票并在创业板上市招股说明书</v>
      </c>
      <c r="D1218" t="s">
        <v>1805</v>
      </c>
      <c r="E1218" t="s">
        <v>668</v>
      </c>
      <c r="F1218" t="s">
        <v>455</v>
      </c>
    </row>
    <row r="1219" spans="1:6" x14ac:dyDescent="0.15">
      <c r="A1219" s="1">
        <v>40942</v>
      </c>
      <c r="B1219" t="s">
        <v>3588</v>
      </c>
      <c r="C1219" s="2" t="str">
        <f>HYPERLINK("http://snap.windin.com/ns/bulletin.php?id=1725938&amp;type=1", "冠华股份:首次公开发行股票招股说明书（申报稿）")</f>
        <v>冠华股份:首次公开发行股票招股说明书（申报稿）</v>
      </c>
      <c r="D1219" t="s">
        <v>7766</v>
      </c>
      <c r="E1219" t="s">
        <v>5568</v>
      </c>
      <c r="F1219" t="s">
        <v>5452</v>
      </c>
    </row>
    <row r="1220" spans="1:6" x14ac:dyDescent="0.15">
      <c r="A1220" s="1">
        <v>40942</v>
      </c>
      <c r="B1220" t="s">
        <v>196</v>
      </c>
      <c r="C1220" s="2" t="str">
        <f>HYPERLINK("http://snap.windin.com/ns/bulletin.php?id=2126116&amp;type=1", "万润科技:首次公开发行股票招股说明书")</f>
        <v>万润科技:首次公开发行股票招股说明书</v>
      </c>
      <c r="D1220" t="s">
        <v>1809</v>
      </c>
      <c r="E1220" t="s">
        <v>664</v>
      </c>
      <c r="F1220" t="s">
        <v>399</v>
      </c>
    </row>
    <row r="1221" spans="1:6" x14ac:dyDescent="0.15">
      <c r="A1221" s="1">
        <v>40942</v>
      </c>
      <c r="B1221" t="s">
        <v>117</v>
      </c>
      <c r="C1221" s="2" t="str">
        <f>HYPERLINK("http://snap.windin.com/ns/bulletin.php?id=489202&amp;type=1", "龙洲股份:首次公开发行股票招股说明书（申报稿）")</f>
        <v>龙洲股份:首次公开发行股票招股说明书（申报稿）</v>
      </c>
      <c r="D1221" t="s">
        <v>7767</v>
      </c>
      <c r="E1221" t="s">
        <v>560</v>
      </c>
      <c r="F1221" t="s">
        <v>5452</v>
      </c>
    </row>
    <row r="1222" spans="1:6" x14ac:dyDescent="0.15">
      <c r="A1222" s="1">
        <v>40942</v>
      </c>
      <c r="B1222" t="s">
        <v>196</v>
      </c>
      <c r="C1222" s="2" t="str">
        <f>HYPERLINK("http://snap.windin.com/ns/bulletin.php?id=2114514&amp;type=1", "万润科技:首次公开发行股票招股说明书（更新后）")</f>
        <v>万润科技:首次公开发行股票招股说明书（更新后）</v>
      </c>
      <c r="D1222" t="s">
        <v>1810</v>
      </c>
      <c r="E1222" t="s">
        <v>664</v>
      </c>
      <c r="F1222" t="s">
        <v>573</v>
      </c>
    </row>
    <row r="1223" spans="1:6" x14ac:dyDescent="0.15">
      <c r="A1223" s="1">
        <v>40940</v>
      </c>
      <c r="B1223" t="s">
        <v>116</v>
      </c>
      <c r="C1223" s="2" t="str">
        <f>HYPERLINK("http://snap.windin.com/ns/bulletin.php?id=1680294&amp;type=1", "华东重机:首次公开发行股票招股说明书（申报稿）")</f>
        <v>华东重机:首次公开发行股票招股说明书（申报稿）</v>
      </c>
      <c r="D1223" t="s">
        <v>7768</v>
      </c>
      <c r="E1223" t="s">
        <v>559</v>
      </c>
      <c r="F1223" t="s">
        <v>5452</v>
      </c>
    </row>
    <row r="1224" spans="1:6" x14ac:dyDescent="0.15">
      <c r="A1224" s="1">
        <v>40940</v>
      </c>
      <c r="B1224" t="s">
        <v>3589</v>
      </c>
      <c r="C1224" s="2" t="str">
        <f>HYPERLINK("http://snap.windin.com/ns/bulletin.php?id=2103176&amp;type=1", "天能科技:首次公开发行股票招股说明书（申报稿）")</f>
        <v>天能科技:首次公开发行股票招股说明书（申报稿）</v>
      </c>
      <c r="D1224" t="s">
        <v>7769</v>
      </c>
      <c r="E1224" t="s">
        <v>5569</v>
      </c>
      <c r="F1224" t="s">
        <v>5452</v>
      </c>
    </row>
    <row r="1225" spans="1:6" x14ac:dyDescent="0.15">
      <c r="A1225" s="1">
        <v>40940</v>
      </c>
      <c r="B1225" t="s">
        <v>67</v>
      </c>
      <c r="C1225" s="2" t="str">
        <f>HYPERLINK("http://snap.windin.com/ns/bulletin.php?id=1100005&amp;type=1", "美盛股份:首次公开发行股票招股说明书(申报稿)")</f>
        <v>美盛股份:首次公开发行股票招股说明书(申报稿)</v>
      </c>
      <c r="D1225" t="s">
        <v>7770</v>
      </c>
      <c r="E1225" t="s">
        <v>5570</v>
      </c>
      <c r="F1225" t="s">
        <v>5466</v>
      </c>
    </row>
    <row r="1226" spans="1:6" x14ac:dyDescent="0.15">
      <c r="A1226" s="1">
        <v>40939</v>
      </c>
      <c r="B1226" t="s">
        <v>201</v>
      </c>
      <c r="C1226" s="2" t="str">
        <f>HYPERLINK("http://snap.windin.com/ns/bulletin.php?id=405030&amp;type=1", "华录百纳:首次公开发行股票并在创业板上市招股说明书")</f>
        <v>华录百纳:首次公开发行股票并在创业板上市招股说明书</v>
      </c>
      <c r="D1226" t="s">
        <v>1818</v>
      </c>
      <c r="E1226" t="s">
        <v>669</v>
      </c>
      <c r="F1226" t="s">
        <v>455</v>
      </c>
    </row>
    <row r="1227" spans="1:6" x14ac:dyDescent="0.15">
      <c r="A1227" s="1">
        <v>40938</v>
      </c>
      <c r="B1227" t="s">
        <v>167</v>
      </c>
      <c r="C1227" s="2" t="str">
        <f>HYPERLINK("http://snap.windin.com/ns/bulletin.php?id=1348990&amp;type=1", "首航节能:首发招股说明书（申报稿）")</f>
        <v>首航节能:首发招股说明书（申报稿）</v>
      </c>
      <c r="D1227" t="s">
        <v>7771</v>
      </c>
      <c r="E1227" t="s">
        <v>630</v>
      </c>
      <c r="F1227" t="s">
        <v>5513</v>
      </c>
    </row>
    <row r="1228" spans="1:6" x14ac:dyDescent="0.15">
      <c r="A1228" s="1">
        <v>40938</v>
      </c>
      <c r="B1228" t="s">
        <v>71</v>
      </c>
      <c r="C1228" s="2" t="str">
        <f>HYPERLINK("http://snap.windin.com/ns/bulletin.php?id=927869&amp;type=1", "百洋集团:首次公开发行股票招股说明书（申报稿）")</f>
        <v>百洋集团:首次公开发行股票招股说明书（申报稿）</v>
      </c>
      <c r="D1228" t="s">
        <v>7772</v>
      </c>
      <c r="E1228" t="s">
        <v>5571</v>
      </c>
      <c r="F1228" t="s">
        <v>5452</v>
      </c>
    </row>
    <row r="1229" spans="1:6" x14ac:dyDescent="0.15">
      <c r="A1229" s="1">
        <v>40921</v>
      </c>
      <c r="B1229" t="s">
        <v>202</v>
      </c>
      <c r="C1229" s="2" t="str">
        <f>HYPERLINK("http://snap.windin.com/ns/bulletin.php?id=221766&amp;type=1", "飞利信:首次公开发行股票并在创业板上市招股说明书")</f>
        <v>飞利信:首次公开发行股票并在创业板上市招股说明书</v>
      </c>
      <c r="D1229" t="s">
        <v>1847</v>
      </c>
      <c r="E1229" t="s">
        <v>670</v>
      </c>
      <c r="F1229" t="s">
        <v>455</v>
      </c>
    </row>
    <row r="1230" spans="1:6" x14ac:dyDescent="0.15">
      <c r="A1230" s="1">
        <v>40921</v>
      </c>
      <c r="B1230" t="s">
        <v>205</v>
      </c>
      <c r="C1230" s="2" t="str">
        <f>HYPERLINK("http://snap.windin.com/ns/bulletin.php?id=2075674&amp;type=1", "江南嘉捷:首次公开发行股票招股说明书")</f>
        <v>江南嘉捷:首次公开发行股票招股说明书</v>
      </c>
      <c r="D1230" t="s">
        <v>1846</v>
      </c>
      <c r="E1230" t="s">
        <v>677</v>
      </c>
      <c r="F1230" t="s">
        <v>399</v>
      </c>
    </row>
    <row r="1231" spans="1:6" x14ac:dyDescent="0.15">
      <c r="A1231" s="1">
        <v>40920</v>
      </c>
      <c r="B1231" t="s">
        <v>150</v>
      </c>
      <c r="C1231" s="2" t="str">
        <f>HYPERLINK("http://snap.windin.com/ns/bulletin.php?id=166431&amp;type=1", "龙泉股份:首发招股说明书（申报稿）")</f>
        <v>龙泉股份:首发招股说明书（申报稿）</v>
      </c>
      <c r="D1231" t="s">
        <v>7773</v>
      </c>
      <c r="E1231" t="s">
        <v>599</v>
      </c>
      <c r="F1231" t="s">
        <v>5513</v>
      </c>
    </row>
    <row r="1232" spans="1:6" x14ac:dyDescent="0.15">
      <c r="A1232" s="1">
        <v>40920</v>
      </c>
      <c r="B1232" t="s">
        <v>138</v>
      </c>
      <c r="C1232" s="2" t="str">
        <f>HYPERLINK("http://snap.windin.com/ns/bulletin.php?id=1548911&amp;type=1", "宏昌电子:首次公开发行股票招股说明书（申报稿）")</f>
        <v>宏昌电子:首次公开发行股票招股说明书（申报稿）</v>
      </c>
      <c r="D1232" t="s">
        <v>7774</v>
      </c>
      <c r="E1232" t="s">
        <v>585</v>
      </c>
      <c r="F1232" t="s">
        <v>5452</v>
      </c>
    </row>
    <row r="1233" spans="1:6" x14ac:dyDescent="0.15">
      <c r="A1233" s="1">
        <v>40920</v>
      </c>
      <c r="B1233" t="s">
        <v>129</v>
      </c>
      <c r="C1233" s="2" t="str">
        <f>HYPERLINK("http://snap.windin.com/ns/bulletin.php?id=936694&amp;type=1", "华贸物流:首发招股说明书（申报稿）")</f>
        <v>华贸物流:首发招股说明书（申报稿）</v>
      </c>
      <c r="D1233" t="s">
        <v>7775</v>
      </c>
      <c r="E1233" t="s">
        <v>574</v>
      </c>
      <c r="F1233" t="s">
        <v>5513</v>
      </c>
    </row>
    <row r="1234" spans="1:6" x14ac:dyDescent="0.15">
      <c r="A1234" s="1">
        <v>40918</v>
      </c>
      <c r="B1234" t="s">
        <v>203</v>
      </c>
      <c r="C1234" s="2" t="str">
        <f>HYPERLINK("http://snap.windin.com/ns/bulletin.php?id=1902215&amp;type=1", "扬子新材:首次公开发行股票招股说明书")</f>
        <v>扬子新材:首次公开发行股票招股说明书</v>
      </c>
      <c r="D1234" t="s">
        <v>1853</v>
      </c>
      <c r="E1234" t="s">
        <v>675</v>
      </c>
      <c r="F1234" t="s">
        <v>399</v>
      </c>
    </row>
    <row r="1235" spans="1:6" x14ac:dyDescent="0.15">
      <c r="A1235" s="1">
        <v>40917</v>
      </c>
      <c r="B1235" t="s">
        <v>176</v>
      </c>
      <c r="C1235" s="2" t="str">
        <f>HYPERLINK("http://snap.windin.com/ns/bulletin.php?id=107692&amp;type=1", "富春通信:创业板首发招股说明书（申报稿）")</f>
        <v>富春通信:创业板首发招股说明书（申报稿）</v>
      </c>
      <c r="D1235" t="s">
        <v>7776</v>
      </c>
      <c r="E1235" t="s">
        <v>639</v>
      </c>
      <c r="F1235" t="s">
        <v>5450</v>
      </c>
    </row>
    <row r="1236" spans="1:6" x14ac:dyDescent="0.15">
      <c r="A1236" s="1">
        <v>40917</v>
      </c>
      <c r="B1236" t="s">
        <v>149</v>
      </c>
      <c r="C1236" s="2" t="str">
        <f>HYPERLINK("http://snap.windin.com/ns/bulletin.php?id=997133&amp;type=1", "人民网:首发招股说明书（申报稿）")</f>
        <v>人民网:首发招股说明书（申报稿）</v>
      </c>
      <c r="D1236" t="s">
        <v>7777</v>
      </c>
      <c r="E1236" t="s">
        <v>597</v>
      </c>
      <c r="F1236" t="s">
        <v>5513</v>
      </c>
    </row>
    <row r="1237" spans="1:6" x14ac:dyDescent="0.15">
      <c r="A1237" s="1">
        <v>40914</v>
      </c>
      <c r="B1237" t="s">
        <v>81</v>
      </c>
      <c r="C1237" s="2" t="str">
        <f>HYPERLINK("http://snap.windin.com/ns/bulletin.php?id=202572&amp;type=1", "一拖股份:首次公开发行A股股票招股说明书（申报稿）")</f>
        <v>一拖股份:首次公开发行A股股票招股说明书（申报稿）</v>
      </c>
      <c r="D1237" t="s">
        <v>7778</v>
      </c>
      <c r="E1237" t="s">
        <v>513</v>
      </c>
      <c r="F1237" t="s">
        <v>5493</v>
      </c>
    </row>
    <row r="1238" spans="1:6" x14ac:dyDescent="0.15">
      <c r="A1238" s="1">
        <v>40914</v>
      </c>
      <c r="B1238" t="s">
        <v>140</v>
      </c>
      <c r="C1238" s="2" t="str">
        <f>HYPERLINK("http://snap.windin.com/ns/bulletin.php?id=89348&amp;type=1", "掌趣科技:创业板首发招股说明书（申报稿）")</f>
        <v>掌趣科技:创业板首发招股说明书（申报稿）</v>
      </c>
      <c r="D1238" t="s">
        <v>7779</v>
      </c>
      <c r="E1238" t="s">
        <v>588</v>
      </c>
      <c r="F1238" t="s">
        <v>5450</v>
      </c>
    </row>
    <row r="1239" spans="1:6" x14ac:dyDescent="0.15">
      <c r="A1239" s="1">
        <v>40914</v>
      </c>
      <c r="B1239" t="s">
        <v>204</v>
      </c>
      <c r="C1239" s="2" t="str">
        <f>HYPERLINK("http://snap.windin.com/ns/bulletin.php?id=1177237&amp;type=1", "海思科:首次公开发行股票招股说明书")</f>
        <v>海思科:首次公开发行股票招股说明书</v>
      </c>
      <c r="D1239" t="s">
        <v>1861</v>
      </c>
      <c r="E1239" t="s">
        <v>676</v>
      </c>
      <c r="F1239" t="s">
        <v>399</v>
      </c>
    </row>
    <row r="1240" spans="1:6" x14ac:dyDescent="0.15">
      <c r="A1240" s="1">
        <v>40914</v>
      </c>
      <c r="B1240" t="s">
        <v>143</v>
      </c>
      <c r="C1240" s="2" t="str">
        <f>HYPERLINK("http://snap.windin.com/ns/bulletin.php?id=1422090&amp;type=1", "邦讯技术:创业板首发招股说明书（申报稿）")</f>
        <v>邦讯技术:创业板首发招股说明书（申报稿）</v>
      </c>
      <c r="D1240" t="s">
        <v>7780</v>
      </c>
      <c r="E1240" t="s">
        <v>591</v>
      </c>
      <c r="F1240" t="s">
        <v>5450</v>
      </c>
    </row>
    <row r="1241" spans="1:6" x14ac:dyDescent="0.15">
      <c r="A1241" s="1">
        <v>40914</v>
      </c>
      <c r="B1241" t="s">
        <v>110</v>
      </c>
      <c r="C1241" s="2" t="str">
        <f>HYPERLINK("http://snap.windin.com/ns/bulletin.php?id=679251&amp;type=1", "海伦钢琴:创业板首发招股说明书（申报稿）")</f>
        <v>海伦钢琴:创业板首发招股说明书（申报稿）</v>
      </c>
      <c r="D1241" t="s">
        <v>7781</v>
      </c>
      <c r="E1241" t="s">
        <v>553</v>
      </c>
      <c r="F1241" t="s">
        <v>5450</v>
      </c>
    </row>
    <row r="1242" spans="1:6" x14ac:dyDescent="0.15">
      <c r="A1242" s="1">
        <v>40914</v>
      </c>
      <c r="B1242" t="s">
        <v>139</v>
      </c>
      <c r="C1242" s="2" t="str">
        <f>HYPERLINK("http://snap.windin.com/ns/bulletin.php?id=539274&amp;type=1", "珈伟股份:创业板首发招股说明书（申报稿）")</f>
        <v>珈伟股份:创业板首发招股说明书（申报稿）</v>
      </c>
      <c r="D1242" t="s">
        <v>7782</v>
      </c>
      <c r="E1242" t="s">
        <v>586</v>
      </c>
      <c r="F1242" t="s">
        <v>5450</v>
      </c>
    </row>
    <row r="1243" spans="1:6" x14ac:dyDescent="0.15">
      <c r="A1243" s="1">
        <v>40914</v>
      </c>
      <c r="B1243" t="s">
        <v>3495</v>
      </c>
      <c r="C1243" s="2" t="str">
        <f>HYPERLINK("http://snap.windin.com/ns/bulletin.php?id=1921963&amp;type=1", "铜都阀门:创业板首发招股说明书（申报稿）")</f>
        <v>铜都阀门:创业板首发招股说明书（申报稿）</v>
      </c>
      <c r="D1243" t="s">
        <v>7783</v>
      </c>
      <c r="E1243" t="s">
        <v>5491</v>
      </c>
      <c r="F1243" t="s">
        <v>5450</v>
      </c>
    </row>
    <row r="1244" spans="1:6" x14ac:dyDescent="0.15">
      <c r="A1244" s="1">
        <v>40914</v>
      </c>
      <c r="B1244" t="s">
        <v>3590</v>
      </c>
      <c r="C1244" s="2" t="str">
        <f>HYPERLINK("http://snap.windin.com/ns/bulletin.php?id=1135558&amp;type=1", "精图信息:创业板首发招股说明书（申报稿）")</f>
        <v>精图信息:创业板首发招股说明书（申报稿）</v>
      </c>
      <c r="D1244" t="s">
        <v>7784</v>
      </c>
      <c r="E1244" t="s">
        <v>5572</v>
      </c>
      <c r="F1244" t="s">
        <v>5450</v>
      </c>
    </row>
    <row r="1245" spans="1:6" x14ac:dyDescent="0.15">
      <c r="A1245" s="1">
        <v>40913</v>
      </c>
      <c r="B1245" t="s">
        <v>109</v>
      </c>
      <c r="C1245" s="2" t="str">
        <f>HYPERLINK("http://snap.windin.com/ns/bulletin.php?id=1377360&amp;type=1", "华虹计通:创业板首发招股说明书（申报稿）")</f>
        <v>华虹计通:创业板首发招股说明书（申报稿）</v>
      </c>
      <c r="D1245" t="s">
        <v>7785</v>
      </c>
      <c r="E1245" t="s">
        <v>552</v>
      </c>
      <c r="F1245" t="s">
        <v>5450</v>
      </c>
    </row>
    <row r="1246" spans="1:6" x14ac:dyDescent="0.15">
      <c r="A1246" s="1">
        <v>40913</v>
      </c>
      <c r="B1246" t="s">
        <v>131</v>
      </c>
      <c r="C1246" s="2" t="str">
        <f>HYPERLINK("http://snap.windin.com/ns/bulletin.php?id=441504&amp;type=1", "顺威股份:首发招股说明书（申报稿）")</f>
        <v>顺威股份:首发招股说明书（申报稿）</v>
      </c>
      <c r="D1246" t="s">
        <v>7786</v>
      </c>
      <c r="E1246" t="s">
        <v>577</v>
      </c>
      <c r="F1246" t="s">
        <v>5513</v>
      </c>
    </row>
    <row r="1247" spans="1:6" x14ac:dyDescent="0.15">
      <c r="A1247" s="1">
        <v>40913</v>
      </c>
      <c r="B1247" t="s">
        <v>3591</v>
      </c>
      <c r="C1247" s="2" t="str">
        <f>HYPERLINK("http://snap.windin.com/ns/bulletin.php?id=1447029&amp;type=1", "高威科:首发招股说明书（申报稿）")</f>
        <v>高威科:首发招股说明书（申报稿）</v>
      </c>
      <c r="D1247" t="s">
        <v>7787</v>
      </c>
      <c r="E1247" t="s">
        <v>5573</v>
      </c>
      <c r="F1247" t="s">
        <v>5513</v>
      </c>
    </row>
    <row r="1248" spans="1:6" x14ac:dyDescent="0.15">
      <c r="A1248" s="1">
        <v>40913</v>
      </c>
      <c r="B1248" t="s">
        <v>3592</v>
      </c>
      <c r="C1248" s="2" t="str">
        <f>HYPERLINK("http://snap.windin.com/ns/bulletin.php?id=1505992&amp;type=1", "和鹰科技:创业板首发招股说明书（申报稿）")</f>
        <v>和鹰科技:创业板首发招股说明书（申报稿）</v>
      </c>
      <c r="D1248" t="s">
        <v>7788</v>
      </c>
      <c r="E1248" t="s">
        <v>5574</v>
      </c>
      <c r="F1248" t="s">
        <v>5450</v>
      </c>
    </row>
    <row r="1249" spans="1:6" x14ac:dyDescent="0.15">
      <c r="A1249" s="1">
        <v>40913</v>
      </c>
      <c r="B1249" t="s">
        <v>162</v>
      </c>
      <c r="C1249" s="2" t="str">
        <f>HYPERLINK("http://snap.windin.com/ns/bulletin.php?id=1530174&amp;type=1", "中际装备:股份有限公司创业板首发招股说明书（申报稿）")</f>
        <v>中际装备:股份有限公司创业板首发招股说明书（申报稿）</v>
      </c>
      <c r="D1249" t="s">
        <v>7789</v>
      </c>
      <c r="E1249" t="s">
        <v>620</v>
      </c>
      <c r="F1249" t="s">
        <v>5575</v>
      </c>
    </row>
    <row r="1250" spans="1:6" x14ac:dyDescent="0.15">
      <c r="A1250" s="1">
        <v>40913</v>
      </c>
      <c r="B1250" t="s">
        <v>170</v>
      </c>
      <c r="C1250" s="2" t="str">
        <f>HYPERLINK("http://snap.windin.com/ns/bulletin.php?id=726161&amp;type=1", "同有科技:创业板首发招股说明书（申报稿）")</f>
        <v>同有科技:创业板首发招股说明书（申报稿）</v>
      </c>
      <c r="D1250" t="s">
        <v>7790</v>
      </c>
      <c r="E1250" t="s">
        <v>632</v>
      </c>
      <c r="F1250" t="s">
        <v>5450</v>
      </c>
    </row>
    <row r="1251" spans="1:6" x14ac:dyDescent="0.15">
      <c r="A1251" s="1">
        <v>40913</v>
      </c>
      <c r="B1251" t="s">
        <v>3593</v>
      </c>
      <c r="C1251" s="2" t="str">
        <f>HYPERLINK("http://snap.windin.com/ns/bulletin.php?id=897130&amp;type=1", "白云电器:首次公开发行股票招股说明书(申报稿)")</f>
        <v>白云电器:首次公开发行股票招股说明书(申报稿)</v>
      </c>
      <c r="D1251" t="s">
        <v>7791</v>
      </c>
      <c r="E1251" t="s">
        <v>5576</v>
      </c>
      <c r="F1251" t="s">
        <v>5466</v>
      </c>
    </row>
    <row r="1252" spans="1:6" x14ac:dyDescent="0.15">
      <c r="A1252" s="1">
        <v>40913</v>
      </c>
      <c r="B1252" t="s">
        <v>132</v>
      </c>
      <c r="C1252" s="2" t="str">
        <f>HYPERLINK("http://snap.windin.com/ns/bulletin.php?id=952877&amp;type=1", "浙江美大:首次公开发行股票招股说明书（申报稿）")</f>
        <v>浙江美大:首次公开发行股票招股说明书（申报稿）</v>
      </c>
      <c r="D1252" t="s">
        <v>7792</v>
      </c>
      <c r="E1252" t="s">
        <v>578</v>
      </c>
      <c r="F1252" t="s">
        <v>5452</v>
      </c>
    </row>
    <row r="1253" spans="1:6" x14ac:dyDescent="0.15">
      <c r="A1253" s="1">
        <v>40908</v>
      </c>
      <c r="B1253" t="s">
        <v>144</v>
      </c>
      <c r="C1253" s="2" t="str">
        <f>HYPERLINK("http://snap.windin.com/ns/bulletin.php?id=101921&amp;type=1", "明星电缆:首发招股说明书（申报稿）")</f>
        <v>明星电缆:首发招股说明书（申报稿）</v>
      </c>
      <c r="D1253" t="s">
        <v>7793</v>
      </c>
      <c r="E1253" t="s">
        <v>592</v>
      </c>
      <c r="F1253" t="s">
        <v>5513</v>
      </c>
    </row>
    <row r="1254" spans="1:6" x14ac:dyDescent="0.15">
      <c r="A1254" s="1">
        <v>40908</v>
      </c>
      <c r="B1254" t="s">
        <v>152</v>
      </c>
      <c r="C1254" s="2" t="str">
        <f>HYPERLINK("http://snap.windin.com/ns/bulletin.php?id=590151&amp;type=1", "任子行:创业板首发招股说明书（申报稿）")</f>
        <v>任子行:创业板首发招股说明书（申报稿）</v>
      </c>
      <c r="D1254" t="s">
        <v>7794</v>
      </c>
      <c r="E1254" t="s">
        <v>602</v>
      </c>
      <c r="F1254" t="s">
        <v>5450</v>
      </c>
    </row>
    <row r="1255" spans="1:6" x14ac:dyDescent="0.15">
      <c r="A1255" s="1">
        <v>40908</v>
      </c>
      <c r="B1255" t="s">
        <v>3594</v>
      </c>
      <c r="C1255" s="2" t="str">
        <f>HYPERLINK("http://snap.windin.com/ns/bulletin.php?id=431062&amp;type=1", "环球印务:首发招股说明书（申报稿）")</f>
        <v>环球印务:首发招股说明书（申报稿）</v>
      </c>
      <c r="D1255" t="s">
        <v>7795</v>
      </c>
      <c r="E1255" t="s">
        <v>5119</v>
      </c>
      <c r="F1255" t="s">
        <v>5513</v>
      </c>
    </row>
    <row r="1256" spans="1:6" x14ac:dyDescent="0.15">
      <c r="A1256" s="1">
        <v>40908</v>
      </c>
      <c r="B1256" t="s">
        <v>112</v>
      </c>
      <c r="C1256" s="2" t="str">
        <f>HYPERLINK("http://snap.windin.com/ns/bulletin.php?id=1434747&amp;type=1", "中颖电子:创业板首发招股说明书（申报稿）")</f>
        <v>中颖电子:创业板首发招股说明书（申报稿）</v>
      </c>
      <c r="D1256" t="s">
        <v>7796</v>
      </c>
      <c r="E1256" t="s">
        <v>555</v>
      </c>
      <c r="F1256" t="s">
        <v>5450</v>
      </c>
    </row>
    <row r="1257" spans="1:6" x14ac:dyDescent="0.15">
      <c r="A1257" s="1">
        <v>40908</v>
      </c>
      <c r="B1257" t="s">
        <v>130</v>
      </c>
      <c r="C1257" s="2" t="str">
        <f>HYPERLINK("http://snap.windin.com/ns/bulletin.php?id=627285&amp;type=1", "东诚生化:首次公开发行股票招股说明书（申报稿）")</f>
        <v>东诚生化:首次公开发行股票招股说明书（申报稿）</v>
      </c>
      <c r="D1257" t="s">
        <v>7797</v>
      </c>
      <c r="E1257" t="s">
        <v>576</v>
      </c>
      <c r="F1257" t="s">
        <v>5452</v>
      </c>
    </row>
    <row r="1258" spans="1:6" x14ac:dyDescent="0.15">
      <c r="A1258" s="1">
        <v>40908</v>
      </c>
      <c r="B1258" t="s">
        <v>119</v>
      </c>
      <c r="C1258" s="2" t="str">
        <f>HYPERLINK("http://snap.windin.com/ns/bulletin.php?id=1060180&amp;type=1", "中国汽研:首次公开发行股票招股说明书（申报稿）")</f>
        <v>中国汽研:首次公开发行股票招股说明书（申报稿）</v>
      </c>
      <c r="D1258" t="s">
        <v>7798</v>
      </c>
      <c r="E1258" t="s">
        <v>562</v>
      </c>
      <c r="F1258" t="s">
        <v>5452</v>
      </c>
    </row>
    <row r="1259" spans="1:6" x14ac:dyDescent="0.15">
      <c r="A1259" s="1">
        <v>40907</v>
      </c>
      <c r="B1259" t="s">
        <v>157</v>
      </c>
      <c r="C1259" s="2" t="str">
        <f>HYPERLINK("http://snap.windin.com/ns/bulletin.php?id=1677245&amp;type=1", "华声股份:首发招股说明书（申报稿）")</f>
        <v>华声股份:首发招股说明书（申报稿）</v>
      </c>
      <c r="D1259" t="s">
        <v>7799</v>
      </c>
      <c r="E1259" t="s">
        <v>611</v>
      </c>
      <c r="F1259" t="s">
        <v>5513</v>
      </c>
    </row>
    <row r="1260" spans="1:6" x14ac:dyDescent="0.15">
      <c r="A1260" s="1">
        <v>40907</v>
      </c>
      <c r="B1260" t="s">
        <v>146</v>
      </c>
      <c r="C1260" s="2" t="str">
        <f>HYPERLINK("http://snap.windin.com/ns/bulletin.php?id=79930&amp;type=1", "翠微股份:首次公开发行股票招股说明书（申报稿）")</f>
        <v>翠微股份:首次公开发行股票招股说明书（申报稿）</v>
      </c>
      <c r="D1260" t="s">
        <v>7800</v>
      </c>
      <c r="E1260" t="s">
        <v>594</v>
      </c>
      <c r="F1260" t="s">
        <v>5452</v>
      </c>
    </row>
    <row r="1261" spans="1:6" x14ac:dyDescent="0.15">
      <c r="A1261" s="1">
        <v>40907</v>
      </c>
      <c r="B1261" t="s">
        <v>207</v>
      </c>
      <c r="C1261" s="2" t="str">
        <f>HYPERLINK("http://snap.windin.com/ns/bulletin.php?id=1891649&amp;type=1", "国瓷材料:首次公开发行股票并在创业板上市招股说明书")</f>
        <v>国瓷材料:首次公开发行股票并在创业板上市招股说明书</v>
      </c>
      <c r="D1261" t="s">
        <v>1867</v>
      </c>
      <c r="E1261" t="s">
        <v>679</v>
      </c>
      <c r="F1261" t="s">
        <v>455</v>
      </c>
    </row>
    <row r="1262" spans="1:6" x14ac:dyDescent="0.15">
      <c r="A1262" s="1">
        <v>40907</v>
      </c>
      <c r="B1262" t="s">
        <v>206</v>
      </c>
      <c r="C1262" s="2" t="str">
        <f>HYPERLINK("http://snap.windin.com/ns/bulletin.php?id=1557274&amp;type=1", "安科瑞:首次公开发行股票并在创业板上市招股说明书")</f>
        <v>安科瑞:首次公开发行股票并在创业板上市招股说明书</v>
      </c>
      <c r="D1262" t="s">
        <v>1866</v>
      </c>
      <c r="E1262" t="s">
        <v>678</v>
      </c>
      <c r="F1262" t="s">
        <v>455</v>
      </c>
    </row>
    <row r="1263" spans="1:6" x14ac:dyDescent="0.15">
      <c r="A1263" s="1">
        <v>40906</v>
      </c>
      <c r="B1263" t="s">
        <v>165</v>
      </c>
      <c r="C1263" s="2" t="str">
        <f>HYPERLINK("http://snap.windin.com/ns/bulletin.php?id=116177&amp;type=1", "裕兴股份:创业板首发招股说明书（申报稿）")</f>
        <v>裕兴股份:创业板首发招股说明书（申报稿）</v>
      </c>
      <c r="D1263" t="s">
        <v>7801</v>
      </c>
      <c r="E1263" t="s">
        <v>623</v>
      </c>
      <c r="F1263" t="s">
        <v>5450</v>
      </c>
    </row>
    <row r="1264" spans="1:6" x14ac:dyDescent="0.15">
      <c r="A1264" s="1">
        <v>40906</v>
      </c>
      <c r="B1264" t="s">
        <v>127</v>
      </c>
      <c r="C1264" s="2" t="str">
        <f>HYPERLINK("http://snap.windin.com/ns/bulletin.php?id=243619&amp;type=1", "海达股份:创业板首发招股说明书（申报稿）")</f>
        <v>海达股份:创业板首发招股说明书（申报稿）</v>
      </c>
      <c r="D1264" t="s">
        <v>7802</v>
      </c>
      <c r="E1264" t="s">
        <v>570</v>
      </c>
      <c r="F1264" t="s">
        <v>5450</v>
      </c>
    </row>
    <row r="1265" spans="1:6" x14ac:dyDescent="0.15">
      <c r="A1265" s="1">
        <v>40906</v>
      </c>
      <c r="B1265" t="s">
        <v>142</v>
      </c>
      <c r="C1265" s="2" t="str">
        <f>HYPERLINK("http://snap.windin.com/ns/bulletin.php?id=1165076&amp;type=1", "戴维医疗:创业板首发招股说明书（申报稿）")</f>
        <v>戴维医疗:创业板首发招股说明书（申报稿）</v>
      </c>
      <c r="D1265" t="s">
        <v>7803</v>
      </c>
      <c r="E1265" t="s">
        <v>590</v>
      </c>
      <c r="F1265" t="s">
        <v>5450</v>
      </c>
    </row>
    <row r="1266" spans="1:6" x14ac:dyDescent="0.15">
      <c r="A1266" s="1">
        <v>40906</v>
      </c>
      <c r="B1266" t="s">
        <v>153</v>
      </c>
      <c r="C1266" s="2" t="str">
        <f>HYPERLINK("http://snap.windin.com/ns/bulletin.php?id=966419&amp;type=1", "天山生物:创业板首发招股说明书（申报稿）")</f>
        <v>天山生物:创业板首发招股说明书（申报稿）</v>
      </c>
      <c r="D1266" t="s">
        <v>7804</v>
      </c>
      <c r="E1266" t="s">
        <v>603</v>
      </c>
      <c r="F1266" t="s">
        <v>5450</v>
      </c>
    </row>
    <row r="1267" spans="1:6" x14ac:dyDescent="0.15">
      <c r="A1267" s="1">
        <v>40904</v>
      </c>
      <c r="B1267" t="s">
        <v>208</v>
      </c>
      <c r="C1267" s="2" t="str">
        <f>HYPERLINK("http://snap.windin.com/ns/bulletin.php?id=110807&amp;type=1", "温州宏丰:首次公开发行股票并在创业板上市招股说明书")</f>
        <v>温州宏丰:首次公开发行股票并在创业板上市招股说明书</v>
      </c>
      <c r="D1267" t="s">
        <v>1883</v>
      </c>
      <c r="E1267" t="s">
        <v>680</v>
      </c>
      <c r="F1267" t="s">
        <v>455</v>
      </c>
    </row>
    <row r="1268" spans="1:6" x14ac:dyDescent="0.15">
      <c r="A1268" s="1">
        <v>40903</v>
      </c>
      <c r="B1268" t="s">
        <v>209</v>
      </c>
      <c r="C1268" s="2" t="str">
        <f>HYPERLINK("http://snap.windin.com/ns/bulletin.php?id=204280&amp;type=1", "苏交科:首次公开发行股票并在创业板上市招股说明书")</f>
        <v>苏交科:首次公开发行股票并在创业板上市招股说明书</v>
      </c>
      <c r="D1268" t="s">
        <v>1888</v>
      </c>
      <c r="E1268" t="s">
        <v>681</v>
      </c>
      <c r="F1268" t="s">
        <v>455</v>
      </c>
    </row>
    <row r="1269" spans="1:6" x14ac:dyDescent="0.15">
      <c r="A1269" s="1">
        <v>40900</v>
      </c>
      <c r="B1269" t="s">
        <v>210</v>
      </c>
      <c r="C1269" s="2" t="str">
        <f>HYPERLINK("http://snap.windin.com/ns/bulletin.php?id=1716166&amp;type=1", "利君股份:首次公开发行股票招股说明书")</f>
        <v>利君股份:首次公开发行股票招股说明书</v>
      </c>
      <c r="D1269" t="s">
        <v>1891</v>
      </c>
      <c r="E1269" t="s">
        <v>682</v>
      </c>
      <c r="F1269" t="s">
        <v>399</v>
      </c>
    </row>
    <row r="1270" spans="1:6" x14ac:dyDescent="0.15">
      <c r="A1270" s="1">
        <v>40900</v>
      </c>
      <c r="B1270" t="s">
        <v>211</v>
      </c>
      <c r="C1270" s="2" t="str">
        <f>HYPERLINK("http://snap.windin.com/ns/bulletin.php?id=1387274&amp;type=1", "加加食品:首次公开发行股票招股说明书")</f>
        <v>加加食品:首次公开发行股票招股说明书</v>
      </c>
      <c r="D1270" t="s">
        <v>1893</v>
      </c>
      <c r="E1270" t="s">
        <v>683</v>
      </c>
      <c r="F1270" t="s">
        <v>399</v>
      </c>
    </row>
    <row r="1271" spans="1:6" x14ac:dyDescent="0.15">
      <c r="A1271" s="1">
        <v>40900</v>
      </c>
      <c r="B1271" t="s">
        <v>180</v>
      </c>
      <c r="C1271" s="2" t="str">
        <f>HYPERLINK("http://snap.windin.com/ns/bulletin.php?id=2129559&amp;type=1", "克明面业:首次公开发行股票招股说明书（申报稿）")</f>
        <v>克明面业:首次公开发行股票招股说明书（申报稿）</v>
      </c>
      <c r="D1271" t="s">
        <v>7805</v>
      </c>
      <c r="E1271" t="s">
        <v>643</v>
      </c>
      <c r="F1271" t="s">
        <v>5452</v>
      </c>
    </row>
    <row r="1272" spans="1:6" x14ac:dyDescent="0.15">
      <c r="A1272" s="1">
        <v>40900</v>
      </c>
      <c r="B1272" t="s">
        <v>187</v>
      </c>
      <c r="C1272" s="2" t="str">
        <f>HYPERLINK("http://snap.windin.com/ns/bulletin.php?id=2065685&amp;type=1", "中泰桥梁:首次公开发行股票招股说明书（申报稿）")</f>
        <v>中泰桥梁:首次公开发行股票招股说明书（申报稿）</v>
      </c>
      <c r="D1272" t="s">
        <v>7806</v>
      </c>
      <c r="E1272" t="s">
        <v>652</v>
      </c>
      <c r="F1272" t="s">
        <v>5452</v>
      </c>
    </row>
    <row r="1273" spans="1:6" x14ac:dyDescent="0.15">
      <c r="A1273" s="1">
        <v>40900</v>
      </c>
      <c r="B1273" t="s">
        <v>145</v>
      </c>
      <c r="C1273" s="2" t="str">
        <f>HYPERLINK("http://snap.windin.com/ns/bulletin.php?id=1844067&amp;type=1", "兴业科技:首次公开发行股票招股说明书（申报稿）")</f>
        <v>兴业科技:首次公开发行股票招股说明书（申报稿）</v>
      </c>
      <c r="D1273" t="s">
        <v>7807</v>
      </c>
      <c r="E1273" t="s">
        <v>593</v>
      </c>
      <c r="F1273" t="s">
        <v>5452</v>
      </c>
    </row>
    <row r="1274" spans="1:6" x14ac:dyDescent="0.15">
      <c r="A1274" s="1">
        <v>40900</v>
      </c>
      <c r="B1274" t="s">
        <v>212</v>
      </c>
      <c r="C1274" s="2" t="str">
        <f>HYPERLINK("http://snap.windin.com/ns/bulletin.php?id=1131998&amp;type=1", "博彦科技:首次公开发行股票招股说明书")</f>
        <v>博彦科技:首次公开发行股票招股说明书</v>
      </c>
      <c r="D1274" t="s">
        <v>1895</v>
      </c>
      <c r="E1274" t="s">
        <v>684</v>
      </c>
      <c r="F1274" t="s">
        <v>399</v>
      </c>
    </row>
    <row r="1275" spans="1:6" x14ac:dyDescent="0.15">
      <c r="A1275" s="1">
        <v>40899</v>
      </c>
      <c r="B1275" t="s">
        <v>3595</v>
      </c>
      <c r="C1275" s="2" t="str">
        <f>HYPERLINK("http://snap.windin.com/ns/bulletin.php?id=1674999&amp;type=1", "吉锐触摸:创业板首发招股说明书（申报稿）")</f>
        <v>吉锐触摸:创业板首发招股说明书（申报稿）</v>
      </c>
      <c r="D1275" t="s">
        <v>7808</v>
      </c>
      <c r="E1275" t="s">
        <v>5577</v>
      </c>
      <c r="F1275" t="s">
        <v>5450</v>
      </c>
    </row>
    <row r="1276" spans="1:6" x14ac:dyDescent="0.15">
      <c r="A1276" s="1">
        <v>40899</v>
      </c>
      <c r="B1276" t="s">
        <v>158</v>
      </c>
      <c r="C1276" s="2" t="str">
        <f>HYPERLINK("http://snap.windin.com/ns/bulletin.php?id=122836&amp;type=1", "康达新材:首发招股说明书（申报稿）")</f>
        <v>康达新材:首发招股说明书（申报稿）</v>
      </c>
      <c r="D1276" t="s">
        <v>7809</v>
      </c>
      <c r="E1276" t="s">
        <v>613</v>
      </c>
      <c r="F1276" t="s">
        <v>5513</v>
      </c>
    </row>
    <row r="1277" spans="1:6" x14ac:dyDescent="0.15">
      <c r="A1277" s="1">
        <v>40899</v>
      </c>
      <c r="B1277" t="s">
        <v>177</v>
      </c>
      <c r="C1277" s="2" t="str">
        <f>HYPERLINK("http://snap.windin.com/ns/bulletin.php?id=1174445&amp;type=1", "茂硕电源:首次公开发行股票招股说明书（申报稿）")</f>
        <v>茂硕电源:首次公开发行股票招股说明书（申报稿）</v>
      </c>
      <c r="D1277" t="s">
        <v>7810</v>
      </c>
      <c r="E1277" t="s">
        <v>640</v>
      </c>
      <c r="F1277" t="s">
        <v>5452</v>
      </c>
    </row>
    <row r="1278" spans="1:6" x14ac:dyDescent="0.15">
      <c r="A1278" s="1">
        <v>40899</v>
      </c>
      <c r="B1278" t="s">
        <v>175</v>
      </c>
      <c r="C1278" s="2" t="str">
        <f>HYPERLINK("http://snap.windin.com/ns/bulletin.php?id=1369694&amp;type=1", "汉鼎股份:创业板首发招股说明书（申报稿）")</f>
        <v>汉鼎股份:创业板首发招股说明书（申报稿）</v>
      </c>
      <c r="D1278" t="s">
        <v>7811</v>
      </c>
      <c r="E1278" t="s">
        <v>637</v>
      </c>
      <c r="F1278" t="s">
        <v>5450</v>
      </c>
    </row>
    <row r="1279" spans="1:6" x14ac:dyDescent="0.15">
      <c r="A1279" s="1">
        <v>40899</v>
      </c>
      <c r="B1279" t="s">
        <v>3596</v>
      </c>
      <c r="C1279" s="2" t="str">
        <f>HYPERLINK("http://snap.windin.com/ns/bulletin.php?id=934497&amp;type=1", "华致酒行:首发招股说明书（申报稿）")</f>
        <v>华致酒行:首发招股说明书（申报稿）</v>
      </c>
      <c r="D1279" t="s">
        <v>7812</v>
      </c>
      <c r="E1279" t="s">
        <v>5578</v>
      </c>
      <c r="F1279" t="s">
        <v>5513</v>
      </c>
    </row>
    <row r="1280" spans="1:6" x14ac:dyDescent="0.15">
      <c r="A1280" s="1">
        <v>40899</v>
      </c>
      <c r="B1280" t="s">
        <v>186</v>
      </c>
      <c r="C1280" s="2" t="str">
        <f>HYPERLINK("http://snap.windin.com/ns/bulletin.php?id=830076&amp;type=1", "雪迪龙:首次公开发行股票招股说明书（申报稿）")</f>
        <v>雪迪龙:首次公开发行股票招股说明书（申报稿）</v>
      </c>
      <c r="D1280" t="s">
        <v>7813</v>
      </c>
      <c r="E1280" t="s">
        <v>651</v>
      </c>
      <c r="F1280" t="s">
        <v>5452</v>
      </c>
    </row>
    <row r="1281" spans="1:6" x14ac:dyDescent="0.15">
      <c r="A1281" s="1">
        <v>40896</v>
      </c>
      <c r="B1281" t="s">
        <v>194</v>
      </c>
      <c r="C1281" s="2" t="str">
        <f>HYPERLINK("http://snap.windin.com/ns/bulletin.php?id=1677214&amp;type=1", "环旭电子:首次公开发行股票招股说明书（申报稿）")</f>
        <v>环旭电子:首次公开发行股票招股说明书（申报稿）</v>
      </c>
      <c r="D1281" t="s">
        <v>7814</v>
      </c>
      <c r="E1281" t="s">
        <v>662</v>
      </c>
      <c r="F1281" t="s">
        <v>5452</v>
      </c>
    </row>
    <row r="1282" spans="1:6" x14ac:dyDescent="0.15">
      <c r="A1282" s="1">
        <v>40896</v>
      </c>
      <c r="B1282" t="s">
        <v>3597</v>
      </c>
      <c r="C1282" s="2" t="str">
        <f>HYPERLINK("http://snap.windin.com/ns/bulletin.php?id=1998136&amp;type=1", "同力重工:创业板首发招股说明书（申报稿）")</f>
        <v>同力重工:创业板首发招股说明书（申报稿）</v>
      </c>
      <c r="D1282" t="s">
        <v>7815</v>
      </c>
      <c r="E1282" t="s">
        <v>5579</v>
      </c>
      <c r="F1282" t="s">
        <v>5450</v>
      </c>
    </row>
    <row r="1283" spans="1:6" x14ac:dyDescent="0.15">
      <c r="A1283" s="1">
        <v>40896</v>
      </c>
      <c r="B1283" t="s">
        <v>191</v>
      </c>
      <c r="C1283" s="2" t="str">
        <f>HYPERLINK("http://snap.windin.com/ns/bulletin.php?id=119687&amp;type=1", "中科金财:招股说明书（申报稿）")</f>
        <v>中科金财:招股说明书（申报稿）</v>
      </c>
      <c r="D1283" t="s">
        <v>7816</v>
      </c>
      <c r="E1283" t="s">
        <v>657</v>
      </c>
      <c r="F1283" t="s">
        <v>5488</v>
      </c>
    </row>
    <row r="1284" spans="1:6" x14ac:dyDescent="0.15">
      <c r="A1284" s="1">
        <v>40896</v>
      </c>
      <c r="B1284" t="s">
        <v>216</v>
      </c>
      <c r="C1284" s="2" t="str">
        <f>HYPERLINK("http://snap.windin.com/ns/bulletin.php?id=486658&amp;type=1", "和晶科技:首次公开发行股票并在创业板上市招股说明书")</f>
        <v>和晶科技:首次公开发行股票并在创业板上市招股说明书</v>
      </c>
      <c r="D1284" t="s">
        <v>1902</v>
      </c>
      <c r="E1284" t="s">
        <v>688</v>
      </c>
      <c r="F1284" t="s">
        <v>455</v>
      </c>
    </row>
    <row r="1285" spans="1:6" x14ac:dyDescent="0.15">
      <c r="A1285" s="1">
        <v>40896</v>
      </c>
      <c r="B1285" t="s">
        <v>3598</v>
      </c>
      <c r="C1285" s="2" t="str">
        <f>HYPERLINK("http://snap.windin.com/ns/bulletin.php?id=1924296&amp;type=1", "星光科技:首次公开发行股票招股说明书（申报稿）")</f>
        <v>星光科技:首次公开发行股票招股说明书（申报稿）</v>
      </c>
      <c r="D1285" t="s">
        <v>7817</v>
      </c>
      <c r="E1285" t="s">
        <v>5580</v>
      </c>
      <c r="F1285" t="s">
        <v>5452</v>
      </c>
    </row>
    <row r="1286" spans="1:6" x14ac:dyDescent="0.15">
      <c r="A1286" s="1">
        <v>40896</v>
      </c>
      <c r="B1286" t="s">
        <v>113</v>
      </c>
      <c r="C1286" s="2" t="str">
        <f>HYPERLINK("http://snap.windin.com/ns/bulletin.php?id=624230&amp;type=1", "凯利泰:创业板首发招股说明书（申报稿）")</f>
        <v>凯利泰:创业板首发招股说明书（申报稿）</v>
      </c>
      <c r="D1286" t="s">
        <v>7818</v>
      </c>
      <c r="E1286" t="s">
        <v>556</v>
      </c>
      <c r="F1286" t="s">
        <v>5450</v>
      </c>
    </row>
    <row r="1287" spans="1:6" x14ac:dyDescent="0.15">
      <c r="A1287" s="1">
        <v>40893</v>
      </c>
      <c r="B1287" t="s">
        <v>214</v>
      </c>
      <c r="C1287" s="2" t="str">
        <f>HYPERLINK("http://snap.windin.com/ns/bulletin.php?id=1987326&amp;type=1", "汇冠股份:首次公开发行股票并在创业板上市招股说明书")</f>
        <v>汇冠股份:首次公开发行股票并在创业板上市招股说明书</v>
      </c>
      <c r="D1287" t="s">
        <v>1906</v>
      </c>
      <c r="E1287" t="s">
        <v>686</v>
      </c>
      <c r="F1287" t="s">
        <v>455</v>
      </c>
    </row>
    <row r="1288" spans="1:6" x14ac:dyDescent="0.15">
      <c r="A1288" s="1">
        <v>40893</v>
      </c>
      <c r="B1288" t="s">
        <v>178</v>
      </c>
      <c r="C1288" s="2" t="str">
        <f>HYPERLINK("http://snap.windin.com/ns/bulletin.php?id=1380944&amp;type=1", "普邦园林:首次公开发行股票招股说明书（申报稿）")</f>
        <v>普邦园林:首次公开发行股票招股说明书（申报稿）</v>
      </c>
      <c r="D1288" t="s">
        <v>7819</v>
      </c>
      <c r="E1288" t="s">
        <v>641</v>
      </c>
      <c r="F1288" t="s">
        <v>5452</v>
      </c>
    </row>
    <row r="1289" spans="1:6" x14ac:dyDescent="0.15">
      <c r="A1289" s="1">
        <v>40893</v>
      </c>
      <c r="B1289" t="s">
        <v>198</v>
      </c>
      <c r="C1289" s="2" t="str">
        <f>HYPERLINK("http://snap.windin.com/ns/bulletin.php?id=1369584&amp;type=1", "东风股份:首发招股说明书（申报稿）")</f>
        <v>东风股份:首发招股说明书（申报稿）</v>
      </c>
      <c r="D1289" t="s">
        <v>7820</v>
      </c>
      <c r="E1289" t="s">
        <v>666</v>
      </c>
      <c r="F1289" t="s">
        <v>5513</v>
      </c>
    </row>
    <row r="1290" spans="1:6" x14ac:dyDescent="0.15">
      <c r="A1290" s="1">
        <v>40893</v>
      </c>
      <c r="B1290" t="s">
        <v>218</v>
      </c>
      <c r="C1290" s="2" t="str">
        <f>HYPERLINK("http://snap.windin.com/ns/bulletin.php?id=1235639&amp;type=1", "宏磊股份:首次公开发行股票招股说明书")</f>
        <v>宏磊股份:首次公开发行股票招股说明书</v>
      </c>
      <c r="D1290" t="s">
        <v>1912</v>
      </c>
      <c r="E1290" t="s">
        <v>690</v>
      </c>
      <c r="F1290" t="s">
        <v>399</v>
      </c>
    </row>
    <row r="1291" spans="1:6" x14ac:dyDescent="0.15">
      <c r="A1291" s="1">
        <v>40893</v>
      </c>
      <c r="B1291" t="s">
        <v>215</v>
      </c>
      <c r="C1291" s="2" t="str">
        <f>HYPERLINK("http://snap.windin.com/ns/bulletin.php?id=466962&amp;type=1", "南通锻压:首次公开发行股票并在创业板上市招股说明书")</f>
        <v>南通锻压:首次公开发行股票并在创业板上市招股说明书</v>
      </c>
      <c r="D1291" t="s">
        <v>1908</v>
      </c>
      <c r="E1291" t="s">
        <v>687</v>
      </c>
      <c r="F1291" t="s">
        <v>455</v>
      </c>
    </row>
    <row r="1292" spans="1:6" x14ac:dyDescent="0.15">
      <c r="A1292" s="1">
        <v>40893</v>
      </c>
      <c r="B1292" t="s">
        <v>155</v>
      </c>
      <c r="C1292" s="2" t="str">
        <f>HYPERLINK("http://snap.windin.com/ns/bulletin.php?id=2066174&amp;type=1", "怡球资源:首次公开发行股票招股说明书（申报稿）")</f>
        <v>怡球资源:首次公开发行股票招股说明书（申报稿）</v>
      </c>
      <c r="D1292" t="s">
        <v>7821</v>
      </c>
      <c r="E1292" t="s">
        <v>605</v>
      </c>
      <c r="F1292" t="s">
        <v>5452</v>
      </c>
    </row>
    <row r="1293" spans="1:6" x14ac:dyDescent="0.15">
      <c r="A1293" s="1">
        <v>40893</v>
      </c>
      <c r="B1293" t="s">
        <v>148</v>
      </c>
      <c r="C1293" s="2" t="str">
        <f>HYPERLINK("http://snap.windin.com/ns/bulletin.php?id=2087232&amp;type=1", "东江环保:首次公开发行A股股票招股说明书（申报稿）")</f>
        <v>东江环保:首次公开发行A股股票招股说明书（申报稿）</v>
      </c>
      <c r="D1293" t="s">
        <v>7822</v>
      </c>
      <c r="E1293" t="s">
        <v>601</v>
      </c>
      <c r="F1293" t="s">
        <v>5493</v>
      </c>
    </row>
    <row r="1294" spans="1:6" x14ac:dyDescent="0.15">
      <c r="A1294" s="1">
        <v>40893</v>
      </c>
      <c r="B1294" t="s">
        <v>213</v>
      </c>
      <c r="C1294" s="2" t="str">
        <f>HYPERLINK("http://snap.windin.com/ns/bulletin.php?id=1113195&amp;type=1", "金明精机:首次公开发行股票并在创业板上市招股说明书")</f>
        <v>金明精机:首次公开发行股票并在创业板上市招股说明书</v>
      </c>
      <c r="D1294" t="s">
        <v>1907</v>
      </c>
      <c r="E1294" t="s">
        <v>685</v>
      </c>
      <c r="F1294" t="s">
        <v>455</v>
      </c>
    </row>
    <row r="1295" spans="1:6" x14ac:dyDescent="0.15">
      <c r="A1295" s="1">
        <v>40892</v>
      </c>
      <c r="B1295" t="s">
        <v>217</v>
      </c>
      <c r="C1295" s="2" t="str">
        <f>HYPERLINK("http://snap.windin.com/ns/bulletin.php?id=210321&amp;type=1", "卫星石化:首次公开发行股票招股说明书")</f>
        <v>卫星石化:首次公开发行股票招股说明书</v>
      </c>
      <c r="D1295" t="s">
        <v>1922</v>
      </c>
      <c r="E1295" t="s">
        <v>689</v>
      </c>
      <c r="F1295" t="s">
        <v>399</v>
      </c>
    </row>
    <row r="1296" spans="1:6" x14ac:dyDescent="0.15">
      <c r="A1296" s="1">
        <v>40892</v>
      </c>
      <c r="B1296" t="s">
        <v>164</v>
      </c>
      <c r="C1296" s="2" t="str">
        <f>HYPERLINK("http://snap.windin.com/ns/bulletin.php?id=472457&amp;type=1", "远方光电:创业板首发招股说明书（申报稿）")</f>
        <v>远方光电:创业板首发招股说明书（申报稿）</v>
      </c>
      <c r="D1296" t="s">
        <v>7823</v>
      </c>
      <c r="E1296" t="s">
        <v>622</v>
      </c>
      <c r="F1296" t="s">
        <v>5450</v>
      </c>
    </row>
    <row r="1297" spans="1:6" x14ac:dyDescent="0.15">
      <c r="A1297" s="1">
        <v>40892</v>
      </c>
      <c r="B1297" t="s">
        <v>3599</v>
      </c>
      <c r="C1297" s="2" t="str">
        <f>HYPERLINK("http://snap.windin.com/ns/bulletin.php?id=479971&amp;type=1", "拓普智能:创业板首发招股说明书（申报稿）")</f>
        <v>拓普智能:创业板首发招股说明书（申报稿）</v>
      </c>
      <c r="D1297" t="s">
        <v>7824</v>
      </c>
      <c r="E1297" t="s">
        <v>5581</v>
      </c>
      <c r="F1297" t="s">
        <v>5450</v>
      </c>
    </row>
    <row r="1298" spans="1:6" x14ac:dyDescent="0.15">
      <c r="A1298" s="1">
        <v>40892</v>
      </c>
      <c r="B1298" t="s">
        <v>224</v>
      </c>
      <c r="C1298" s="2" t="str">
        <f>HYPERLINK("http://snap.windin.com/ns/bulletin.php?id=439662&amp;type=1", "新华保险:首次公开发行A股股票招股说明书")</f>
        <v>新华保险:首次公开发行A股股票招股说明书</v>
      </c>
      <c r="D1298" t="s">
        <v>1915</v>
      </c>
      <c r="E1298" t="s">
        <v>698</v>
      </c>
      <c r="F1298" t="s">
        <v>462</v>
      </c>
    </row>
    <row r="1299" spans="1:6" x14ac:dyDescent="0.15">
      <c r="A1299" s="1">
        <v>40892</v>
      </c>
      <c r="B1299" t="s">
        <v>172</v>
      </c>
      <c r="C1299" s="2" t="str">
        <f>HYPERLINK("http://snap.windin.com/ns/bulletin.php?id=80956&amp;type=1", "云意电气:创业板首发招股说明书（申报稿）")</f>
        <v>云意电气:创业板首发招股说明书（申报稿）</v>
      </c>
      <c r="D1299" t="s">
        <v>7825</v>
      </c>
      <c r="E1299" t="s">
        <v>634</v>
      </c>
      <c r="F1299" t="s">
        <v>5450</v>
      </c>
    </row>
    <row r="1300" spans="1:6" x14ac:dyDescent="0.15">
      <c r="A1300" s="1">
        <v>40892</v>
      </c>
      <c r="B1300" t="s">
        <v>3600</v>
      </c>
      <c r="C1300" s="2" t="str">
        <f>HYPERLINK("http://snap.windin.com/ns/bulletin.php?id=577514&amp;type=1", "斯迈柯:创业板首发招股说明书（申报稿）")</f>
        <v>斯迈柯:创业板首发招股说明书（申报稿）</v>
      </c>
      <c r="D1300" t="s">
        <v>7826</v>
      </c>
      <c r="E1300" t="s">
        <v>5582</v>
      </c>
      <c r="F1300" t="s">
        <v>5450</v>
      </c>
    </row>
    <row r="1301" spans="1:6" x14ac:dyDescent="0.15">
      <c r="A1301" s="1">
        <v>40889</v>
      </c>
      <c r="B1301" t="s">
        <v>3601</v>
      </c>
      <c r="C1301" s="2" t="str">
        <f>HYPERLINK("http://snap.windin.com/ns/bulletin.php?id=233027&amp;type=1", "佳力科技:首发招股说明书（申报稿）")</f>
        <v>佳力科技:首发招股说明书（申报稿）</v>
      </c>
      <c r="D1301" t="s">
        <v>7827</v>
      </c>
      <c r="E1301" t="s">
        <v>5583</v>
      </c>
      <c r="F1301" t="s">
        <v>5513</v>
      </c>
    </row>
    <row r="1302" spans="1:6" x14ac:dyDescent="0.15">
      <c r="A1302" s="1">
        <v>40889</v>
      </c>
      <c r="B1302" t="s">
        <v>114</v>
      </c>
      <c r="C1302" s="2" t="str">
        <f>HYPERLINK("http://snap.windin.com/ns/bulletin.php?id=1373070&amp;type=1", "百隆东方:首发招股说明书（申报稿）")</f>
        <v>百隆东方:首发招股说明书（申报稿）</v>
      </c>
      <c r="D1302" t="s">
        <v>7828</v>
      </c>
      <c r="E1302" t="s">
        <v>557</v>
      </c>
      <c r="F1302" t="s">
        <v>5513</v>
      </c>
    </row>
    <row r="1303" spans="1:6" x14ac:dyDescent="0.15">
      <c r="A1303" s="1">
        <v>40889</v>
      </c>
      <c r="B1303" t="s">
        <v>160</v>
      </c>
      <c r="C1303" s="2" t="str">
        <f>HYPERLINK("http://snap.windin.com/ns/bulletin.php?id=1920429&amp;type=1", "吉艾科技:（北京）股份公司创业板首发招股说明书（申报稿）")</f>
        <v>吉艾科技:（北京）股份公司创业板首发招股说明书（申报稿）</v>
      </c>
      <c r="D1303" t="s">
        <v>7829</v>
      </c>
      <c r="E1303" t="s">
        <v>619</v>
      </c>
      <c r="F1303" t="s">
        <v>5584</v>
      </c>
    </row>
    <row r="1304" spans="1:6" x14ac:dyDescent="0.15">
      <c r="A1304" s="1">
        <v>40889</v>
      </c>
      <c r="B1304" t="s">
        <v>171</v>
      </c>
      <c r="C1304" s="2" t="str">
        <f>HYPERLINK("http://snap.windin.com/ns/bulletin.php?id=1801176&amp;type=1", "长方照明:创业板首发招股说明书（申报稿）")</f>
        <v>长方照明:创业板首发招股说明书（申报稿）</v>
      </c>
      <c r="D1304" t="s">
        <v>7830</v>
      </c>
      <c r="E1304" t="s">
        <v>633</v>
      </c>
      <c r="F1304" t="s">
        <v>5450</v>
      </c>
    </row>
    <row r="1305" spans="1:6" x14ac:dyDescent="0.15">
      <c r="A1305" s="1">
        <v>40889</v>
      </c>
      <c r="B1305" t="s">
        <v>220</v>
      </c>
      <c r="C1305" s="2" t="str">
        <f>HYPERLINK("http://snap.windin.com/ns/bulletin.php?id=1919133&amp;type=1", "佛慈制药:首次公开发行股票招股说明书")</f>
        <v>佛慈制药:首次公开发行股票招股说明书</v>
      </c>
      <c r="D1305" t="s">
        <v>1926</v>
      </c>
      <c r="E1305" t="s">
        <v>693</v>
      </c>
      <c r="F1305" t="s">
        <v>399</v>
      </c>
    </row>
    <row r="1306" spans="1:6" x14ac:dyDescent="0.15">
      <c r="A1306" s="1">
        <v>40889</v>
      </c>
      <c r="B1306" t="s">
        <v>182</v>
      </c>
      <c r="C1306" s="2" t="str">
        <f>HYPERLINK("http://snap.windin.com/ns/bulletin.php?id=1588518&amp;type=1", "利亚德:创业板首发招股说明书（申报稿）")</f>
        <v>利亚德:创业板首发招股说明书（申报稿）</v>
      </c>
      <c r="D1306" t="s">
        <v>7831</v>
      </c>
      <c r="E1306" t="s">
        <v>645</v>
      </c>
      <c r="F1306" t="s">
        <v>5450</v>
      </c>
    </row>
    <row r="1307" spans="1:6" x14ac:dyDescent="0.15">
      <c r="A1307" s="1">
        <v>40889</v>
      </c>
      <c r="B1307" t="s">
        <v>219</v>
      </c>
      <c r="C1307" s="2" t="str">
        <f>HYPERLINK("http://snap.windin.com/ns/bulletin.php?id=571469&amp;type=1", "青青稞酒:首次公开发行股票招股说明书")</f>
        <v>青青稞酒:首次公开发行股票招股说明书</v>
      </c>
      <c r="D1307" t="s">
        <v>1924</v>
      </c>
      <c r="E1307" t="s">
        <v>692</v>
      </c>
      <c r="F1307" t="s">
        <v>399</v>
      </c>
    </row>
    <row r="1308" spans="1:6" x14ac:dyDescent="0.15">
      <c r="A1308" s="1">
        <v>40886</v>
      </c>
      <c r="B1308" t="s">
        <v>226</v>
      </c>
      <c r="C1308" s="2" t="str">
        <f>HYPERLINK("http://snap.windin.com/ns/bulletin.php?id=130554&amp;type=1", "东吴证券:首次公开发行A股股票招股说明书")</f>
        <v>东吴证券:首次公开发行A股股票招股说明书</v>
      </c>
      <c r="D1308" t="s">
        <v>1929</v>
      </c>
      <c r="E1308" t="s">
        <v>700</v>
      </c>
      <c r="F1308" t="s">
        <v>462</v>
      </c>
    </row>
    <row r="1309" spans="1:6" x14ac:dyDescent="0.15">
      <c r="A1309" s="1">
        <v>40886</v>
      </c>
      <c r="B1309" t="s">
        <v>222</v>
      </c>
      <c r="C1309" s="2" t="str">
        <f>HYPERLINK("http://snap.windin.com/ns/bulletin.php?id=152786&amp;type=1", "华宏科技:首次公开发行股票招股说明书")</f>
        <v>华宏科技:首次公开发行股票招股说明书</v>
      </c>
      <c r="D1309" t="s">
        <v>1935</v>
      </c>
      <c r="E1309" t="s">
        <v>696</v>
      </c>
      <c r="F1309" t="s">
        <v>399</v>
      </c>
    </row>
    <row r="1310" spans="1:6" x14ac:dyDescent="0.15">
      <c r="A1310" s="1">
        <v>40886</v>
      </c>
      <c r="B1310" t="s">
        <v>223</v>
      </c>
      <c r="C1310" s="2" t="str">
        <f>HYPERLINK("http://snap.windin.com/ns/bulletin.php?id=150973&amp;type=1", "烟台万润:首次公开发行股票招股说明书")</f>
        <v>烟台万润:首次公开发行股票招股说明书</v>
      </c>
      <c r="D1310" t="s">
        <v>1937</v>
      </c>
      <c r="E1310" t="s">
        <v>697</v>
      </c>
      <c r="F1310" t="s">
        <v>399</v>
      </c>
    </row>
    <row r="1311" spans="1:6" x14ac:dyDescent="0.15">
      <c r="A1311" s="1">
        <v>40886</v>
      </c>
      <c r="B1311" t="s">
        <v>3602</v>
      </c>
      <c r="C1311" s="2" t="str">
        <f>HYPERLINK("http://snap.windin.com/ns/bulletin.php?id=1179238&amp;type=1", "桑夏股份:首次公开发行股票招股说明书（申报稿）")</f>
        <v>桑夏股份:首次公开发行股票招股说明书（申报稿）</v>
      </c>
      <c r="D1311" t="s">
        <v>7832</v>
      </c>
      <c r="E1311" t="s">
        <v>5585</v>
      </c>
      <c r="F1311" t="s">
        <v>5452</v>
      </c>
    </row>
    <row r="1312" spans="1:6" x14ac:dyDescent="0.15">
      <c r="A1312" s="1">
        <v>40886</v>
      </c>
      <c r="B1312" t="s">
        <v>154</v>
      </c>
      <c r="C1312" s="2" t="str">
        <f>HYPERLINK("http://snap.windin.com/ns/bulletin.php?id=1225735&amp;type=1", "宜通科技:首发招股说明书(申报稿)的更正公告")</f>
        <v>宜通科技:首发招股说明书(申报稿)的更正公告</v>
      </c>
      <c r="D1312" t="s">
        <v>7833</v>
      </c>
      <c r="E1312" t="s">
        <v>5586</v>
      </c>
      <c r="F1312" t="s">
        <v>5587</v>
      </c>
    </row>
    <row r="1313" spans="1:6" x14ac:dyDescent="0.15">
      <c r="A1313" s="1">
        <v>40886</v>
      </c>
      <c r="B1313" t="s">
        <v>196</v>
      </c>
      <c r="C1313" s="2" t="str">
        <f>HYPERLINK("http://snap.windin.com/ns/bulletin.php?id=527228&amp;type=1", "万润科技:首次公开发行股票招股说明书（申报稿）")</f>
        <v>万润科技:首次公开发行股票招股说明书（申报稿）</v>
      </c>
      <c r="D1313" t="s">
        <v>7834</v>
      </c>
      <c r="E1313" t="s">
        <v>664</v>
      </c>
      <c r="F1313" t="s">
        <v>5452</v>
      </c>
    </row>
    <row r="1314" spans="1:6" x14ac:dyDescent="0.15">
      <c r="A1314" s="1">
        <v>40886</v>
      </c>
      <c r="B1314" t="s">
        <v>204</v>
      </c>
      <c r="C1314" s="2" t="str">
        <f>HYPERLINK("http://snap.windin.com/ns/bulletin.php?id=2052419&amp;type=1", "海思科:首次公开发行股票招股说明书（申报稿）")</f>
        <v>海思科:首次公开发行股票招股说明书（申报稿）</v>
      </c>
      <c r="D1314" t="s">
        <v>7835</v>
      </c>
      <c r="E1314" t="s">
        <v>676</v>
      </c>
      <c r="F1314" t="s">
        <v>5452</v>
      </c>
    </row>
    <row r="1315" spans="1:6" x14ac:dyDescent="0.15">
      <c r="A1315" s="1">
        <v>40886</v>
      </c>
      <c r="B1315" t="s">
        <v>3603</v>
      </c>
      <c r="C1315" s="2" t="str">
        <f>HYPERLINK("http://snap.windin.com/ns/bulletin.php?id=1818749&amp;type=1", "东珠景观:首次公开发行股票招股说明书（申报稿）")</f>
        <v>东珠景观:首次公开发行股票招股说明书（申报稿）</v>
      </c>
      <c r="D1315" t="s">
        <v>7836</v>
      </c>
      <c r="E1315" t="s">
        <v>5588</v>
      </c>
      <c r="F1315" t="s">
        <v>5452</v>
      </c>
    </row>
    <row r="1316" spans="1:6" x14ac:dyDescent="0.15">
      <c r="A1316" s="1">
        <v>40885</v>
      </c>
      <c r="B1316" t="s">
        <v>154</v>
      </c>
      <c r="C1316" s="2" t="str">
        <f>HYPERLINK("http://snap.windin.com/ns/bulletin.php?id=211075&amp;type=1", "宜通世纪:创业板首发招股说明书(申报稿)")</f>
        <v>宜通世纪:创业板首发招股说明书(申报稿)</v>
      </c>
      <c r="D1316" t="s">
        <v>7837</v>
      </c>
      <c r="E1316" t="s">
        <v>604</v>
      </c>
      <c r="F1316" t="s">
        <v>5462</v>
      </c>
    </row>
    <row r="1317" spans="1:6" x14ac:dyDescent="0.15">
      <c r="A1317" s="1">
        <v>40885</v>
      </c>
      <c r="B1317" t="s">
        <v>3487</v>
      </c>
      <c r="C1317" s="2" t="str">
        <f>HYPERLINK("http://snap.windin.com/ns/bulletin.php?id=592698&amp;type=1", "楚天科技:创业板首发招股说明书（申报稿）")</f>
        <v>楚天科技:创业板首发招股说明书（申报稿）</v>
      </c>
      <c r="D1317" t="s">
        <v>7838</v>
      </c>
      <c r="E1317" t="s">
        <v>456</v>
      </c>
      <c r="F1317" t="s">
        <v>5450</v>
      </c>
    </row>
    <row r="1318" spans="1:6" x14ac:dyDescent="0.15">
      <c r="A1318" s="1">
        <v>40885</v>
      </c>
      <c r="B1318" t="s">
        <v>163</v>
      </c>
      <c r="C1318" s="2" t="str">
        <f>HYPERLINK("http://snap.windin.com/ns/bulletin.php?id=1113257&amp;type=1", "慈星股份:创业板首发招股说明书（申报稿）")</f>
        <v>慈星股份:创业板首发招股说明书（申报稿）</v>
      </c>
      <c r="D1318" t="s">
        <v>7839</v>
      </c>
      <c r="E1318" t="s">
        <v>621</v>
      </c>
      <c r="F1318" t="s">
        <v>5450</v>
      </c>
    </row>
    <row r="1319" spans="1:6" x14ac:dyDescent="0.15">
      <c r="A1319" s="1">
        <v>40885</v>
      </c>
      <c r="B1319" t="s">
        <v>173</v>
      </c>
      <c r="C1319" s="2" t="str">
        <f>HYPERLINK("http://snap.windin.com/ns/bulletin.php?id=959820&amp;type=1", "聚飞光电:创业板首发招股说明书（申报稿）")</f>
        <v>聚飞光电:创业板首发招股说明书（申报稿）</v>
      </c>
      <c r="D1319" t="s">
        <v>7840</v>
      </c>
      <c r="E1319" t="s">
        <v>635</v>
      </c>
      <c r="F1319" t="s">
        <v>5450</v>
      </c>
    </row>
    <row r="1320" spans="1:6" x14ac:dyDescent="0.15">
      <c r="A1320" s="1">
        <v>40884</v>
      </c>
      <c r="B1320" t="s">
        <v>221</v>
      </c>
      <c r="C1320" s="2" t="str">
        <f>HYPERLINK("http://snap.windin.com/ns/bulletin.php?id=1094065&amp;type=1", "荣之联:首次公开发行股票招股说明书")</f>
        <v>荣之联:首次公开发行股票招股说明书</v>
      </c>
      <c r="D1320" t="s">
        <v>1944</v>
      </c>
      <c r="E1320" t="s">
        <v>695</v>
      </c>
      <c r="F1320" t="s">
        <v>399</v>
      </c>
    </row>
    <row r="1321" spans="1:6" x14ac:dyDescent="0.15">
      <c r="A1321" s="1">
        <v>40883</v>
      </c>
      <c r="B1321" t="s">
        <v>156</v>
      </c>
      <c r="C1321" s="2" t="str">
        <f>HYPERLINK("http://snap.windin.com/ns/bulletin.php?id=1769069&amp;type=1", "海通证券:H股招股说明书（英文）")</f>
        <v>海通证券:H股招股说明书（英文）</v>
      </c>
      <c r="D1321" t="s">
        <v>1948</v>
      </c>
      <c r="E1321" t="s">
        <v>606</v>
      </c>
      <c r="F1321" t="s">
        <v>703</v>
      </c>
    </row>
    <row r="1322" spans="1:6" x14ac:dyDescent="0.15">
      <c r="A1322" s="1">
        <v>40883</v>
      </c>
      <c r="B1322" t="s">
        <v>156</v>
      </c>
      <c r="C1322" s="2" t="str">
        <f>HYPERLINK("http://snap.windin.com/ns/bulletin.php?id=1160528&amp;type=1", "海通证券:H股招股说明书（中文）")</f>
        <v>海通证券:H股招股说明书（中文）</v>
      </c>
      <c r="D1322" t="s">
        <v>1949</v>
      </c>
      <c r="E1322" t="s">
        <v>606</v>
      </c>
      <c r="F1322" t="s">
        <v>704</v>
      </c>
    </row>
    <row r="1323" spans="1:6" x14ac:dyDescent="0.15">
      <c r="A1323" s="1">
        <v>40883</v>
      </c>
      <c r="B1323" t="s">
        <v>225</v>
      </c>
      <c r="C1323" s="2" t="str">
        <f>HYPERLINK("http://snap.windin.com/ns/bulletin.php?id=2026587&amp;type=1", "华昌达:首次公开发行股票并在创业板上市招股说明书")</f>
        <v>华昌达:首次公开发行股票并在创业板上市招股说明书</v>
      </c>
      <c r="D1323" t="s">
        <v>1950</v>
      </c>
      <c r="E1323" t="s">
        <v>699</v>
      </c>
      <c r="F1323" t="s">
        <v>455</v>
      </c>
    </row>
    <row r="1324" spans="1:6" x14ac:dyDescent="0.15">
      <c r="A1324" s="1">
        <v>40882</v>
      </c>
      <c r="B1324" t="s">
        <v>3604</v>
      </c>
      <c r="C1324" s="2" t="str">
        <f>HYPERLINK("http://snap.windin.com/ns/bulletin.php?id=1660922&amp;type=1", "南城百货:首次公开发行股票招股说明书(申报稿)")</f>
        <v>南城百货:首次公开发行股票招股说明书(申报稿)</v>
      </c>
      <c r="D1324" t="s">
        <v>7841</v>
      </c>
      <c r="E1324" t="s">
        <v>5589</v>
      </c>
      <c r="F1324" t="s">
        <v>5466</v>
      </c>
    </row>
    <row r="1325" spans="1:6" x14ac:dyDescent="0.15">
      <c r="A1325" s="1">
        <v>40882</v>
      </c>
      <c r="B1325" t="s">
        <v>193</v>
      </c>
      <c r="C1325" s="2" t="str">
        <f>HYPERLINK("http://snap.windin.com/ns/bulletin.php?id=432953&amp;type=1", "吉视传媒:首次公开发行股票招股说明书（申报稿）")</f>
        <v>吉视传媒:首次公开发行股票招股说明书（申报稿）</v>
      </c>
      <c r="D1325" t="s">
        <v>7842</v>
      </c>
      <c r="E1325" t="s">
        <v>659</v>
      </c>
      <c r="F1325" t="s">
        <v>5452</v>
      </c>
    </row>
    <row r="1326" spans="1:6" x14ac:dyDescent="0.15">
      <c r="A1326" s="1">
        <v>40879</v>
      </c>
      <c r="B1326" t="s">
        <v>169</v>
      </c>
      <c r="C1326" s="2" t="str">
        <f>HYPERLINK("http://snap.windin.com/ns/bulletin.php?id=157327&amp;type=1", "德联集团:首发招股说明书（申报稿）")</f>
        <v>德联集团:首发招股说明书（申报稿）</v>
      </c>
      <c r="D1326" t="s">
        <v>7843</v>
      </c>
      <c r="E1326" t="s">
        <v>631</v>
      </c>
      <c r="F1326" t="s">
        <v>5513</v>
      </c>
    </row>
    <row r="1327" spans="1:6" x14ac:dyDescent="0.15">
      <c r="A1327" s="1">
        <v>40876</v>
      </c>
      <c r="B1327" t="s">
        <v>227</v>
      </c>
      <c r="C1327" s="2" t="str">
        <f>HYPERLINK("http://snap.windin.com/ns/bulletin.php?id=127295&amp;type=1", "永高股份:首次公开发行股票（A股）招股说明书")</f>
        <v>永高股份:首次公开发行股票（A股）招股说明书</v>
      </c>
      <c r="D1327" t="s">
        <v>1968</v>
      </c>
      <c r="E1327" t="s">
        <v>701</v>
      </c>
      <c r="F1327" t="s">
        <v>661</v>
      </c>
    </row>
    <row r="1328" spans="1:6" x14ac:dyDescent="0.15">
      <c r="A1328" s="1">
        <v>40876</v>
      </c>
      <c r="B1328" t="s">
        <v>231</v>
      </c>
      <c r="C1328" s="2" t="str">
        <f>HYPERLINK("http://snap.windin.com/ns/bulletin.php?id=1182520&amp;type=1", "凤凰传媒:首次公开发行A股股票招股说明书")</f>
        <v>凤凰传媒:首次公开发行A股股票招股说明书</v>
      </c>
      <c r="D1328" t="s">
        <v>1966</v>
      </c>
      <c r="E1328" t="s">
        <v>709</v>
      </c>
      <c r="F1328" t="s">
        <v>462</v>
      </c>
    </row>
    <row r="1329" spans="1:6" x14ac:dyDescent="0.15">
      <c r="A1329" s="1">
        <v>40876</v>
      </c>
      <c r="B1329" t="s">
        <v>228</v>
      </c>
      <c r="C1329" s="2" t="str">
        <f>HYPERLINK("http://snap.windin.com/ns/bulletin.php?id=1849380&amp;type=1", "百圆裤业:首次公开发行股票并上市招股说明书")</f>
        <v>百圆裤业:首次公开发行股票并上市招股说明书</v>
      </c>
      <c r="D1329" t="s">
        <v>1970</v>
      </c>
      <c r="E1329" t="s">
        <v>702</v>
      </c>
      <c r="F1329" t="s">
        <v>469</v>
      </c>
    </row>
    <row r="1330" spans="1:6" x14ac:dyDescent="0.15">
      <c r="A1330" s="1">
        <v>40875</v>
      </c>
      <c r="B1330" t="s">
        <v>3605</v>
      </c>
      <c r="C1330" s="2" t="str">
        <f>HYPERLINK("http://snap.windin.com/ns/bulletin.php?id=1197338&amp;type=1", "瑞达股份:首次公开发行股票招股说明书（申报稿）")</f>
        <v>瑞达股份:首次公开发行股票招股说明书（申报稿）</v>
      </c>
      <c r="D1330" t="s">
        <v>7844</v>
      </c>
      <c r="E1330" t="s">
        <v>5590</v>
      </c>
      <c r="F1330" t="s">
        <v>5452</v>
      </c>
    </row>
    <row r="1331" spans="1:6" x14ac:dyDescent="0.15">
      <c r="A1331" s="1">
        <v>40875</v>
      </c>
      <c r="B1331" t="s">
        <v>190</v>
      </c>
      <c r="C1331" s="2" t="str">
        <f>HYPERLINK("http://snap.windin.com/ns/bulletin.php?id=1983363&amp;type=1", "吴通通讯:创业板首发招股说明书（申报稿）")</f>
        <v>吴通通讯:创业板首发招股说明书（申报稿）</v>
      </c>
      <c r="D1331" t="s">
        <v>7845</v>
      </c>
      <c r="E1331" t="s">
        <v>656</v>
      </c>
      <c r="F1331" t="s">
        <v>5450</v>
      </c>
    </row>
    <row r="1332" spans="1:6" x14ac:dyDescent="0.15">
      <c r="A1332" s="1">
        <v>40872</v>
      </c>
      <c r="B1332" t="s">
        <v>211</v>
      </c>
      <c r="C1332" s="2" t="str">
        <f>HYPERLINK("http://snap.windin.com/ns/bulletin.php?id=1265938&amp;type=1", "加加食品:首次公开发行股票招股说明书（申报稿）")</f>
        <v>加加食品:首次公开发行股票招股说明书（申报稿）</v>
      </c>
      <c r="D1332" t="s">
        <v>7846</v>
      </c>
      <c r="E1332" t="s">
        <v>683</v>
      </c>
      <c r="F1332" t="s">
        <v>5452</v>
      </c>
    </row>
    <row r="1333" spans="1:6" x14ac:dyDescent="0.15">
      <c r="A1333" s="1">
        <v>40871</v>
      </c>
      <c r="B1333" t="s">
        <v>183</v>
      </c>
      <c r="C1333" s="2" t="str">
        <f>HYPERLINK("http://snap.windin.com/ns/bulletin.php?id=1644442&amp;type=1", "蓝盾股份:创业板首发招股说明书（申报稿）")</f>
        <v>蓝盾股份:创业板首发招股说明书（申报稿）</v>
      </c>
      <c r="D1333" t="s">
        <v>7847</v>
      </c>
      <c r="E1333" t="s">
        <v>648</v>
      </c>
      <c r="F1333" t="s">
        <v>5450</v>
      </c>
    </row>
    <row r="1334" spans="1:6" x14ac:dyDescent="0.15">
      <c r="A1334" s="1">
        <v>40871</v>
      </c>
      <c r="B1334" t="s">
        <v>3606</v>
      </c>
      <c r="C1334" s="2" t="str">
        <f>HYPERLINK("http://snap.windin.com/ns/bulletin.php?id=195342&amp;type=1", "公元股份:创业板首发招股说明书（申报稿）")</f>
        <v>公元股份:创业板首发招股说明书（申报稿）</v>
      </c>
      <c r="D1334" t="s">
        <v>7848</v>
      </c>
      <c r="E1334" t="s">
        <v>5591</v>
      </c>
      <c r="F1334" t="s">
        <v>5450</v>
      </c>
    </row>
    <row r="1335" spans="1:6" x14ac:dyDescent="0.15">
      <c r="A1335" s="1">
        <v>40871</v>
      </c>
      <c r="B1335" t="s">
        <v>229</v>
      </c>
      <c r="C1335" s="2" t="str">
        <f>HYPERLINK("http://snap.windin.com/ns/bulletin.php?id=474141&amp;type=1", "棒杰股份:首次公开发行股票招股说明书")</f>
        <v>棒杰股份:首次公开发行股票招股说明书</v>
      </c>
      <c r="D1335" t="s">
        <v>1982</v>
      </c>
      <c r="E1335" t="s">
        <v>706</v>
      </c>
      <c r="F1335" t="s">
        <v>399</v>
      </c>
    </row>
    <row r="1336" spans="1:6" x14ac:dyDescent="0.15">
      <c r="A1336" s="1">
        <v>40871</v>
      </c>
      <c r="B1336" t="s">
        <v>135</v>
      </c>
      <c r="C1336" s="2" t="str">
        <f>HYPERLINK("http://snap.windin.com/ns/bulletin.php?id=703801&amp;type=1", "同大股份:创业板首发招股说明书(申报稿)")</f>
        <v>同大股份:创业板首发招股说明书(申报稿)</v>
      </c>
      <c r="D1336" t="s">
        <v>7849</v>
      </c>
      <c r="E1336" t="s">
        <v>581</v>
      </c>
      <c r="F1336" t="s">
        <v>5462</v>
      </c>
    </row>
    <row r="1337" spans="1:6" x14ac:dyDescent="0.15">
      <c r="A1337" s="1">
        <v>40868</v>
      </c>
      <c r="B1337" t="s">
        <v>3607</v>
      </c>
      <c r="C1337" s="2" t="str">
        <f>HYPERLINK("http://snap.windin.com/ns/bulletin.php?id=99059&amp;type=1", "合纵科技:创业板首发招股说明书（申报稿）")</f>
        <v>合纵科技:创业板首发招股说明书（申报稿）</v>
      </c>
      <c r="D1337" t="s">
        <v>7850</v>
      </c>
      <c r="E1337" t="s">
        <v>5329</v>
      </c>
      <c r="F1337" t="s">
        <v>5450</v>
      </c>
    </row>
    <row r="1338" spans="1:6" x14ac:dyDescent="0.15">
      <c r="A1338" s="1">
        <v>40868</v>
      </c>
      <c r="B1338" t="s">
        <v>3608</v>
      </c>
      <c r="C1338" s="2" t="str">
        <f>HYPERLINK("http://snap.windin.com/ns/bulletin.php?id=1233625&amp;type=1", "裕华新材:创业板首发招股说明书（申报稿）")</f>
        <v>裕华新材:创业板首发招股说明书（申报稿）</v>
      </c>
      <c r="D1338" t="s">
        <v>7851</v>
      </c>
      <c r="E1338" t="s">
        <v>5592</v>
      </c>
      <c r="F1338" t="s">
        <v>5450</v>
      </c>
    </row>
    <row r="1339" spans="1:6" x14ac:dyDescent="0.15">
      <c r="A1339" s="1">
        <v>40868</v>
      </c>
      <c r="B1339" t="s">
        <v>3609</v>
      </c>
      <c r="C1339" s="2" t="str">
        <f>HYPERLINK("http://snap.windin.com/ns/bulletin.php?id=2031461&amp;type=1", "龙韵传播:上海龙韵广告股份有限公司首发招股说明书（申报稿）")</f>
        <v>龙韵传播:上海龙韵广告股份有限公司首发招股说明书（申报稿）</v>
      </c>
      <c r="D1339" t="s">
        <v>7852</v>
      </c>
      <c r="E1339" t="s">
        <v>4873</v>
      </c>
      <c r="F1339" t="s">
        <v>5593</v>
      </c>
    </row>
    <row r="1340" spans="1:6" x14ac:dyDescent="0.15">
      <c r="A1340" s="1">
        <v>40868</v>
      </c>
      <c r="B1340" t="s">
        <v>3610</v>
      </c>
      <c r="C1340" s="2" t="str">
        <f>HYPERLINK("http://snap.windin.com/ns/bulletin.php?id=1910128&amp;type=1", "新荷花:创业板首发招股说明书（申报稿）")</f>
        <v>新荷花:创业板首发招股说明书（申报稿）</v>
      </c>
      <c r="D1340" t="s">
        <v>7853</v>
      </c>
      <c r="E1340" t="s">
        <v>5594</v>
      </c>
      <c r="F1340" t="s">
        <v>5450</v>
      </c>
    </row>
    <row r="1341" spans="1:6" x14ac:dyDescent="0.15">
      <c r="A1341" s="1">
        <v>40868</v>
      </c>
      <c r="B1341" t="s">
        <v>201</v>
      </c>
      <c r="C1341" s="2" t="str">
        <f>HYPERLINK("http://snap.windin.com/ns/bulletin.php?id=1814151&amp;type=1", "华录百纳:创业板首发招股说明书(申报稿)")</f>
        <v>华录百纳:创业板首发招股说明书(申报稿)</v>
      </c>
      <c r="D1341" t="s">
        <v>7854</v>
      </c>
      <c r="E1341" t="s">
        <v>669</v>
      </c>
      <c r="F1341" t="s">
        <v>5462</v>
      </c>
    </row>
    <row r="1342" spans="1:6" x14ac:dyDescent="0.15">
      <c r="A1342" s="1">
        <v>40868</v>
      </c>
      <c r="B1342" t="s">
        <v>203</v>
      </c>
      <c r="C1342" s="2" t="str">
        <f>HYPERLINK("http://snap.windin.com/ns/bulletin.php?id=1592481&amp;type=1", "扬子新材:首发招股说明书（申报稿）")</f>
        <v>扬子新材:首发招股说明书（申报稿）</v>
      </c>
      <c r="D1342" t="s">
        <v>7855</v>
      </c>
      <c r="E1342" t="s">
        <v>675</v>
      </c>
      <c r="F1342" t="s">
        <v>5513</v>
      </c>
    </row>
    <row r="1343" spans="1:6" x14ac:dyDescent="0.15">
      <c r="A1343" s="1">
        <v>40868</v>
      </c>
      <c r="B1343" t="s">
        <v>3611</v>
      </c>
      <c r="C1343" s="2" t="str">
        <f>HYPERLINK("http://snap.windin.com/ns/bulletin.php?id=1492760&amp;type=1", "乔丹体育:首发招股说明书（申报稿）")</f>
        <v>乔丹体育:首发招股说明书（申报稿）</v>
      </c>
      <c r="D1343" t="s">
        <v>7856</v>
      </c>
      <c r="E1343" t="s">
        <v>5595</v>
      </c>
      <c r="F1343" t="s">
        <v>5513</v>
      </c>
    </row>
    <row r="1344" spans="1:6" x14ac:dyDescent="0.15">
      <c r="A1344" s="1">
        <v>40865</v>
      </c>
      <c r="B1344" t="s">
        <v>3612</v>
      </c>
      <c r="C1344" s="2" t="str">
        <f>HYPERLINK("http://snap.windin.com/ns/bulletin.php?id=659149&amp;type=1", "瑞尔机械:首发招股说明书（申报稿）")</f>
        <v>瑞尔机械:首发招股说明书（申报稿）</v>
      </c>
      <c r="D1344" t="s">
        <v>7857</v>
      </c>
      <c r="E1344" t="s">
        <v>5596</v>
      </c>
      <c r="F1344" t="s">
        <v>5513</v>
      </c>
    </row>
    <row r="1345" spans="1:6" x14ac:dyDescent="0.15">
      <c r="A1345" s="1">
        <v>40865</v>
      </c>
      <c r="B1345" t="s">
        <v>99</v>
      </c>
      <c r="C1345" s="2" t="str">
        <f>HYPERLINK("http://snap.windin.com/ns/bulletin.php?id=978956&amp;type=1", "金河生物:首发招股说明书（申报稿）")</f>
        <v>金河生物:首发招股说明书（申报稿）</v>
      </c>
      <c r="D1345" t="s">
        <v>7858</v>
      </c>
      <c r="E1345" t="s">
        <v>541</v>
      </c>
      <c r="F1345" t="s">
        <v>5513</v>
      </c>
    </row>
    <row r="1346" spans="1:6" x14ac:dyDescent="0.15">
      <c r="A1346" s="1">
        <v>40864</v>
      </c>
      <c r="B1346" t="s">
        <v>230</v>
      </c>
      <c r="C1346" s="2" t="str">
        <f>HYPERLINK("http://snap.windin.com/ns/bulletin.php?id=1754400&amp;type=1", "雪人股份:首次公开发行股票招股说明书")</f>
        <v>雪人股份:首次公开发行股票招股说明书</v>
      </c>
      <c r="D1346" t="s">
        <v>1999</v>
      </c>
      <c r="E1346" t="s">
        <v>707</v>
      </c>
      <c r="F1346" t="s">
        <v>399</v>
      </c>
    </row>
    <row r="1347" spans="1:6" x14ac:dyDescent="0.15">
      <c r="A1347" s="1">
        <v>40864</v>
      </c>
      <c r="B1347" t="s">
        <v>184</v>
      </c>
      <c r="C1347" s="2" t="str">
        <f>HYPERLINK("http://snap.windin.com/ns/bulletin.php?id=1978234&amp;type=1", "京威股份:首次公开发行股票招股说明书（申报稿）")</f>
        <v>京威股份:首次公开发行股票招股说明书（申报稿）</v>
      </c>
      <c r="D1347" t="s">
        <v>7859</v>
      </c>
      <c r="E1347" t="s">
        <v>649</v>
      </c>
      <c r="F1347" t="s">
        <v>5452</v>
      </c>
    </row>
    <row r="1348" spans="1:6" x14ac:dyDescent="0.15">
      <c r="A1348" s="1">
        <v>40863</v>
      </c>
      <c r="B1348" t="s">
        <v>3613</v>
      </c>
      <c r="C1348" s="2" t="str">
        <f>HYPERLINK("http://snap.windin.com/ns/bulletin.php?id=1762642&amp;type=1", "今天国际:创业板招股说明书（申报稿）")</f>
        <v>今天国际:创业板招股说明书（申报稿）</v>
      </c>
      <c r="D1348" t="s">
        <v>7860</v>
      </c>
      <c r="E1348" t="s">
        <v>5062</v>
      </c>
      <c r="F1348" t="s">
        <v>5597</v>
      </c>
    </row>
    <row r="1349" spans="1:6" x14ac:dyDescent="0.15">
      <c r="A1349" s="1">
        <v>40863</v>
      </c>
      <c r="B1349" t="s">
        <v>200</v>
      </c>
      <c r="C1349" s="2" t="str">
        <f>HYPERLINK("http://snap.windin.com/ns/bulletin.php?id=1696655&amp;type=1", "利德曼:创业板首发招股说明书（申报稿）")</f>
        <v>利德曼:创业板首发招股说明书（申报稿）</v>
      </c>
      <c r="D1349" t="s">
        <v>7861</v>
      </c>
      <c r="E1349" t="s">
        <v>668</v>
      </c>
      <c r="F1349" t="s">
        <v>5450</v>
      </c>
    </row>
    <row r="1350" spans="1:6" x14ac:dyDescent="0.15">
      <c r="A1350" s="1">
        <v>40863</v>
      </c>
      <c r="B1350" t="s">
        <v>3614</v>
      </c>
      <c r="C1350" s="2" t="str">
        <f>HYPERLINK("http://snap.windin.com/ns/bulletin.php?id=674593&amp;type=1", "沃施股份:首次公开发行股票招股说明书（申报稿）")</f>
        <v>沃施股份:首次公开发行股票招股说明书（申报稿）</v>
      </c>
      <c r="D1350" t="s">
        <v>7862</v>
      </c>
      <c r="E1350" t="s">
        <v>5598</v>
      </c>
      <c r="F1350" t="s">
        <v>5452</v>
      </c>
    </row>
    <row r="1351" spans="1:6" x14ac:dyDescent="0.15">
      <c r="A1351" s="1">
        <v>40862</v>
      </c>
      <c r="B1351" t="s">
        <v>232</v>
      </c>
      <c r="C1351" s="2" t="str">
        <f>HYPERLINK("http://snap.windin.com/ns/bulletin.php?id=1696997&amp;type=1", "赞宇科技:首次公开发行股票招股说明书")</f>
        <v>赞宇科技:首次公开发行股票招股说明书</v>
      </c>
      <c r="D1351" t="s">
        <v>2006</v>
      </c>
      <c r="E1351" t="s">
        <v>713</v>
      </c>
      <c r="F1351" t="s">
        <v>399</v>
      </c>
    </row>
    <row r="1352" spans="1:6" x14ac:dyDescent="0.15">
      <c r="A1352" s="1">
        <v>40862</v>
      </c>
      <c r="B1352" t="s">
        <v>234</v>
      </c>
      <c r="C1352" s="2" t="str">
        <f>HYPERLINK("http://snap.windin.com/ns/bulletin.php?id=1659543&amp;type=1", "勤上光电:首次公开发行股票招股说明书")</f>
        <v>勤上光电:首次公开发行股票招股说明书</v>
      </c>
      <c r="D1352" t="s">
        <v>2004</v>
      </c>
      <c r="E1352" t="s">
        <v>712</v>
      </c>
      <c r="F1352" t="s">
        <v>399</v>
      </c>
    </row>
    <row r="1353" spans="1:6" x14ac:dyDescent="0.15">
      <c r="A1353" s="1">
        <v>40862</v>
      </c>
      <c r="B1353" t="s">
        <v>235</v>
      </c>
      <c r="C1353" s="2" t="str">
        <f>HYPERLINK("http://snap.windin.com/ns/bulletin.php?id=203938&amp;type=1", "金安国纪:首次公开发行股票招股说明书")</f>
        <v>金安国纪:首次公开发行股票招股说明书</v>
      </c>
      <c r="D1353" t="s">
        <v>2008</v>
      </c>
      <c r="E1353" t="s">
        <v>714</v>
      </c>
      <c r="F1353" t="s">
        <v>399</v>
      </c>
    </row>
    <row r="1354" spans="1:6" x14ac:dyDescent="0.15">
      <c r="A1354" s="1">
        <v>40862</v>
      </c>
      <c r="B1354" t="s">
        <v>233</v>
      </c>
      <c r="C1354" s="2" t="str">
        <f>HYPERLINK("http://snap.windin.com/ns/bulletin.php?id=2040801&amp;type=1", "安洁科技:首次公开发行股票招股说明书")</f>
        <v>安洁科技:首次公开发行股票招股说明书</v>
      </c>
      <c r="D1354" t="s">
        <v>2010</v>
      </c>
      <c r="E1354" t="s">
        <v>711</v>
      </c>
      <c r="F1354" t="s">
        <v>399</v>
      </c>
    </row>
    <row r="1355" spans="1:6" x14ac:dyDescent="0.15">
      <c r="A1355" s="1">
        <v>40858</v>
      </c>
      <c r="B1355" t="s">
        <v>166</v>
      </c>
      <c r="C1355" s="2" t="str">
        <f>HYPERLINK("http://snap.windin.com/ns/bulletin.php?id=1665625&amp;type=1", "鞍重股份:首发招股说明书（申报稿）")</f>
        <v>鞍重股份:首发招股说明书（申报稿）</v>
      </c>
      <c r="D1355" t="s">
        <v>7863</v>
      </c>
      <c r="E1355" t="s">
        <v>624</v>
      </c>
      <c r="F1355" t="s">
        <v>5513</v>
      </c>
    </row>
    <row r="1356" spans="1:6" x14ac:dyDescent="0.15">
      <c r="A1356" s="1">
        <v>40858</v>
      </c>
      <c r="B1356" t="s">
        <v>236</v>
      </c>
      <c r="C1356" s="2" t="str">
        <f>HYPERLINK("http://snap.windin.com/ns/bulletin.php?id=2053043&amp;type=1", "海联讯:首次公开发行股票并在创业板上市招股说明书")</f>
        <v>海联讯:首次公开发行股票并在创业板上市招股说明书</v>
      </c>
      <c r="D1356" t="s">
        <v>2019</v>
      </c>
      <c r="E1356" t="s">
        <v>717</v>
      </c>
      <c r="F1356" t="s">
        <v>455</v>
      </c>
    </row>
    <row r="1357" spans="1:6" x14ac:dyDescent="0.15">
      <c r="A1357" s="1">
        <v>40858</v>
      </c>
      <c r="B1357" t="s">
        <v>224</v>
      </c>
      <c r="C1357" s="2" t="str">
        <f>HYPERLINK("http://snap.windin.com/ns/bulletin.php?id=1893735&amp;type=1", "新华保险:首次公开发行股票招股说明书（申报稿）")</f>
        <v>新华保险:首次公开发行股票招股说明书（申报稿）</v>
      </c>
      <c r="D1357" t="s">
        <v>7864</v>
      </c>
      <c r="E1357" t="s">
        <v>698</v>
      </c>
      <c r="F1357" t="s">
        <v>5452</v>
      </c>
    </row>
    <row r="1358" spans="1:6" x14ac:dyDescent="0.15">
      <c r="A1358" s="1">
        <v>40858</v>
      </c>
      <c r="B1358" t="s">
        <v>3615</v>
      </c>
      <c r="C1358" s="2" t="str">
        <f>HYPERLINK("http://snap.windin.com/ns/bulletin.php?id=1856730&amp;type=1", "通润驱动:(首发招股说明书（申报稿)")</f>
        <v>通润驱动:(首发招股说明书（申报稿)</v>
      </c>
      <c r="D1358" t="s">
        <v>7865</v>
      </c>
      <c r="E1358" t="s">
        <v>5599</v>
      </c>
      <c r="F1358" t="s">
        <v>5600</v>
      </c>
    </row>
    <row r="1359" spans="1:6" x14ac:dyDescent="0.15">
      <c r="A1359" s="1">
        <v>40857</v>
      </c>
      <c r="B1359" t="s">
        <v>237</v>
      </c>
      <c r="C1359" s="2" t="str">
        <f>HYPERLINK("http://snap.windin.com/ns/bulletin.php?id=182784&amp;type=1", "申科股份:首次公开发行股票招股说明书")</f>
        <v>申科股份:首次公开发行股票招股说明书</v>
      </c>
      <c r="D1359" t="s">
        <v>2020</v>
      </c>
      <c r="E1359" t="s">
        <v>718</v>
      </c>
      <c r="F1359" t="s">
        <v>399</v>
      </c>
    </row>
    <row r="1360" spans="1:6" x14ac:dyDescent="0.15">
      <c r="A1360" s="1">
        <v>40857</v>
      </c>
      <c r="B1360" t="s">
        <v>3616</v>
      </c>
      <c r="C1360" s="2" t="str">
        <f>HYPERLINK("http://snap.windin.com/ns/bulletin.php?id=1885035&amp;type=1", "绿城水务:首发招股说明书（申报稿）")</f>
        <v>绿城水务:首发招股说明书（申报稿）</v>
      </c>
      <c r="D1360" t="s">
        <v>7866</v>
      </c>
      <c r="E1360" t="s">
        <v>5369</v>
      </c>
      <c r="F1360" t="s">
        <v>5513</v>
      </c>
    </row>
    <row r="1361" spans="1:6" x14ac:dyDescent="0.15">
      <c r="A1361" s="1">
        <v>40857</v>
      </c>
      <c r="B1361" t="s">
        <v>3617</v>
      </c>
      <c r="C1361" s="2" t="str">
        <f>HYPERLINK("http://snap.windin.com/ns/bulletin.php?id=736302&amp;type=1", "千禧之星:首发招股说明书（申报稿）")</f>
        <v>千禧之星:首发招股说明书（申报稿）</v>
      </c>
      <c r="D1361" t="s">
        <v>7867</v>
      </c>
      <c r="E1361" t="s">
        <v>5601</v>
      </c>
      <c r="F1361" t="s">
        <v>5513</v>
      </c>
    </row>
    <row r="1362" spans="1:6" x14ac:dyDescent="0.15">
      <c r="A1362" s="1">
        <v>40854</v>
      </c>
      <c r="B1362" t="s">
        <v>195</v>
      </c>
      <c r="C1362" s="2" t="str">
        <f>HYPERLINK("http://snap.windin.com/ns/bulletin.php?id=1701213&amp;type=1", "共达电声:首次公开发行股票招股说明书（申报稿）")</f>
        <v>共达电声:首次公开发行股票招股说明书（申报稿）</v>
      </c>
      <c r="D1362" t="s">
        <v>7868</v>
      </c>
      <c r="E1362" t="s">
        <v>663</v>
      </c>
      <c r="F1362" t="s">
        <v>5452</v>
      </c>
    </row>
    <row r="1363" spans="1:6" x14ac:dyDescent="0.15">
      <c r="A1363" s="1">
        <v>40854</v>
      </c>
      <c r="B1363" t="s">
        <v>238</v>
      </c>
      <c r="C1363" s="2" t="str">
        <f>HYPERLINK("http://snap.windin.com/ns/bulletin.php?id=1319415&amp;type=1", "道明光学:首次公开发行股票招股说明书")</f>
        <v>道明光学:首次公开发行股票招股说明书</v>
      </c>
      <c r="D1363" t="s">
        <v>2034</v>
      </c>
      <c r="E1363" t="s">
        <v>719</v>
      </c>
      <c r="F1363" t="s">
        <v>399</v>
      </c>
    </row>
    <row r="1364" spans="1:6" x14ac:dyDescent="0.15">
      <c r="A1364" s="1">
        <v>40854</v>
      </c>
      <c r="B1364" t="s">
        <v>174</v>
      </c>
      <c r="C1364" s="2" t="str">
        <f>HYPERLINK("http://snap.windin.com/ns/bulletin.php?id=494464&amp;type=1", "三诺生物:长沙三诺生物传感技术股份有限公司创业板首发招股说明书（申报稿）")</f>
        <v>三诺生物:长沙三诺生物传感技术股份有限公司创业板首发招股说明书（申报稿）</v>
      </c>
      <c r="D1364" t="s">
        <v>7869</v>
      </c>
      <c r="E1364" t="s">
        <v>636</v>
      </c>
      <c r="F1364" t="s">
        <v>5602</v>
      </c>
    </row>
    <row r="1365" spans="1:6" x14ac:dyDescent="0.15">
      <c r="A1365" s="1">
        <v>40854</v>
      </c>
      <c r="B1365" t="s">
        <v>192</v>
      </c>
      <c r="C1365" s="2" t="str">
        <f>HYPERLINK("http://snap.windin.com/ns/bulletin.php?id=1914048&amp;type=1", "卡奴迪路:首次公开发行股票招股说明书（申报稿）")</f>
        <v>卡奴迪路:首次公开发行股票招股说明书（申报稿）</v>
      </c>
      <c r="D1365" t="s">
        <v>7870</v>
      </c>
      <c r="E1365" t="s">
        <v>658</v>
      </c>
      <c r="F1365" t="s">
        <v>5452</v>
      </c>
    </row>
    <row r="1366" spans="1:6" x14ac:dyDescent="0.15">
      <c r="A1366" s="1">
        <v>40851</v>
      </c>
      <c r="B1366" t="s">
        <v>197</v>
      </c>
      <c r="C1366" s="2" t="str">
        <f>HYPERLINK("http://snap.windin.com/ns/bulletin.php?id=466539&amp;type=1", "荣科科技:创业板首发招股说明书（申报稿）")</f>
        <v>荣科科技:创业板首发招股说明书（申报稿）</v>
      </c>
      <c r="D1366" t="s">
        <v>7871</v>
      </c>
      <c r="E1366" t="s">
        <v>665</v>
      </c>
      <c r="F1366" t="s">
        <v>5450</v>
      </c>
    </row>
    <row r="1367" spans="1:6" x14ac:dyDescent="0.15">
      <c r="A1367" s="1">
        <v>40851</v>
      </c>
      <c r="B1367" t="s">
        <v>3618</v>
      </c>
      <c r="C1367" s="2" t="str">
        <f>HYPERLINK("http://snap.windin.com/ns/bulletin.php?id=663410&amp;type=1", "瑞明股份:首发招股说明书（申报稿）")</f>
        <v>瑞明股份:首发招股说明书（申报稿）</v>
      </c>
      <c r="D1367" t="s">
        <v>7872</v>
      </c>
      <c r="E1367" t="s">
        <v>5603</v>
      </c>
      <c r="F1367" t="s">
        <v>5513</v>
      </c>
    </row>
    <row r="1368" spans="1:6" x14ac:dyDescent="0.15">
      <c r="A1368" s="1">
        <v>40851</v>
      </c>
      <c r="B1368" t="s">
        <v>205</v>
      </c>
      <c r="C1368" s="2" t="str">
        <f>HYPERLINK("http://snap.windin.com/ns/bulletin.php?id=1480652&amp;type=1", "江南嘉捷:首次公开发行股票招股说明书（申报稿）")</f>
        <v>江南嘉捷:首次公开发行股票招股说明书（申报稿）</v>
      </c>
      <c r="D1368" t="s">
        <v>7873</v>
      </c>
      <c r="E1368" t="s">
        <v>677</v>
      </c>
      <c r="F1368" t="s">
        <v>5452</v>
      </c>
    </row>
    <row r="1369" spans="1:6" x14ac:dyDescent="0.15">
      <c r="A1369" s="1">
        <v>40851</v>
      </c>
      <c r="B1369" t="s">
        <v>212</v>
      </c>
      <c r="C1369" s="2" t="str">
        <f>HYPERLINK("http://snap.windin.com/ns/bulletin.php?id=1040290&amp;type=1", "博彦科技:首次公开发行股票招股说明书(申报稿)")</f>
        <v>博彦科技:首次公开发行股票招股说明书(申报稿)</v>
      </c>
      <c r="D1369" t="s">
        <v>7874</v>
      </c>
      <c r="E1369" t="s">
        <v>684</v>
      </c>
      <c r="F1369" t="s">
        <v>5466</v>
      </c>
    </row>
    <row r="1370" spans="1:6" x14ac:dyDescent="0.15">
      <c r="A1370" s="1">
        <v>40851</v>
      </c>
      <c r="B1370" t="s">
        <v>179</v>
      </c>
      <c r="C1370" s="2" t="str">
        <f>HYPERLINK("http://snap.windin.com/ns/bulletin.php?id=1041877&amp;type=1", "信质电机:首次公开发行股票招股说明书（申报稿）")</f>
        <v>信质电机:首次公开发行股票招股说明书（申报稿）</v>
      </c>
      <c r="D1370" t="s">
        <v>7875</v>
      </c>
      <c r="E1370" t="s">
        <v>642</v>
      </c>
      <c r="F1370" t="s">
        <v>5452</v>
      </c>
    </row>
    <row r="1371" spans="1:6" x14ac:dyDescent="0.15">
      <c r="A1371" s="1">
        <v>40851</v>
      </c>
      <c r="B1371" t="s">
        <v>243</v>
      </c>
      <c r="C1371" s="2" t="str">
        <f>HYPERLINK("http://snap.windin.com/ns/bulletin.php?id=1131265&amp;type=1", "玉龙股份:首次公开发行股票招股说明书")</f>
        <v>玉龙股份:首次公开发行股票招股说明书</v>
      </c>
      <c r="D1371" t="s">
        <v>2037</v>
      </c>
      <c r="E1371" t="s">
        <v>724</v>
      </c>
      <c r="F1371" t="s">
        <v>399</v>
      </c>
    </row>
    <row r="1372" spans="1:6" x14ac:dyDescent="0.15">
      <c r="A1372" s="1">
        <v>40851</v>
      </c>
      <c r="B1372" t="s">
        <v>202</v>
      </c>
      <c r="C1372" s="2" t="str">
        <f>HYPERLINK("http://snap.windin.com/ns/bulletin.php?id=774271&amp;type=1", "飞利信:创业板首发招股说明书（申报稿）")</f>
        <v>飞利信:创业板首发招股说明书（申报稿）</v>
      </c>
      <c r="D1372" t="s">
        <v>7876</v>
      </c>
      <c r="E1372" t="s">
        <v>670</v>
      </c>
      <c r="F1372" t="s">
        <v>5450</v>
      </c>
    </row>
    <row r="1373" spans="1:6" x14ac:dyDescent="0.15">
      <c r="A1373" s="1">
        <v>40850</v>
      </c>
      <c r="B1373" t="s">
        <v>240</v>
      </c>
      <c r="C1373" s="2" t="str">
        <f>HYPERLINK("http://snap.windin.com/ns/bulletin.php?id=113580&amp;type=1", "华西能源:首次公开发行股票招股说明书")</f>
        <v>华西能源:首次公开发行股票招股说明书</v>
      </c>
      <c r="D1373" t="s">
        <v>2041</v>
      </c>
      <c r="E1373" t="s">
        <v>721</v>
      </c>
      <c r="F1373" t="s">
        <v>399</v>
      </c>
    </row>
    <row r="1374" spans="1:6" x14ac:dyDescent="0.15">
      <c r="A1374" s="1">
        <v>40849</v>
      </c>
      <c r="B1374" t="s">
        <v>239</v>
      </c>
      <c r="C1374" s="2" t="str">
        <f>HYPERLINK("http://snap.windin.com/ns/bulletin.php?id=882519&amp;type=1", "三丰智能:首次公开发行股票并在创业板上市招股说明书")</f>
        <v>三丰智能:首次公开发行股票并在创业板上市招股说明书</v>
      </c>
      <c r="D1374" t="s">
        <v>2043</v>
      </c>
      <c r="E1374" t="s">
        <v>720</v>
      </c>
      <c r="F1374" t="s">
        <v>455</v>
      </c>
    </row>
    <row r="1375" spans="1:6" x14ac:dyDescent="0.15">
      <c r="A1375" s="1">
        <v>40848</v>
      </c>
      <c r="B1375" t="s">
        <v>242</v>
      </c>
      <c r="C1375" s="2" t="str">
        <f>HYPERLINK("http://snap.windin.com/ns/bulletin.php?id=1674187&amp;type=1", "德尔家居:首次公开发行股票招股说明书")</f>
        <v>德尔家居:首次公开发行股票招股说明书</v>
      </c>
      <c r="D1375" t="s">
        <v>2056</v>
      </c>
      <c r="E1375" t="s">
        <v>723</v>
      </c>
      <c r="F1375" t="s">
        <v>399</v>
      </c>
    </row>
    <row r="1376" spans="1:6" x14ac:dyDescent="0.15">
      <c r="A1376" s="1">
        <v>40847</v>
      </c>
      <c r="B1376" t="s">
        <v>74</v>
      </c>
      <c r="C1376" s="2" t="str">
        <f>HYPERLINK("http://snap.windin.com/ns/bulletin.php?id=2014017&amp;type=1", "华鹏飞:创业板首发招股说明书（申报稿）")</f>
        <v>华鹏飞:创业板首发招股说明书（申报稿）</v>
      </c>
      <c r="D1376" t="s">
        <v>7877</v>
      </c>
      <c r="E1376" t="s">
        <v>504</v>
      </c>
      <c r="F1376" t="s">
        <v>5450</v>
      </c>
    </row>
    <row r="1377" spans="1:6" x14ac:dyDescent="0.15">
      <c r="A1377" s="1">
        <v>40844</v>
      </c>
      <c r="B1377" t="s">
        <v>3619</v>
      </c>
      <c r="C1377" s="2" t="str">
        <f>HYPERLINK("http://snap.windin.com/ns/bulletin.php?id=1990845&amp;type=1", "淑女屋:首次公开发行股票招股说明书（申报稿）")</f>
        <v>淑女屋:首次公开发行股票招股说明书（申报稿）</v>
      </c>
      <c r="D1377" t="s">
        <v>7878</v>
      </c>
      <c r="E1377" t="s">
        <v>5604</v>
      </c>
      <c r="F1377" t="s">
        <v>5452</v>
      </c>
    </row>
    <row r="1378" spans="1:6" x14ac:dyDescent="0.15">
      <c r="A1378" s="1">
        <v>40844</v>
      </c>
      <c r="B1378" t="s">
        <v>241</v>
      </c>
      <c r="C1378" s="2" t="str">
        <f>HYPERLINK("http://snap.windin.com/ns/bulletin.php?id=102328&amp;type=1", "八菱科技:首次公开发行股票招股说明书")</f>
        <v>八菱科技:首次公开发行股票招股说明书</v>
      </c>
      <c r="D1378" t="s">
        <v>2060</v>
      </c>
      <c r="E1378" t="s">
        <v>722</v>
      </c>
      <c r="F1378" t="s">
        <v>399</v>
      </c>
    </row>
    <row r="1379" spans="1:6" x14ac:dyDescent="0.15">
      <c r="A1379" s="1">
        <v>40844</v>
      </c>
      <c r="B1379" t="s">
        <v>210</v>
      </c>
      <c r="C1379" s="2" t="str">
        <f>HYPERLINK("http://snap.windin.com/ns/bulletin.php?id=1361648&amp;type=1", "利君股份:首次公开发行股票招股说明书（申报稿）")</f>
        <v>利君股份:首次公开发行股票招股说明书（申报稿）</v>
      </c>
      <c r="D1379" t="s">
        <v>7879</v>
      </c>
      <c r="E1379" t="s">
        <v>682</v>
      </c>
      <c r="F1379" t="s">
        <v>5452</v>
      </c>
    </row>
    <row r="1380" spans="1:6" x14ac:dyDescent="0.15">
      <c r="A1380" s="1">
        <v>40844</v>
      </c>
      <c r="B1380" t="s">
        <v>3620</v>
      </c>
      <c r="C1380" s="2" t="str">
        <f>HYPERLINK("http://snap.windin.com/ns/bulletin.php?id=2097530&amp;type=1", "广信农化:首次公开发行股票招股说明书（申报稿）")</f>
        <v>广信农化:首次公开发行股票招股说明书（申报稿）</v>
      </c>
      <c r="D1380" t="s">
        <v>7880</v>
      </c>
      <c r="E1380" t="s">
        <v>5279</v>
      </c>
      <c r="F1380" t="s">
        <v>5452</v>
      </c>
    </row>
    <row r="1381" spans="1:6" x14ac:dyDescent="0.15">
      <c r="A1381" s="1">
        <v>40844</v>
      </c>
      <c r="B1381" t="s">
        <v>3621</v>
      </c>
      <c r="C1381" s="2" t="str">
        <f>HYPERLINK("http://snap.windin.com/ns/bulletin.php?id=1485555&amp;type=1", "蔚林股份:首次公开发行股票招股说明书（申报稿）")</f>
        <v>蔚林股份:首次公开发行股票招股说明书（申报稿）</v>
      </c>
      <c r="D1381" t="s">
        <v>7881</v>
      </c>
      <c r="E1381" t="s">
        <v>5605</v>
      </c>
      <c r="F1381" t="s">
        <v>5452</v>
      </c>
    </row>
    <row r="1382" spans="1:6" x14ac:dyDescent="0.15">
      <c r="A1382" s="1">
        <v>40844</v>
      </c>
      <c r="B1382" t="s">
        <v>120</v>
      </c>
      <c r="C1382" s="2" t="str">
        <f>HYPERLINK("http://snap.windin.com/ns/bulletin.php?id=1080508&amp;type=1", "旋极信息:创业板首发招股说明书（申报稿）")</f>
        <v>旋极信息:创业板首发招股说明书（申报稿）</v>
      </c>
      <c r="D1382" t="s">
        <v>7882</v>
      </c>
      <c r="E1382" t="s">
        <v>563</v>
      </c>
      <c r="F1382" t="s">
        <v>5450</v>
      </c>
    </row>
    <row r="1383" spans="1:6" x14ac:dyDescent="0.15">
      <c r="A1383" s="1">
        <v>40843</v>
      </c>
      <c r="B1383" t="s">
        <v>251</v>
      </c>
      <c r="C1383" s="2" t="str">
        <f>HYPERLINK("http://snap.windin.com/ns/bulletin.php?id=1730445&amp;type=1", "恒立油缸:首次公开发行股票招股说明书")</f>
        <v>恒立油缸:首次公开发行股票招股说明书</v>
      </c>
      <c r="D1383" t="s">
        <v>2063</v>
      </c>
      <c r="E1383" t="s">
        <v>732</v>
      </c>
      <c r="F1383" t="s">
        <v>399</v>
      </c>
    </row>
    <row r="1384" spans="1:6" x14ac:dyDescent="0.15">
      <c r="A1384" s="1">
        <v>40843</v>
      </c>
      <c r="B1384" t="s">
        <v>159</v>
      </c>
      <c r="C1384" s="2" t="str">
        <f>HYPERLINK("http://snap.windin.com/ns/bulletin.php?id=663552&amp;type=1", "奥马电器:首发招股说明书（申报稿）")</f>
        <v>奥马电器:首发招股说明书（申报稿）</v>
      </c>
      <c r="D1384" t="s">
        <v>7883</v>
      </c>
      <c r="E1384" t="s">
        <v>614</v>
      </c>
      <c r="F1384" t="s">
        <v>5513</v>
      </c>
    </row>
    <row r="1385" spans="1:6" x14ac:dyDescent="0.15">
      <c r="A1385" s="1">
        <v>40843</v>
      </c>
      <c r="B1385" t="s">
        <v>221</v>
      </c>
      <c r="C1385" s="2" t="str">
        <f>HYPERLINK("http://snap.windin.com/ns/bulletin.php?id=1495574&amp;type=1", "荣之联:首发招股说明书（申报稿）")</f>
        <v>荣之联:首发招股说明书（申报稿）</v>
      </c>
      <c r="D1385" t="s">
        <v>7884</v>
      </c>
      <c r="E1385" t="s">
        <v>695</v>
      </c>
      <c r="F1385" t="s">
        <v>5513</v>
      </c>
    </row>
    <row r="1386" spans="1:6" x14ac:dyDescent="0.15">
      <c r="A1386" s="1">
        <v>40841</v>
      </c>
      <c r="B1386" t="s">
        <v>247</v>
      </c>
      <c r="C1386" s="2" t="str">
        <f>HYPERLINK("http://snap.windin.com/ns/bulletin.php?id=1266951&amp;type=1", "仁智油服:首次公开发行股票招股说明书")</f>
        <v>仁智油服:首次公开发行股票招股说明书</v>
      </c>
      <c r="D1386" t="s">
        <v>2076</v>
      </c>
      <c r="E1386" t="s">
        <v>728</v>
      </c>
      <c r="F1386" t="s">
        <v>399</v>
      </c>
    </row>
    <row r="1387" spans="1:6" x14ac:dyDescent="0.15">
      <c r="A1387" s="1">
        <v>40841</v>
      </c>
      <c r="B1387" t="s">
        <v>245</v>
      </c>
      <c r="C1387" s="2" t="str">
        <f>HYPERLINK("http://snap.windin.com/ns/bulletin.php?id=1118441&amp;type=1", "龙生股份:首次公开发行股票招股说明书")</f>
        <v>龙生股份:首次公开发行股票招股说明书</v>
      </c>
      <c r="D1387" t="s">
        <v>2078</v>
      </c>
      <c r="E1387" t="s">
        <v>726</v>
      </c>
      <c r="F1387" t="s">
        <v>399</v>
      </c>
    </row>
    <row r="1388" spans="1:6" x14ac:dyDescent="0.15">
      <c r="A1388" s="1">
        <v>40840</v>
      </c>
      <c r="B1388" t="s">
        <v>199</v>
      </c>
      <c r="C1388" s="2" t="str">
        <f>HYPERLINK("http://snap.windin.com/ns/bulletin.php?id=1880505&amp;type=1", "朗玛信息:创业板首发招股说明书（申报稿）")</f>
        <v>朗玛信息:创业板首发招股说明书（申报稿）</v>
      </c>
      <c r="D1388" t="s">
        <v>7885</v>
      </c>
      <c r="E1388" t="s">
        <v>667</v>
      </c>
      <c r="F1388" t="s">
        <v>5450</v>
      </c>
    </row>
    <row r="1389" spans="1:6" x14ac:dyDescent="0.15">
      <c r="A1389" s="1">
        <v>40840</v>
      </c>
      <c r="B1389" t="s">
        <v>248</v>
      </c>
      <c r="C1389" s="2" t="str">
        <f>HYPERLINK("http://snap.windin.com/ns/bulletin.php?id=594954&amp;type=1", "梅安森:首次发行股票并在创业板上市招股说明书")</f>
        <v>梅安森:首次发行股票并在创业板上市招股说明书</v>
      </c>
      <c r="D1389" t="s">
        <v>2080</v>
      </c>
      <c r="E1389" t="s">
        <v>729</v>
      </c>
      <c r="F1389" t="s">
        <v>737</v>
      </c>
    </row>
    <row r="1390" spans="1:6" x14ac:dyDescent="0.15">
      <c r="A1390" s="1">
        <v>40840</v>
      </c>
      <c r="B1390" t="s">
        <v>244</v>
      </c>
      <c r="C1390" s="2" t="str">
        <f>HYPERLINK("http://snap.windin.com/ns/bulletin.php?id=944233&amp;type=1", "成都路桥:首次公开发行股票招股说明书")</f>
        <v>成都路桥:首次公开发行股票招股说明书</v>
      </c>
      <c r="D1390" t="s">
        <v>2081</v>
      </c>
      <c r="E1390" t="s">
        <v>725</v>
      </c>
      <c r="F1390" t="s">
        <v>399</v>
      </c>
    </row>
    <row r="1391" spans="1:6" x14ac:dyDescent="0.15">
      <c r="A1391" s="1">
        <v>40837</v>
      </c>
      <c r="B1391" t="s">
        <v>181</v>
      </c>
      <c r="C1391" s="2" t="str">
        <f>HYPERLINK("http://snap.windin.com/ns/bulletin.php?id=178085&amp;type=1", "三六五网:创业板首发招股说明书（申报稿）")</f>
        <v>三六五网:创业板首发招股说明书（申报稿）</v>
      </c>
      <c r="D1391" t="s">
        <v>7886</v>
      </c>
      <c r="E1391" t="s">
        <v>644</v>
      </c>
      <c r="F1391" t="s">
        <v>5450</v>
      </c>
    </row>
    <row r="1392" spans="1:6" x14ac:dyDescent="0.15">
      <c r="A1392" s="1">
        <v>40837</v>
      </c>
      <c r="B1392" t="s">
        <v>234</v>
      </c>
      <c r="C1392" s="2" t="str">
        <f>HYPERLINK("http://snap.windin.com/ns/bulletin.php?id=538040&amp;type=1", "勤上光电:首发招股说明书（申报稿）")</f>
        <v>勤上光电:首发招股说明书（申报稿）</v>
      </c>
      <c r="D1392" t="s">
        <v>7887</v>
      </c>
      <c r="E1392" t="s">
        <v>712</v>
      </c>
      <c r="F1392" t="s">
        <v>5513</v>
      </c>
    </row>
    <row r="1393" spans="1:6" x14ac:dyDescent="0.15">
      <c r="A1393" s="1">
        <v>40837</v>
      </c>
      <c r="B1393" t="s">
        <v>218</v>
      </c>
      <c r="C1393" s="2" t="str">
        <f>HYPERLINK("http://snap.windin.com/ns/bulletin.php?id=1443649&amp;type=1", "宏磊股份:首次公开发行股票招股说明书（申报稿）")</f>
        <v>宏磊股份:首次公开发行股票招股说明书（申报稿）</v>
      </c>
      <c r="D1393" t="s">
        <v>7888</v>
      </c>
      <c r="E1393" t="s">
        <v>690</v>
      </c>
      <c r="F1393" t="s">
        <v>5452</v>
      </c>
    </row>
    <row r="1394" spans="1:6" x14ac:dyDescent="0.15">
      <c r="A1394" s="1">
        <v>40837</v>
      </c>
      <c r="B1394" t="s">
        <v>206</v>
      </c>
      <c r="C1394" s="2" t="str">
        <f>HYPERLINK("http://snap.windin.com/ns/bulletin.php?id=1539591&amp;type=1", "安科瑞:创业板首发招股说明书（申报稿）")</f>
        <v>安科瑞:创业板首发招股说明书（申报稿）</v>
      </c>
      <c r="D1394" t="s">
        <v>7889</v>
      </c>
      <c r="E1394" t="s">
        <v>678</v>
      </c>
      <c r="F1394" t="s">
        <v>5450</v>
      </c>
    </row>
    <row r="1395" spans="1:6" x14ac:dyDescent="0.15">
      <c r="A1395" s="1">
        <v>40837</v>
      </c>
      <c r="B1395" t="s">
        <v>250</v>
      </c>
      <c r="C1395" s="2" t="str">
        <f>HYPERLINK("http://snap.windin.com/ns/bulletin.php?id=904119&amp;type=1", "阳光电源:首次公开发行股票并在创业板上市招股说明书")</f>
        <v>阳光电源:首次公开发行股票并在创业板上市招股说明书</v>
      </c>
      <c r="D1395" t="s">
        <v>2083</v>
      </c>
      <c r="E1395" t="s">
        <v>731</v>
      </c>
      <c r="F1395" t="s">
        <v>455</v>
      </c>
    </row>
    <row r="1396" spans="1:6" x14ac:dyDescent="0.15">
      <c r="A1396" s="1">
        <v>40836</v>
      </c>
      <c r="B1396" t="s">
        <v>246</v>
      </c>
      <c r="C1396" s="2" t="str">
        <f>HYPERLINK("http://snap.windin.com/ns/bulletin.php?id=1784557&amp;type=1", "宜昌交运:首次公开发行股票招股说明书")</f>
        <v>宜昌交运:首次公开发行股票招股说明书</v>
      </c>
      <c r="D1396" t="s">
        <v>2087</v>
      </c>
      <c r="E1396" t="s">
        <v>727</v>
      </c>
      <c r="F1396" t="s">
        <v>399</v>
      </c>
    </row>
    <row r="1397" spans="1:6" x14ac:dyDescent="0.15">
      <c r="A1397" s="1">
        <v>40836</v>
      </c>
      <c r="B1397" t="s">
        <v>249</v>
      </c>
      <c r="C1397" s="2" t="str">
        <f>HYPERLINK("http://snap.windin.com/ns/bulletin.php?id=1317906&amp;type=1", "开能环保:首次公开发行股票并在创业板上市招股说明书")</f>
        <v>开能环保:首次公开发行股票并在创业板上市招股说明书</v>
      </c>
      <c r="D1397" t="s">
        <v>2086</v>
      </c>
      <c r="E1397" t="s">
        <v>730</v>
      </c>
      <c r="F1397" t="s">
        <v>455</v>
      </c>
    </row>
    <row r="1398" spans="1:6" x14ac:dyDescent="0.15">
      <c r="A1398" s="1">
        <v>40836</v>
      </c>
      <c r="B1398" t="s">
        <v>3622</v>
      </c>
      <c r="C1398" s="2" t="str">
        <f>HYPERLINK("http://snap.windin.com/ns/bulletin.php?id=1382365&amp;type=1", "诺奇股份:首次公开发行股票招股说明书（申报稿）")</f>
        <v>诺奇股份:首次公开发行股票招股说明书（申报稿）</v>
      </c>
      <c r="D1398" t="s">
        <v>7890</v>
      </c>
      <c r="E1398" t="s">
        <v>5606</v>
      </c>
      <c r="F1398" t="s">
        <v>5452</v>
      </c>
    </row>
    <row r="1399" spans="1:6" x14ac:dyDescent="0.15">
      <c r="A1399" s="1">
        <v>40836</v>
      </c>
      <c r="B1399" t="s">
        <v>231</v>
      </c>
      <c r="C1399" s="2" t="str">
        <f>HYPERLINK("http://snap.windin.com/ns/bulletin.php?id=2051102&amp;type=1", "凤凰传媒:首次公开发行股票招股说明书（申报稿）")</f>
        <v>凤凰传媒:首次公开发行股票招股说明书（申报稿）</v>
      </c>
      <c r="D1399" t="s">
        <v>7891</v>
      </c>
      <c r="E1399" t="s">
        <v>709</v>
      </c>
      <c r="F1399" t="s">
        <v>5452</v>
      </c>
    </row>
    <row r="1400" spans="1:6" x14ac:dyDescent="0.15">
      <c r="A1400" s="1">
        <v>40836</v>
      </c>
      <c r="B1400" t="s">
        <v>220</v>
      </c>
      <c r="C1400" s="2" t="str">
        <f>HYPERLINK("http://snap.windin.com/ns/bulletin.php?id=739326&amp;type=1", "佛慈制药:首次公开发行股票招股说明书(申报稿)")</f>
        <v>佛慈制药:首次公开发行股票招股说明书(申报稿)</v>
      </c>
      <c r="D1400" t="s">
        <v>7892</v>
      </c>
      <c r="E1400" t="s">
        <v>693</v>
      </c>
      <c r="F1400" t="s">
        <v>5466</v>
      </c>
    </row>
    <row r="1401" spans="1:6" x14ac:dyDescent="0.15">
      <c r="A1401" s="1">
        <v>40836</v>
      </c>
      <c r="B1401" t="s">
        <v>147</v>
      </c>
      <c r="C1401" s="2" t="str">
        <f>HYPERLINK("http://snap.windin.com/ns/bulletin.php?id=1046986&amp;type=1", "西部证券:首次公开发行股票招股说明书（申报稿）")</f>
        <v>西部证券:首次公开发行股票招股说明书（申报稿）</v>
      </c>
      <c r="D1401" t="s">
        <v>7893</v>
      </c>
      <c r="E1401" t="s">
        <v>595</v>
      </c>
      <c r="F1401" t="s">
        <v>5452</v>
      </c>
    </row>
    <row r="1402" spans="1:6" x14ac:dyDescent="0.15">
      <c r="A1402" s="1">
        <v>40834</v>
      </c>
      <c r="B1402" t="s">
        <v>253</v>
      </c>
      <c r="C1402" s="2" t="str">
        <f>HYPERLINK("http://snap.windin.com/ns/bulletin.php?id=1666187&amp;type=1", "金达威:首次公开发行股票招股说明书")</f>
        <v>金达威:首次公开发行股票招股说明书</v>
      </c>
      <c r="D1402" t="s">
        <v>2096</v>
      </c>
      <c r="E1402" t="s">
        <v>734</v>
      </c>
      <c r="F1402" t="s">
        <v>399</v>
      </c>
    </row>
    <row r="1403" spans="1:6" x14ac:dyDescent="0.15">
      <c r="A1403" s="1">
        <v>40833</v>
      </c>
      <c r="B1403" t="s">
        <v>257</v>
      </c>
      <c r="C1403" s="2" t="str">
        <f>HYPERLINK("http://snap.windin.com/ns/bulletin.php?id=501775&amp;type=1", "中国水电:首次公开发行A股股票招股说明书")</f>
        <v>中国水电:首次公开发行A股股票招股说明书</v>
      </c>
      <c r="D1403" t="s">
        <v>2103</v>
      </c>
      <c r="E1403" t="s">
        <v>739</v>
      </c>
      <c r="F1403" t="s">
        <v>462</v>
      </c>
    </row>
    <row r="1404" spans="1:6" x14ac:dyDescent="0.15">
      <c r="A1404" s="1">
        <v>40833</v>
      </c>
      <c r="B1404" t="s">
        <v>213</v>
      </c>
      <c r="C1404" s="2" t="str">
        <f>HYPERLINK("http://snap.windin.com/ns/bulletin.php?id=869906&amp;type=1", "金明精机:创业板首发招股说明书（申报稿）")</f>
        <v>金明精机:创业板首发招股说明书（申报稿）</v>
      </c>
      <c r="D1404" t="s">
        <v>7894</v>
      </c>
      <c r="E1404" t="s">
        <v>685</v>
      </c>
      <c r="F1404" t="s">
        <v>5450</v>
      </c>
    </row>
    <row r="1405" spans="1:6" x14ac:dyDescent="0.15">
      <c r="A1405" s="1">
        <v>40833</v>
      </c>
      <c r="B1405" t="s">
        <v>207</v>
      </c>
      <c r="C1405" s="2" t="str">
        <f>HYPERLINK("http://snap.windin.com/ns/bulletin.php?id=892901&amp;type=1", "国瓷材料:创业板首发招股说明书（申报稿）")</f>
        <v>国瓷材料:创业板首发招股说明书（申报稿）</v>
      </c>
      <c r="D1405" t="s">
        <v>7895</v>
      </c>
      <c r="E1405" t="s">
        <v>679</v>
      </c>
      <c r="F1405" t="s">
        <v>5450</v>
      </c>
    </row>
    <row r="1406" spans="1:6" x14ac:dyDescent="0.15">
      <c r="A1406" s="1">
        <v>40833</v>
      </c>
      <c r="B1406" t="s">
        <v>255</v>
      </c>
      <c r="C1406" s="2" t="str">
        <f>HYPERLINK("http://snap.windin.com/ns/bulletin.php?id=906995&amp;type=1", "和佳股份:首次公开发行股票并在创业板上市招股说明书")</f>
        <v>和佳股份:首次公开发行股票并在创业板上市招股说明书</v>
      </c>
      <c r="D1406" t="s">
        <v>2104</v>
      </c>
      <c r="E1406" t="s">
        <v>736</v>
      </c>
      <c r="F1406" t="s">
        <v>455</v>
      </c>
    </row>
    <row r="1407" spans="1:6" x14ac:dyDescent="0.15">
      <c r="A1407" s="1">
        <v>40830</v>
      </c>
      <c r="B1407" t="s">
        <v>252</v>
      </c>
      <c r="C1407" s="2" t="str">
        <f>HYPERLINK("http://snap.windin.com/ns/bulletin.php?id=86890&amp;type=1", "金磊股份:首次公开发行股票并上市招股说明书")</f>
        <v>金磊股份:首次公开发行股票并上市招股说明书</v>
      </c>
      <c r="D1407" t="s">
        <v>2111</v>
      </c>
      <c r="E1407" t="s">
        <v>733</v>
      </c>
      <c r="F1407" t="s">
        <v>469</v>
      </c>
    </row>
    <row r="1408" spans="1:6" x14ac:dyDescent="0.15">
      <c r="A1408" s="1">
        <v>40830</v>
      </c>
      <c r="B1408" t="s">
        <v>222</v>
      </c>
      <c r="C1408" s="2" t="str">
        <f>HYPERLINK("http://snap.windin.com/ns/bulletin.php?id=1164081&amp;type=1", "华宏科技:首次公开发行股票招股说明书（申报稿）")</f>
        <v>华宏科技:首次公开发行股票招股说明书（申报稿）</v>
      </c>
      <c r="D1408" t="s">
        <v>7896</v>
      </c>
      <c r="E1408" t="s">
        <v>696</v>
      </c>
      <c r="F1408" t="s">
        <v>5452</v>
      </c>
    </row>
    <row r="1409" spans="1:6" x14ac:dyDescent="0.15">
      <c r="A1409" s="1">
        <v>40830</v>
      </c>
      <c r="B1409" t="s">
        <v>219</v>
      </c>
      <c r="C1409" s="2" t="str">
        <f>HYPERLINK("http://snap.windin.com/ns/bulletin.php?id=505387&amp;type=1", "青青稞酒:首次公开发行股票招股说明书（申报稿）")</f>
        <v>青青稞酒:首次公开发行股票招股说明书（申报稿）</v>
      </c>
      <c r="D1409" t="s">
        <v>7897</v>
      </c>
      <c r="E1409" t="s">
        <v>692</v>
      </c>
      <c r="F1409" t="s">
        <v>5452</v>
      </c>
    </row>
    <row r="1410" spans="1:6" x14ac:dyDescent="0.15">
      <c r="A1410" s="1">
        <v>40830</v>
      </c>
      <c r="B1410" t="s">
        <v>230</v>
      </c>
      <c r="C1410" s="2" t="str">
        <f>HYPERLINK("http://snap.windin.com/ns/bulletin.php?id=905597&amp;type=1", "雪人股份:首次公开发行股票招股说明书（申报稿）")</f>
        <v>雪人股份:首次公开发行股票招股说明书（申报稿）</v>
      </c>
      <c r="D1410" t="s">
        <v>7898</v>
      </c>
      <c r="E1410" t="s">
        <v>707</v>
      </c>
      <c r="F1410" t="s">
        <v>5452</v>
      </c>
    </row>
    <row r="1411" spans="1:6" x14ac:dyDescent="0.15">
      <c r="A1411" s="1">
        <v>40829</v>
      </c>
      <c r="B1411" t="s">
        <v>216</v>
      </c>
      <c r="C1411" s="2" t="str">
        <f>HYPERLINK("http://snap.windin.com/ns/bulletin.php?id=145319&amp;type=1", "和晶科技:创业板首发招股说明书（申报稿）")</f>
        <v>和晶科技:创业板首发招股说明书（申报稿）</v>
      </c>
      <c r="D1411" t="s">
        <v>7899</v>
      </c>
      <c r="E1411" t="s">
        <v>688</v>
      </c>
      <c r="F1411" t="s">
        <v>5450</v>
      </c>
    </row>
    <row r="1412" spans="1:6" x14ac:dyDescent="0.15">
      <c r="A1412" s="1">
        <v>40829</v>
      </c>
      <c r="B1412" t="s">
        <v>241</v>
      </c>
      <c r="C1412" s="2" t="str">
        <f>HYPERLINK("http://snap.windin.com/ns/bulletin.php?id=973429&amp;type=1", "八菱科技:首次公开发行股票招股说明书（申报稿）")</f>
        <v>八菱科技:首次公开发行股票招股说明书（申报稿）</v>
      </c>
      <c r="D1412" t="s">
        <v>7900</v>
      </c>
      <c r="E1412" t="s">
        <v>722</v>
      </c>
      <c r="F1412" t="s">
        <v>5452</v>
      </c>
    </row>
    <row r="1413" spans="1:6" x14ac:dyDescent="0.15">
      <c r="A1413" s="1">
        <v>40826</v>
      </c>
      <c r="B1413" t="s">
        <v>3623</v>
      </c>
      <c r="C1413" s="2" t="str">
        <f>HYPERLINK("http://snap.windin.com/ns/bulletin.php?id=1205401&amp;type=1", "京客隆:招股说明书（申报稿）")</f>
        <v>京客隆:招股说明书（申报稿）</v>
      </c>
      <c r="D1413" t="s">
        <v>7901</v>
      </c>
      <c r="E1413" t="s">
        <v>5607</v>
      </c>
      <c r="F1413" t="s">
        <v>5488</v>
      </c>
    </row>
    <row r="1414" spans="1:6" x14ac:dyDescent="0.15">
      <c r="A1414" s="1">
        <v>40826</v>
      </c>
      <c r="B1414" t="s">
        <v>3624</v>
      </c>
      <c r="C1414" s="2" t="str">
        <f>HYPERLINK("http://snap.windin.com/ns/bulletin.php?id=2048324&amp;type=1", "武桥股份:创业板首发招股说明书（申报稿）")</f>
        <v>武桥股份:创业板首发招股说明书（申报稿）</v>
      </c>
      <c r="D1414" t="s">
        <v>7902</v>
      </c>
      <c r="E1414" t="s">
        <v>5608</v>
      </c>
      <c r="F1414" t="s">
        <v>5450</v>
      </c>
    </row>
    <row r="1415" spans="1:6" x14ac:dyDescent="0.15">
      <c r="A1415" s="1">
        <v>40824</v>
      </c>
      <c r="B1415" t="s">
        <v>3625</v>
      </c>
      <c r="C1415" s="2" t="str">
        <f>HYPERLINK("http://snap.windin.com/ns/bulletin.php?id=190341&amp;type=1", "招金励福:首次公开发行股票招股说明书（申报稿）")</f>
        <v>招金励福:首次公开发行股票招股说明书（申报稿）</v>
      </c>
      <c r="D1415" t="s">
        <v>7903</v>
      </c>
      <c r="E1415" t="s">
        <v>5609</v>
      </c>
      <c r="F1415" t="s">
        <v>5452</v>
      </c>
    </row>
    <row r="1416" spans="1:6" x14ac:dyDescent="0.15">
      <c r="A1416" s="1">
        <v>40824</v>
      </c>
      <c r="B1416" t="s">
        <v>3626</v>
      </c>
      <c r="C1416" s="2" t="str">
        <f>HYPERLINK("http://snap.windin.com/ns/bulletin.php?id=743476&amp;type=1", "红旗民爆:首次公开发行股票招股说明书（申报稿）")</f>
        <v>红旗民爆:首次公开发行股票招股说明书（申报稿）</v>
      </c>
      <c r="D1416" t="s">
        <v>7904</v>
      </c>
      <c r="E1416" t="s">
        <v>5610</v>
      </c>
      <c r="F1416" t="s">
        <v>5452</v>
      </c>
    </row>
    <row r="1417" spans="1:6" x14ac:dyDescent="0.15">
      <c r="A1417" s="1">
        <v>40824</v>
      </c>
      <c r="B1417" t="s">
        <v>217</v>
      </c>
      <c r="C1417" s="2" t="str">
        <f>HYPERLINK("http://snap.windin.com/ns/bulletin.php?id=1065021&amp;type=1", "卫星石化:首次公开发行股票招股说明书（申报稿）")</f>
        <v>卫星石化:首次公开发行股票招股说明书（申报稿）</v>
      </c>
      <c r="D1417" t="s">
        <v>7905</v>
      </c>
      <c r="E1417" t="s">
        <v>689</v>
      </c>
      <c r="F1417" t="s">
        <v>5452</v>
      </c>
    </row>
    <row r="1418" spans="1:6" x14ac:dyDescent="0.15">
      <c r="A1418" s="1">
        <v>40824</v>
      </c>
      <c r="B1418" t="s">
        <v>238</v>
      </c>
      <c r="C1418" s="2" t="str">
        <f>HYPERLINK("http://snap.windin.com/ns/bulletin.php?id=964186&amp;type=1", "道明光学:首次公开发行股票招股说明书（申报稿）")</f>
        <v>道明光学:首次公开发行股票招股说明书（申报稿）</v>
      </c>
      <c r="D1418" t="s">
        <v>7906</v>
      </c>
      <c r="E1418" t="s">
        <v>719</v>
      </c>
      <c r="F1418" t="s">
        <v>5452</v>
      </c>
    </row>
    <row r="1419" spans="1:6" x14ac:dyDescent="0.15">
      <c r="A1419" s="1">
        <v>40816</v>
      </c>
      <c r="B1419" t="s">
        <v>254</v>
      </c>
      <c r="C1419" s="2" t="str">
        <f>HYPERLINK("http://snap.windin.com/ns/bulletin.php?id=1701486&amp;type=1", "紫光华宇:首次公开发行股票并在创业板上市招股说明书")</f>
        <v>紫光华宇:首次公开发行股票并在创业板上市招股说明书</v>
      </c>
      <c r="D1419" t="s">
        <v>2136</v>
      </c>
      <c r="E1419" t="s">
        <v>735</v>
      </c>
      <c r="F1419" t="s">
        <v>455</v>
      </c>
    </row>
    <row r="1420" spans="1:6" x14ac:dyDescent="0.15">
      <c r="A1420" s="1">
        <v>40816</v>
      </c>
      <c r="B1420" t="s">
        <v>254</v>
      </c>
      <c r="C1420" s="2" t="str">
        <f>HYPERLINK("http://snap.windin.com/ns/bulletin.php?id=1609465&amp;type=1", "紫光华宇:首次公开发行股票并在创业板上市招股说明书（更新后）")</f>
        <v>紫光华宇:首次公开发行股票并在创业板上市招股说明书（更新后）</v>
      </c>
      <c r="D1420" t="s">
        <v>2137</v>
      </c>
      <c r="E1420" t="s">
        <v>735</v>
      </c>
      <c r="F1420" t="s">
        <v>626</v>
      </c>
    </row>
    <row r="1421" spans="1:6" x14ac:dyDescent="0.15">
      <c r="A1421" s="1">
        <v>40816</v>
      </c>
      <c r="B1421" t="s">
        <v>254</v>
      </c>
      <c r="C1421" s="2" t="str">
        <f>HYPERLINK("http://snap.windin.com/ns/bulletin.php?id=2033528&amp;type=1", "紫光华宇:关于《北京紫光华宇软件股份有限公司首次公开发行股票并在创业板上市招股说明书》的更正公告")</f>
        <v>紫光华宇:关于《北京紫光华宇软件股份有限公司首次公开发行股票并在创业板上市招股说明书》的更正公告</v>
      </c>
      <c r="D1421" t="s">
        <v>2135</v>
      </c>
      <c r="E1421" t="s">
        <v>735</v>
      </c>
      <c r="F1421" t="s">
        <v>746</v>
      </c>
    </row>
    <row r="1422" spans="1:6" x14ac:dyDescent="0.15">
      <c r="A1422" s="1">
        <v>40816</v>
      </c>
      <c r="B1422" t="s">
        <v>258</v>
      </c>
      <c r="C1422" s="2" t="str">
        <f>HYPERLINK("http://snap.windin.com/ns/bulletin.php?id=1022362&amp;type=1", "永大集团:首次公开发行股票招股说明书")</f>
        <v>永大集团:首次公开发行股票招股说明书</v>
      </c>
      <c r="D1422" t="s">
        <v>2138</v>
      </c>
      <c r="E1422" t="s">
        <v>740</v>
      </c>
      <c r="F1422" t="s">
        <v>399</v>
      </c>
    </row>
    <row r="1423" spans="1:6" x14ac:dyDescent="0.15">
      <c r="A1423" s="1">
        <v>40814</v>
      </c>
      <c r="B1423" t="s">
        <v>263</v>
      </c>
      <c r="C1423" s="2" t="str">
        <f>HYPERLINK("http://snap.windin.com/ns/bulletin.php?id=811762&amp;type=1", "丰林集团:首次公开发行股票招股说明书")</f>
        <v>丰林集团:首次公开发行股票招股说明书</v>
      </c>
      <c r="D1423" t="s">
        <v>2141</v>
      </c>
      <c r="E1423" t="s">
        <v>748</v>
      </c>
      <c r="F1423" t="s">
        <v>399</v>
      </c>
    </row>
    <row r="1424" spans="1:6" x14ac:dyDescent="0.15">
      <c r="A1424" s="1">
        <v>40813</v>
      </c>
      <c r="B1424" t="s">
        <v>266</v>
      </c>
      <c r="C1424" s="2" t="str">
        <f>HYPERLINK("http://snap.windin.com/ns/bulletin.php?id=128630&amp;type=1", "长城汽车:首次公开发行A股股票招股说明书")</f>
        <v>长城汽车:首次公开发行A股股票招股说明书</v>
      </c>
      <c r="D1424" t="s">
        <v>2150</v>
      </c>
      <c r="E1424" t="s">
        <v>751</v>
      </c>
      <c r="F1424" t="s">
        <v>462</v>
      </c>
    </row>
    <row r="1425" spans="1:6" x14ac:dyDescent="0.15">
      <c r="A1425" s="1">
        <v>40812</v>
      </c>
      <c r="B1425" t="s">
        <v>259</v>
      </c>
      <c r="C1425" s="2" t="str">
        <f>HYPERLINK("http://snap.windin.com/ns/bulletin.php?id=1744752&amp;type=1", "中威电子:首次公开发行股票并在创业板上市招股说明书")</f>
        <v>中威电子:首次公开发行股票并在创业板上市招股说明书</v>
      </c>
      <c r="D1425" t="s">
        <v>2151</v>
      </c>
      <c r="E1425" t="s">
        <v>741</v>
      </c>
      <c r="F1425" t="s">
        <v>455</v>
      </c>
    </row>
    <row r="1426" spans="1:6" x14ac:dyDescent="0.15">
      <c r="A1426" s="1">
        <v>40812</v>
      </c>
      <c r="B1426" t="s">
        <v>261</v>
      </c>
      <c r="C1426" s="2" t="str">
        <f>HYPERLINK("http://snap.windin.com/ns/bulletin.php?id=170224&amp;type=1", "联建光电:首次公开发行股票并在创业板上市招股说明书")</f>
        <v>联建光电:首次公开发行股票并在创业板上市招股说明书</v>
      </c>
      <c r="D1426" t="s">
        <v>2152</v>
      </c>
      <c r="E1426" t="s">
        <v>745</v>
      </c>
      <c r="F1426" t="s">
        <v>455</v>
      </c>
    </row>
    <row r="1427" spans="1:6" x14ac:dyDescent="0.15">
      <c r="A1427" s="1">
        <v>40809</v>
      </c>
      <c r="B1427" t="s">
        <v>260</v>
      </c>
      <c r="C1427" s="2" t="str">
        <f>HYPERLINK("http://snap.windin.com/ns/bulletin.php?id=1696996&amp;type=1", "亚玛顿:首次公开发行股票（A股）招股说明书")</f>
        <v>亚玛顿:首次公开发行股票（A股）招股说明书</v>
      </c>
      <c r="D1427" t="s">
        <v>2160</v>
      </c>
      <c r="E1427" t="s">
        <v>743</v>
      </c>
      <c r="F1427" t="s">
        <v>661</v>
      </c>
    </row>
    <row r="1428" spans="1:6" x14ac:dyDescent="0.15">
      <c r="A1428" s="1">
        <v>40809</v>
      </c>
      <c r="B1428" t="s">
        <v>223</v>
      </c>
      <c r="C1428" s="2" t="str">
        <f>HYPERLINK("http://snap.windin.com/ns/bulletin.php?id=1793294&amp;type=1", "烟台万润:首次公开发行股票招股说明书（申报稿）")</f>
        <v>烟台万润:首次公开发行股票招股说明书（申报稿）</v>
      </c>
      <c r="D1428" t="s">
        <v>7907</v>
      </c>
      <c r="E1428" t="s">
        <v>697</v>
      </c>
      <c r="F1428" t="s">
        <v>5452</v>
      </c>
    </row>
    <row r="1429" spans="1:6" x14ac:dyDescent="0.15">
      <c r="A1429" s="1">
        <v>40809</v>
      </c>
      <c r="B1429" t="s">
        <v>233</v>
      </c>
      <c r="C1429" s="2" t="str">
        <f>HYPERLINK("http://snap.windin.com/ns/bulletin.php?id=120359&amp;type=1", "安洁科技:首发招股说明书（申报稿）")</f>
        <v>安洁科技:首发招股说明书（申报稿）</v>
      </c>
      <c r="D1429" t="s">
        <v>7908</v>
      </c>
      <c r="E1429" t="s">
        <v>711</v>
      </c>
      <c r="F1429" t="s">
        <v>5513</v>
      </c>
    </row>
    <row r="1430" spans="1:6" x14ac:dyDescent="0.15">
      <c r="A1430" s="1">
        <v>40809</v>
      </c>
      <c r="B1430" t="s">
        <v>185</v>
      </c>
      <c r="C1430" s="2" t="str">
        <f>HYPERLINK("http://snap.windin.com/ns/bulletin.php?id=203723&amp;type=1", "中国交建:首次公开发行A股股票招股说明书（申报稿）")</f>
        <v>中国交建:首次公开发行A股股票招股说明书（申报稿）</v>
      </c>
      <c r="D1430" t="s">
        <v>7909</v>
      </c>
      <c r="E1430" t="s">
        <v>650</v>
      </c>
      <c r="F1430" t="s">
        <v>5493</v>
      </c>
    </row>
    <row r="1431" spans="1:6" x14ac:dyDescent="0.15">
      <c r="A1431" s="1">
        <v>40809</v>
      </c>
      <c r="B1431" t="s">
        <v>188</v>
      </c>
      <c r="C1431" s="2" t="str">
        <f>HYPERLINK("http://snap.windin.com/ns/bulletin.php?id=1947295&amp;type=1", "蓝英装备:创业板首发招股说明书（申报稿）")</f>
        <v>蓝英装备:创业板首发招股说明书（申报稿）</v>
      </c>
      <c r="D1431" t="s">
        <v>7910</v>
      </c>
      <c r="E1431" t="s">
        <v>653</v>
      </c>
      <c r="F1431" t="s">
        <v>5450</v>
      </c>
    </row>
    <row r="1432" spans="1:6" x14ac:dyDescent="0.15">
      <c r="A1432" s="1">
        <v>40809</v>
      </c>
      <c r="B1432" t="s">
        <v>3627</v>
      </c>
      <c r="C1432" s="2" t="str">
        <f>HYPERLINK("http://snap.windin.com/ns/bulletin.php?id=1271891&amp;type=1", "蓝天燃气:首次公开发行股票招股说明书（申报稿）")</f>
        <v>蓝天燃气:首次公开发行股票招股说明书（申报稿）</v>
      </c>
      <c r="D1432" t="s">
        <v>7911</v>
      </c>
      <c r="E1432" t="s">
        <v>5611</v>
      </c>
      <c r="F1432" t="s">
        <v>5452</v>
      </c>
    </row>
    <row r="1433" spans="1:6" x14ac:dyDescent="0.15">
      <c r="A1433" s="1">
        <v>40808</v>
      </c>
      <c r="B1433" t="s">
        <v>270</v>
      </c>
      <c r="C1433" s="2" t="str">
        <f>HYPERLINK("http://snap.windin.com/ns/bulletin.php?id=102761&amp;type=1", "中信证券:H股--招股说明书（英文）")</f>
        <v>中信证券:H股--招股说明书（英文）</v>
      </c>
      <c r="D1433" t="s">
        <v>2162</v>
      </c>
      <c r="E1433" t="s">
        <v>755</v>
      </c>
      <c r="F1433" t="s">
        <v>608</v>
      </c>
    </row>
    <row r="1434" spans="1:6" x14ac:dyDescent="0.15">
      <c r="A1434" s="1">
        <v>40808</v>
      </c>
      <c r="B1434" t="s">
        <v>270</v>
      </c>
      <c r="C1434" s="2" t="str">
        <f>HYPERLINK("http://snap.windin.com/ns/bulletin.php?id=1358087&amp;type=1", "中信证券:H股--招股说明书（中文）")</f>
        <v>中信证券:H股--招股说明书（中文）</v>
      </c>
      <c r="D1434" t="s">
        <v>2163</v>
      </c>
      <c r="E1434" t="s">
        <v>755</v>
      </c>
      <c r="F1434" t="s">
        <v>607</v>
      </c>
    </row>
    <row r="1435" spans="1:6" x14ac:dyDescent="0.15">
      <c r="A1435" s="1">
        <v>40806</v>
      </c>
      <c r="B1435" t="s">
        <v>264</v>
      </c>
      <c r="C1435" s="2" t="str">
        <f>HYPERLINK("http://snap.windin.com/ns/bulletin.php?id=1539852&amp;type=1", "巨龙管业:首次公开发行股票招股说明书")</f>
        <v>巨龙管业:首次公开发行股票招股说明书</v>
      </c>
      <c r="D1435" t="s">
        <v>2165</v>
      </c>
      <c r="E1435" t="s">
        <v>749</v>
      </c>
      <c r="F1435" t="s">
        <v>399</v>
      </c>
    </row>
    <row r="1436" spans="1:6" x14ac:dyDescent="0.15">
      <c r="A1436" s="1">
        <v>40805</v>
      </c>
      <c r="B1436" t="s">
        <v>151</v>
      </c>
      <c r="C1436" s="2" t="str">
        <f>HYPERLINK("http://snap.windin.com/ns/bulletin.php?id=2022281&amp;type=1", "奥康国际:首发招股说明书（申报稿）")</f>
        <v>奥康国际:首发招股说明书（申报稿）</v>
      </c>
      <c r="D1436" t="s">
        <v>7912</v>
      </c>
      <c r="E1436" t="s">
        <v>600</v>
      </c>
      <c r="F1436" t="s">
        <v>5513</v>
      </c>
    </row>
    <row r="1437" spans="1:6" x14ac:dyDescent="0.15">
      <c r="A1437" s="1">
        <v>40805</v>
      </c>
      <c r="B1437" t="s">
        <v>262</v>
      </c>
      <c r="C1437" s="2" t="str">
        <f>HYPERLINK("http://snap.windin.com/ns/bulletin.php?id=1562800&amp;type=1", "大连三垒:首次公开发行股票招股说明书")</f>
        <v>大连三垒:首次公开发行股票招股说明书</v>
      </c>
      <c r="D1437" t="s">
        <v>2172</v>
      </c>
      <c r="E1437" t="s">
        <v>747</v>
      </c>
      <c r="F1437" t="s">
        <v>399</v>
      </c>
    </row>
    <row r="1438" spans="1:6" x14ac:dyDescent="0.15">
      <c r="A1438" s="1">
        <v>40805</v>
      </c>
      <c r="B1438" t="s">
        <v>265</v>
      </c>
      <c r="C1438" s="2" t="str">
        <f>HYPERLINK("http://snap.windin.com/ns/bulletin.php?id=739251&amp;type=1", "瑞和股份:首次公开发行股票招股说明书")</f>
        <v>瑞和股份:首次公开发行股票招股说明书</v>
      </c>
      <c r="D1438" t="s">
        <v>2174</v>
      </c>
      <c r="E1438" t="s">
        <v>750</v>
      </c>
      <c r="F1438" t="s">
        <v>399</v>
      </c>
    </row>
    <row r="1439" spans="1:6" x14ac:dyDescent="0.15">
      <c r="A1439" s="1">
        <v>40802</v>
      </c>
      <c r="B1439" t="s">
        <v>239</v>
      </c>
      <c r="C1439" s="2" t="str">
        <f>HYPERLINK("http://snap.windin.com/ns/bulletin.php?id=1702139&amp;type=1", "三丰智能:创业板首发招股说明书（申报稿）")</f>
        <v>三丰智能:创业板首发招股说明书（申报稿）</v>
      </c>
      <c r="D1439" t="s">
        <v>7913</v>
      </c>
      <c r="E1439" t="s">
        <v>720</v>
      </c>
      <c r="F1439" t="s">
        <v>5450</v>
      </c>
    </row>
    <row r="1440" spans="1:6" x14ac:dyDescent="0.15">
      <c r="A1440" s="1">
        <v>40802</v>
      </c>
      <c r="B1440" t="s">
        <v>3628</v>
      </c>
      <c r="C1440" s="2" t="str">
        <f>HYPERLINK("http://snap.windin.com/ns/bulletin.php?id=486980&amp;type=1", "东骏激光:创业板首发招股说明书（申报稿）")</f>
        <v>东骏激光:创业板首发招股说明书（申报稿）</v>
      </c>
      <c r="D1440" t="s">
        <v>7914</v>
      </c>
      <c r="E1440" t="s">
        <v>5612</v>
      </c>
      <c r="F1440" t="s">
        <v>5450</v>
      </c>
    </row>
    <row r="1441" spans="1:6" x14ac:dyDescent="0.15">
      <c r="A1441" s="1">
        <v>40802</v>
      </c>
      <c r="B1441" t="s">
        <v>274</v>
      </c>
      <c r="C1441" s="2" t="str">
        <f>HYPERLINK("http://snap.windin.com/ns/bulletin.php?id=519949&amp;type=1", "明泰铝业:首次公开发行股票招股说明书")</f>
        <v>明泰铝业:首次公开发行股票招股说明书</v>
      </c>
      <c r="D1441" t="s">
        <v>2180</v>
      </c>
      <c r="E1441" t="s">
        <v>759</v>
      </c>
      <c r="F1441" t="s">
        <v>399</v>
      </c>
    </row>
    <row r="1442" spans="1:6" x14ac:dyDescent="0.15">
      <c r="A1442" s="1">
        <v>40802</v>
      </c>
      <c r="B1442" t="s">
        <v>215</v>
      </c>
      <c r="C1442" s="2" t="str">
        <f>HYPERLINK("http://snap.windin.com/ns/bulletin.php?id=2126194&amp;type=1", "南通锻压:创业板首发招股说明书（申报稿）")</f>
        <v>南通锻压:创业板首发招股说明书（申报稿）</v>
      </c>
      <c r="D1442" t="s">
        <v>7915</v>
      </c>
      <c r="E1442" t="s">
        <v>687</v>
      </c>
      <c r="F1442" t="s">
        <v>5450</v>
      </c>
    </row>
    <row r="1443" spans="1:6" x14ac:dyDescent="0.15">
      <c r="A1443" s="1">
        <v>40802</v>
      </c>
      <c r="B1443" t="s">
        <v>267</v>
      </c>
      <c r="C1443" s="2" t="str">
        <f>HYPERLINK("http://snap.windin.com/ns/bulletin.php?id=2053644&amp;type=1", "兴源过滤:首次公开发行股票并在创业板上市招股说明书")</f>
        <v>兴源过滤:首次公开发行股票并在创业板上市招股说明书</v>
      </c>
      <c r="D1443" t="s">
        <v>2181</v>
      </c>
      <c r="E1443" t="s">
        <v>752</v>
      </c>
      <c r="F1443" t="s">
        <v>455</v>
      </c>
    </row>
    <row r="1444" spans="1:6" x14ac:dyDescent="0.15">
      <c r="A1444" s="1">
        <v>40801</v>
      </c>
      <c r="B1444" t="s">
        <v>237</v>
      </c>
      <c r="C1444" s="2" t="str">
        <f>HYPERLINK("http://snap.windin.com/ns/bulletin.php?id=1192297&amp;type=1", "申科股份:首次公开发行股票招股说明书(申报稿)")</f>
        <v>申科股份:首次公开发行股票招股说明书(申报稿)</v>
      </c>
      <c r="D1444" t="s">
        <v>7916</v>
      </c>
      <c r="E1444" t="s">
        <v>718</v>
      </c>
      <c r="F1444" t="s">
        <v>5466</v>
      </c>
    </row>
    <row r="1445" spans="1:6" x14ac:dyDescent="0.15">
      <c r="A1445" s="1">
        <v>40801</v>
      </c>
      <c r="B1445" t="s">
        <v>242</v>
      </c>
      <c r="C1445" s="2" t="str">
        <f>HYPERLINK("http://snap.windin.com/ns/bulletin.php?id=2071189&amp;type=1", "德尔家居:首次公开发行股票招股说明书(申报稿)")</f>
        <v>德尔家居:首次公开发行股票招股说明书(申报稿)</v>
      </c>
      <c r="D1445" t="s">
        <v>7917</v>
      </c>
      <c r="E1445" t="s">
        <v>723</v>
      </c>
      <c r="F1445" t="s">
        <v>5466</v>
      </c>
    </row>
    <row r="1446" spans="1:6" x14ac:dyDescent="0.15">
      <c r="A1446" s="1">
        <v>40800</v>
      </c>
      <c r="B1446" t="s">
        <v>269</v>
      </c>
      <c r="C1446" s="2" t="str">
        <f>HYPERLINK("http://snap.windin.com/ns/bulletin.php?id=1763642&amp;type=1", "万福生科:首次公开发行股票并在创业板上市招股说明书")</f>
        <v>万福生科:首次公开发行股票并在创业板上市招股说明书</v>
      </c>
      <c r="D1446" t="s">
        <v>2196</v>
      </c>
      <c r="E1446" t="s">
        <v>754</v>
      </c>
      <c r="F1446" t="s">
        <v>455</v>
      </c>
    </row>
    <row r="1447" spans="1:6" x14ac:dyDescent="0.15">
      <c r="A1447" s="1">
        <v>40800</v>
      </c>
      <c r="B1447" t="s">
        <v>268</v>
      </c>
      <c r="C1447" s="2" t="str">
        <f>HYPERLINK("http://snap.windin.com/ns/bulletin.php?id=1553275&amp;type=1", "尔康制药:首次公开发行股票并在创业板上市招股说明书")</f>
        <v>尔康制药:首次公开发行股票并在创业板上市招股说明书</v>
      </c>
      <c r="D1447" t="s">
        <v>2197</v>
      </c>
      <c r="E1447" t="s">
        <v>753</v>
      </c>
      <c r="F1447" t="s">
        <v>455</v>
      </c>
    </row>
    <row r="1448" spans="1:6" x14ac:dyDescent="0.15">
      <c r="A1448" s="1">
        <v>40795</v>
      </c>
      <c r="B1448" t="s">
        <v>228</v>
      </c>
      <c r="C1448" s="2" t="str">
        <f>HYPERLINK("http://snap.windin.com/ns/bulletin.php?id=149623&amp;type=1", "百圆裤业:首发招股说明书（申报稿）")</f>
        <v>百圆裤业:首发招股说明书（申报稿）</v>
      </c>
      <c r="D1448" t="s">
        <v>7918</v>
      </c>
      <c r="E1448" t="s">
        <v>702</v>
      </c>
      <c r="F1448" t="s">
        <v>5513</v>
      </c>
    </row>
    <row r="1449" spans="1:6" x14ac:dyDescent="0.15">
      <c r="A1449" s="1">
        <v>40795</v>
      </c>
      <c r="B1449" t="s">
        <v>225</v>
      </c>
      <c r="C1449" s="2" t="str">
        <f>HYPERLINK("http://snap.windin.com/ns/bulletin.php?id=1963829&amp;type=1", "华昌达:创业板首发招股说明书（申报稿）")</f>
        <v>华昌达:创业板首发招股说明书（申报稿）</v>
      </c>
      <c r="D1449" t="s">
        <v>7919</v>
      </c>
      <c r="E1449" t="s">
        <v>699</v>
      </c>
      <c r="F1449" t="s">
        <v>5450</v>
      </c>
    </row>
    <row r="1450" spans="1:6" x14ac:dyDescent="0.15">
      <c r="A1450" s="1">
        <v>40795</v>
      </c>
      <c r="B1450" t="s">
        <v>229</v>
      </c>
      <c r="C1450" s="2" t="str">
        <f>HYPERLINK("http://snap.windin.com/ns/bulletin.php?id=572403&amp;type=1", "棒杰股份:首开招股说明书（申报稿）")</f>
        <v>棒杰股份:首开招股说明书（申报稿）</v>
      </c>
      <c r="D1450" t="s">
        <v>7920</v>
      </c>
      <c r="E1450" t="s">
        <v>706</v>
      </c>
      <c r="F1450" t="s">
        <v>5613</v>
      </c>
    </row>
    <row r="1451" spans="1:6" x14ac:dyDescent="0.15">
      <c r="A1451" s="1">
        <v>40794</v>
      </c>
      <c r="B1451" t="s">
        <v>272</v>
      </c>
      <c r="C1451" s="2" t="str">
        <f>HYPERLINK("http://snap.windin.com/ns/bulletin.php?id=2046336&amp;type=1", "长青集团:首次公开发行股票招股说明书")</f>
        <v>长青集团:首次公开发行股票招股说明书</v>
      </c>
      <c r="D1451" t="s">
        <v>2214</v>
      </c>
      <c r="E1451" t="s">
        <v>757</v>
      </c>
      <c r="F1451" t="s">
        <v>399</v>
      </c>
    </row>
    <row r="1452" spans="1:6" x14ac:dyDescent="0.15">
      <c r="A1452" s="1">
        <v>40793</v>
      </c>
      <c r="B1452" t="s">
        <v>54</v>
      </c>
      <c r="C1452" s="2" t="str">
        <f>HYPERLINK("http://snap.windin.com/ns/bulletin.php?id=1021429&amp;type=1", "露笑科技:首次公开发行股票招股说明书")</f>
        <v>露笑科技:首次公开发行股票招股说明书</v>
      </c>
      <c r="D1452" t="s">
        <v>2220</v>
      </c>
      <c r="E1452" t="s">
        <v>481</v>
      </c>
      <c r="F1452" t="s">
        <v>399</v>
      </c>
    </row>
    <row r="1453" spans="1:6" x14ac:dyDescent="0.15">
      <c r="A1453" s="1">
        <v>40793</v>
      </c>
      <c r="B1453" t="s">
        <v>280</v>
      </c>
      <c r="C1453" s="2" t="str">
        <f>HYPERLINK("http://snap.windin.com/ns/bulletin.php?id=710465&amp;type=1", "京运通:首次公开发行股票（A股）招股说明书")</f>
        <v>京运通:首次公开发行股票（A股）招股说明书</v>
      </c>
      <c r="D1453" t="s">
        <v>2219</v>
      </c>
      <c r="E1453" t="s">
        <v>765</v>
      </c>
      <c r="F1453" t="s">
        <v>661</v>
      </c>
    </row>
    <row r="1454" spans="1:6" x14ac:dyDescent="0.15">
      <c r="A1454" s="1">
        <v>40792</v>
      </c>
      <c r="B1454" t="s">
        <v>276</v>
      </c>
      <c r="C1454" s="2" t="str">
        <f>HYPERLINK("http://snap.windin.com/ns/bulletin.php?id=1637266&amp;type=1", "隆华传热:首次公开发行股票并在创业板上市招股说明书")</f>
        <v>隆华传热:首次公开发行股票并在创业板上市招股说明书</v>
      </c>
      <c r="D1454" t="s">
        <v>2228</v>
      </c>
      <c r="E1454" t="s">
        <v>761</v>
      </c>
      <c r="F1454" t="s">
        <v>455</v>
      </c>
    </row>
    <row r="1455" spans="1:6" x14ac:dyDescent="0.15">
      <c r="A1455" s="1">
        <v>40792</v>
      </c>
      <c r="B1455" t="s">
        <v>273</v>
      </c>
      <c r="C1455" s="2" t="str">
        <f>HYPERLINK("http://snap.windin.com/ns/bulletin.php?id=1779732&amp;type=1", "丹邦科技:首次公开发行股票招股说明书")</f>
        <v>丹邦科技:首次公开发行股票招股说明书</v>
      </c>
      <c r="D1455" t="s">
        <v>2229</v>
      </c>
      <c r="E1455" t="s">
        <v>758</v>
      </c>
      <c r="F1455" t="s">
        <v>399</v>
      </c>
    </row>
    <row r="1456" spans="1:6" x14ac:dyDescent="0.15">
      <c r="A1456" s="1">
        <v>40791</v>
      </c>
      <c r="B1456" t="s">
        <v>275</v>
      </c>
      <c r="C1456" s="2" t="str">
        <f>HYPERLINK("http://snap.windin.com/ns/bulletin.php?id=2107598&amp;type=1", "佳创视讯:首次公开发行股票并在创业板上市招股说明书")</f>
        <v>佳创视讯:首次公开发行股票并在创业板上市招股说明书</v>
      </c>
      <c r="D1456" t="s">
        <v>2231</v>
      </c>
      <c r="E1456" t="s">
        <v>760</v>
      </c>
      <c r="F1456" t="s">
        <v>455</v>
      </c>
    </row>
    <row r="1457" spans="1:6" x14ac:dyDescent="0.15">
      <c r="A1457" s="1">
        <v>40791</v>
      </c>
      <c r="B1457" t="s">
        <v>226</v>
      </c>
      <c r="C1457" s="2" t="str">
        <f>HYPERLINK("http://snap.windin.com/ns/bulletin.php?id=585053&amp;type=1", "东吴证券:首发招股说明书（申报稿）")</f>
        <v>东吴证券:首发招股说明书（申报稿）</v>
      </c>
      <c r="D1457" t="s">
        <v>7921</v>
      </c>
      <c r="E1457" t="s">
        <v>700</v>
      </c>
      <c r="F1457" t="s">
        <v>5513</v>
      </c>
    </row>
    <row r="1458" spans="1:6" x14ac:dyDescent="0.15">
      <c r="A1458" s="1">
        <v>40788</v>
      </c>
      <c r="B1458" t="s">
        <v>277</v>
      </c>
      <c r="C1458" s="2" t="str">
        <f>HYPERLINK("http://snap.windin.com/ns/bulletin.php?id=1717545&amp;type=1", "通光线缆:首次公开发行股票并在创业板上市招股说明书")</f>
        <v>通光线缆:首次公开发行股票并在创业板上市招股说明书</v>
      </c>
      <c r="D1458" t="s">
        <v>2240</v>
      </c>
      <c r="E1458" t="s">
        <v>762</v>
      </c>
      <c r="F1458" t="s">
        <v>455</v>
      </c>
    </row>
    <row r="1459" spans="1:6" x14ac:dyDescent="0.15">
      <c r="A1459" s="1">
        <v>40788</v>
      </c>
      <c r="B1459" t="s">
        <v>136</v>
      </c>
      <c r="C1459" s="2" t="str">
        <f>HYPERLINK("http://snap.windin.com/ns/bulletin.php?id=1992315&amp;type=1", "巴安水务:首次公开发行股票并在创业板上市招股说明书")</f>
        <v>巴安水务:首次公开发行股票并在创业板上市招股说明书</v>
      </c>
      <c r="D1459" t="s">
        <v>2241</v>
      </c>
      <c r="E1459" t="s">
        <v>582</v>
      </c>
      <c r="F1459" t="s">
        <v>455</v>
      </c>
    </row>
    <row r="1460" spans="1:6" x14ac:dyDescent="0.15">
      <c r="A1460" s="1">
        <v>40788</v>
      </c>
      <c r="B1460" t="s">
        <v>235</v>
      </c>
      <c r="C1460" s="2" t="str">
        <f>HYPERLINK("http://snap.windin.com/ns/bulletin.php?id=1453498&amp;type=1", "金安国纪:首发招股说明书（申报稿）")</f>
        <v>金安国纪:首发招股说明书（申报稿）</v>
      </c>
      <c r="D1460" t="s">
        <v>7922</v>
      </c>
      <c r="E1460" t="s">
        <v>714</v>
      </c>
      <c r="F1460" t="s">
        <v>5513</v>
      </c>
    </row>
    <row r="1461" spans="1:6" x14ac:dyDescent="0.15">
      <c r="A1461" s="1">
        <v>40787</v>
      </c>
      <c r="B1461" t="s">
        <v>278</v>
      </c>
      <c r="C1461" s="2" t="str">
        <f>HYPERLINK("http://snap.windin.com/ns/bulletin.php?id=159860&amp;type=1", "哈尔斯:首次公开发行股票招股说明书")</f>
        <v>哈尔斯:首次公开发行股票招股说明书</v>
      </c>
      <c r="D1461" t="s">
        <v>2242</v>
      </c>
      <c r="E1461" t="s">
        <v>763</v>
      </c>
      <c r="F1461" t="s">
        <v>399</v>
      </c>
    </row>
    <row r="1462" spans="1:6" x14ac:dyDescent="0.15">
      <c r="A1462" s="1">
        <v>40787</v>
      </c>
      <c r="B1462" t="s">
        <v>3629</v>
      </c>
      <c r="C1462" s="2" t="str">
        <f>HYPERLINK("http://snap.windin.com/ns/bulletin.php?id=515607&amp;type=1", "斗南锰业:首发招股说明书（申报稿）")</f>
        <v>斗南锰业:首发招股说明书（申报稿）</v>
      </c>
      <c r="D1462" t="s">
        <v>7923</v>
      </c>
      <c r="E1462" t="s">
        <v>5614</v>
      </c>
      <c r="F1462" t="s">
        <v>5513</v>
      </c>
    </row>
    <row r="1463" spans="1:6" x14ac:dyDescent="0.15">
      <c r="A1463" s="1">
        <v>40785</v>
      </c>
      <c r="B1463" t="s">
        <v>279</v>
      </c>
      <c r="C1463" s="2" t="str">
        <f>HYPERLINK("http://snap.windin.com/ns/bulletin.php?id=1823620&amp;type=1", "蒙发利:首次公开发行股票招股说明书")</f>
        <v>蒙发利:首次公开发行股票招股说明书</v>
      </c>
      <c r="D1463" t="s">
        <v>2257</v>
      </c>
      <c r="E1463" t="s">
        <v>764</v>
      </c>
      <c r="F1463" t="s">
        <v>399</v>
      </c>
    </row>
    <row r="1464" spans="1:6" x14ac:dyDescent="0.15">
      <c r="A1464" s="1">
        <v>40781</v>
      </c>
      <c r="B1464" t="s">
        <v>243</v>
      </c>
      <c r="C1464" s="2" t="str">
        <f>HYPERLINK("http://snap.windin.com/ns/bulletin.php?id=1763027&amp;type=1", "玉龙股份:首次公开发行股票招股说明书（申报稿）")</f>
        <v>玉龙股份:首次公开发行股票招股说明书（申报稿）</v>
      </c>
      <c r="D1464" t="s">
        <v>7924</v>
      </c>
      <c r="E1464" t="s">
        <v>724</v>
      </c>
      <c r="F1464" t="s">
        <v>5452</v>
      </c>
    </row>
    <row r="1465" spans="1:6" x14ac:dyDescent="0.15">
      <c r="A1465" s="1">
        <v>40781</v>
      </c>
      <c r="B1465" t="s">
        <v>281</v>
      </c>
      <c r="C1465" s="2" t="str">
        <f>HYPERLINK("http://snap.windin.com/ns/bulletin.php?id=986199&amp;type=1", "雅本化学:首次公开发行股票并在创业板上市招股说明书")</f>
        <v>雅本化学:首次公开发行股票并在创业板上市招股说明书</v>
      </c>
      <c r="D1465" t="s">
        <v>2269</v>
      </c>
      <c r="E1465" t="s">
        <v>766</v>
      </c>
      <c r="F1465" t="s">
        <v>455</v>
      </c>
    </row>
    <row r="1466" spans="1:6" x14ac:dyDescent="0.15">
      <c r="A1466" s="1">
        <v>40781</v>
      </c>
      <c r="B1466" t="s">
        <v>232</v>
      </c>
      <c r="C1466" s="2" t="str">
        <f>HYPERLINK("http://snap.windin.com/ns/bulletin.php?id=1008235&amp;type=1", "赞宇科技:首次公开发行股票招股说明书（申报稿）")</f>
        <v>赞宇科技:首次公开发行股票招股说明书（申报稿）</v>
      </c>
      <c r="D1466" t="s">
        <v>7925</v>
      </c>
      <c r="E1466" t="s">
        <v>713</v>
      </c>
      <c r="F1466" t="s">
        <v>5452</v>
      </c>
    </row>
    <row r="1467" spans="1:6" x14ac:dyDescent="0.15">
      <c r="A1467" s="1">
        <v>40781</v>
      </c>
      <c r="B1467" t="s">
        <v>28</v>
      </c>
      <c r="C1467" s="2" t="str">
        <f>HYPERLINK("http://snap.windin.com/ns/bulletin.php?id=21843704&amp;type=1", "陕西煤业:首发股票招股说明书(申报稿)")</f>
        <v>陕西煤业:首发股票招股说明书(申报稿)</v>
      </c>
      <c r="D1467" t="s">
        <v>7926</v>
      </c>
      <c r="E1467" t="s">
        <v>427</v>
      </c>
      <c r="F1467" t="s">
        <v>5529</v>
      </c>
    </row>
    <row r="1468" spans="1:6" x14ac:dyDescent="0.15">
      <c r="A1468" s="1">
        <v>40780</v>
      </c>
      <c r="B1468" t="s">
        <v>3630</v>
      </c>
      <c r="C1468" s="2" t="str">
        <f>HYPERLINK("http://snap.windin.com/ns/bulletin.php?id=100527&amp;type=1", "陕煤股份:首发招股说明书（申报稿）")</f>
        <v>陕煤股份:首发招股说明书（申报稿）</v>
      </c>
      <c r="D1468" t="s">
        <v>7927</v>
      </c>
      <c r="E1468" t="s">
        <v>5615</v>
      </c>
      <c r="F1468" t="s">
        <v>5513</v>
      </c>
    </row>
    <row r="1469" spans="1:6" x14ac:dyDescent="0.15">
      <c r="A1469" s="1">
        <v>40780</v>
      </c>
      <c r="B1469" t="s">
        <v>260</v>
      </c>
      <c r="C1469" s="2" t="str">
        <f>HYPERLINK("http://snap.windin.com/ns/bulletin.php?id=1561631&amp;type=1", "亚玛顿:首发招股说明书（申报稿）")</f>
        <v>亚玛顿:首发招股说明书（申报稿）</v>
      </c>
      <c r="D1469" t="s">
        <v>7928</v>
      </c>
      <c r="E1469" t="s">
        <v>743</v>
      </c>
      <c r="F1469" t="s">
        <v>5513</v>
      </c>
    </row>
    <row r="1470" spans="1:6" x14ac:dyDescent="0.15">
      <c r="A1470" s="1">
        <v>40777</v>
      </c>
      <c r="B1470" t="s">
        <v>283</v>
      </c>
      <c r="C1470" s="2" t="str">
        <f>HYPERLINK("http://snap.windin.com/ns/bulletin.php?id=2109245&amp;type=1", "北玻股份:首次公开发行股票招股说明书")</f>
        <v>北玻股份:首次公开发行股票招股说明书</v>
      </c>
      <c r="D1470" t="s">
        <v>2278</v>
      </c>
      <c r="E1470" t="s">
        <v>770</v>
      </c>
      <c r="F1470" t="s">
        <v>399</v>
      </c>
    </row>
    <row r="1471" spans="1:6" x14ac:dyDescent="0.15">
      <c r="A1471" s="1">
        <v>40777</v>
      </c>
      <c r="B1471" t="s">
        <v>3631</v>
      </c>
      <c r="C1471" s="2" t="str">
        <f>HYPERLINK("http://snap.windin.com/ns/bulletin.php?id=125340&amp;type=1", "福龙马:首发招股说明书（申报稿）")</f>
        <v>福龙马:首发招股说明书（申报稿）</v>
      </c>
      <c r="D1471" t="s">
        <v>7929</v>
      </c>
      <c r="E1471" t="s">
        <v>5616</v>
      </c>
      <c r="F1471" t="s">
        <v>5513</v>
      </c>
    </row>
    <row r="1472" spans="1:6" x14ac:dyDescent="0.15">
      <c r="A1472" s="1">
        <v>40777</v>
      </c>
      <c r="B1472" t="s">
        <v>282</v>
      </c>
      <c r="C1472" s="2" t="str">
        <f>HYPERLINK("http://snap.windin.com/ns/bulletin.php?id=768710&amp;type=1", "新莱应材:首次公开发行股票并在创业板上市招股说明书")</f>
        <v>新莱应材:首次公开发行股票并在创业板上市招股说明书</v>
      </c>
      <c r="D1472" t="s">
        <v>2277</v>
      </c>
      <c r="E1472" t="s">
        <v>767</v>
      </c>
      <c r="F1472" t="s">
        <v>455</v>
      </c>
    </row>
    <row r="1473" spans="1:6" x14ac:dyDescent="0.15">
      <c r="A1473" s="1">
        <v>40774</v>
      </c>
      <c r="B1473" t="s">
        <v>245</v>
      </c>
      <c r="C1473" s="2" t="str">
        <f>HYPERLINK("http://snap.windin.com/ns/bulletin.php?id=145830&amp;type=1", "龙生股份:首次公开发行股票招股说明书(申报稿)")</f>
        <v>龙生股份:首次公开发行股票招股说明书(申报稿)</v>
      </c>
      <c r="D1473" t="s">
        <v>7930</v>
      </c>
      <c r="E1473" t="s">
        <v>726</v>
      </c>
      <c r="F1473" t="s">
        <v>5466</v>
      </c>
    </row>
    <row r="1474" spans="1:6" x14ac:dyDescent="0.15">
      <c r="A1474" s="1">
        <v>40774</v>
      </c>
      <c r="B1474" t="s">
        <v>244</v>
      </c>
      <c r="C1474" s="2" t="str">
        <f>HYPERLINK("http://snap.windin.com/ns/bulletin.php?id=710202&amp;type=1", "成都路桥:首次公开发行股票招股说明书（申报稿）")</f>
        <v>成都路桥:首次公开发行股票招股说明书（申报稿）</v>
      </c>
      <c r="D1474" t="s">
        <v>7931</v>
      </c>
      <c r="E1474" t="s">
        <v>725</v>
      </c>
      <c r="F1474" t="s">
        <v>5452</v>
      </c>
    </row>
    <row r="1475" spans="1:6" x14ac:dyDescent="0.15">
      <c r="A1475" s="1">
        <v>40773</v>
      </c>
      <c r="B1475" t="s">
        <v>285</v>
      </c>
      <c r="C1475" s="2" t="str">
        <f>HYPERLINK("http://snap.windin.com/ns/bulletin.php?id=1999300&amp;type=1", "朗姿股份:首次公开发行股票招股说明书")</f>
        <v>朗姿股份:首次公开发行股票招股说明书</v>
      </c>
      <c r="D1475" t="s">
        <v>2294</v>
      </c>
      <c r="E1475" t="s">
        <v>772</v>
      </c>
      <c r="F1475" t="s">
        <v>399</v>
      </c>
    </row>
    <row r="1476" spans="1:6" x14ac:dyDescent="0.15">
      <c r="A1476" s="1">
        <v>40772</v>
      </c>
      <c r="B1476" t="s">
        <v>291</v>
      </c>
      <c r="C1476" s="2" t="str">
        <f>HYPERLINK("http://snap.windin.com/ns/bulletin.php?id=504358&amp;type=1", "江河幕墙:首次公开发行A股股票招股说明书")</f>
        <v>江河幕墙:首次公开发行A股股票招股说明书</v>
      </c>
      <c r="D1476" t="s">
        <v>2297</v>
      </c>
      <c r="E1476" t="s">
        <v>778</v>
      </c>
      <c r="F1476" t="s">
        <v>462</v>
      </c>
    </row>
    <row r="1477" spans="1:6" x14ac:dyDescent="0.15">
      <c r="A1477" s="1">
        <v>40772</v>
      </c>
      <c r="B1477" t="s">
        <v>284</v>
      </c>
      <c r="C1477" s="2" t="str">
        <f>HYPERLINK("http://snap.windin.com/ns/bulletin.php?id=834511&amp;type=1", "新天科技:首次公开发行股票并在创业板上市招股说明书")</f>
        <v>新天科技:首次公开发行股票并在创业板上市招股说明书</v>
      </c>
      <c r="D1477" t="s">
        <v>2298</v>
      </c>
      <c r="E1477" t="s">
        <v>771</v>
      </c>
      <c r="F1477" t="s">
        <v>455</v>
      </c>
    </row>
    <row r="1478" spans="1:6" x14ac:dyDescent="0.15">
      <c r="A1478" s="1">
        <v>40771</v>
      </c>
      <c r="B1478" t="s">
        <v>271</v>
      </c>
      <c r="C1478" s="2" t="str">
        <f>HYPERLINK("http://snap.windin.com/ns/bulletin.php?id=1574061&amp;type=1", "东方精工:首次公开发行股票招股说明书")</f>
        <v>东方精工:首次公开发行股票招股说明书</v>
      </c>
      <c r="D1478" t="s">
        <v>2304</v>
      </c>
      <c r="E1478" t="s">
        <v>756</v>
      </c>
      <c r="F1478" t="s">
        <v>399</v>
      </c>
    </row>
    <row r="1479" spans="1:6" x14ac:dyDescent="0.15">
      <c r="A1479" s="1">
        <v>40771</v>
      </c>
      <c r="B1479" t="s">
        <v>286</v>
      </c>
      <c r="C1479" s="2" t="str">
        <f>HYPERLINK("http://snap.windin.com/ns/bulletin.php?id=1553493&amp;type=1", "精锻科技:首次公开发行股票并在创业板上市招股说明书")</f>
        <v>精锻科技:首次公开发行股票并在创业板上市招股说明书</v>
      </c>
      <c r="D1479" t="s">
        <v>2303</v>
      </c>
      <c r="E1479" t="s">
        <v>773</v>
      </c>
      <c r="F1479" t="s">
        <v>455</v>
      </c>
    </row>
    <row r="1480" spans="1:6" x14ac:dyDescent="0.15">
      <c r="A1480" s="1">
        <v>40770</v>
      </c>
      <c r="B1480" t="s">
        <v>208</v>
      </c>
      <c r="C1480" s="2" t="str">
        <f>HYPERLINK("http://snap.windin.com/ns/bulletin.php?id=2121096&amp;type=1", "温州宏丰:创业板首发招股说明书（申报稿）")</f>
        <v>温州宏丰:创业板首发招股说明书（申报稿）</v>
      </c>
      <c r="D1480" t="s">
        <v>7932</v>
      </c>
      <c r="E1480" t="s">
        <v>680</v>
      </c>
      <c r="F1480" t="s">
        <v>5450</v>
      </c>
    </row>
    <row r="1481" spans="1:6" x14ac:dyDescent="0.15">
      <c r="A1481" s="1">
        <v>40770</v>
      </c>
      <c r="B1481" t="s">
        <v>294</v>
      </c>
      <c r="C1481" s="2" t="str">
        <f>HYPERLINK("http://snap.windin.com/ns/bulletin.php?id=541030&amp;type=1", "宁波建工:首次公开发行股票招股说明书")</f>
        <v>宁波建工:首次公开发行股票招股说明书</v>
      </c>
      <c r="D1481" t="s">
        <v>2307</v>
      </c>
      <c r="E1481" t="s">
        <v>781</v>
      </c>
      <c r="F1481" t="s">
        <v>399</v>
      </c>
    </row>
    <row r="1482" spans="1:6" x14ac:dyDescent="0.15">
      <c r="A1482" s="1">
        <v>40770</v>
      </c>
      <c r="B1482" t="s">
        <v>248</v>
      </c>
      <c r="C1482" s="2" t="str">
        <f>HYPERLINK("http://snap.windin.com/ns/bulletin.php?id=1500596&amp;type=1", "梅安森:创业板首发招股说明书（申报稿）")</f>
        <v>梅安森:创业板首发招股说明书（申报稿）</v>
      </c>
      <c r="D1482" t="s">
        <v>7933</v>
      </c>
      <c r="E1482" t="s">
        <v>729</v>
      </c>
      <c r="F1482" t="s">
        <v>5450</v>
      </c>
    </row>
    <row r="1483" spans="1:6" x14ac:dyDescent="0.15">
      <c r="A1483" s="1">
        <v>40767</v>
      </c>
      <c r="B1483" t="s">
        <v>3632</v>
      </c>
      <c r="C1483" s="2" t="str">
        <f>HYPERLINK("http://snap.windin.com/ns/bulletin.php?id=1330868&amp;type=1", "亨达股份:首发申请招股说明书（申报稿）")</f>
        <v>亨达股份:首发申请招股说明书（申报稿）</v>
      </c>
      <c r="D1483" t="s">
        <v>7934</v>
      </c>
      <c r="E1483" t="s">
        <v>5617</v>
      </c>
      <c r="F1483" t="s">
        <v>5618</v>
      </c>
    </row>
    <row r="1484" spans="1:6" x14ac:dyDescent="0.15">
      <c r="A1484" s="1">
        <v>40767</v>
      </c>
      <c r="B1484" t="s">
        <v>3633</v>
      </c>
      <c r="C1484" s="2" t="str">
        <f>HYPERLINK("http://snap.windin.com/ns/bulletin.php?id=1221704&amp;type=1", "乐歌视讯:首发招股说明书（申报稿）")</f>
        <v>乐歌视讯:首发招股说明书（申报稿）</v>
      </c>
      <c r="D1484" t="s">
        <v>7935</v>
      </c>
      <c r="E1484" t="s">
        <v>5619</v>
      </c>
      <c r="F1484" t="s">
        <v>5513</v>
      </c>
    </row>
    <row r="1485" spans="1:6" x14ac:dyDescent="0.15">
      <c r="A1485" s="1">
        <v>40766</v>
      </c>
      <c r="B1485" t="s">
        <v>297</v>
      </c>
      <c r="C1485" s="2" t="str">
        <f>HYPERLINK("http://snap.windin.com/ns/bulletin.php?id=96903&amp;type=1", "旗滨集团:首次公开发行股票招股说明书")</f>
        <v>旗滨集团:首次公开发行股票招股说明书</v>
      </c>
      <c r="D1485" t="s">
        <v>2316</v>
      </c>
      <c r="E1485" t="s">
        <v>784</v>
      </c>
      <c r="F1485" t="s">
        <v>399</v>
      </c>
    </row>
    <row r="1486" spans="1:6" x14ac:dyDescent="0.15">
      <c r="A1486" s="1">
        <v>40764</v>
      </c>
      <c r="B1486" t="s">
        <v>299</v>
      </c>
      <c r="C1486" s="2" t="str">
        <f>HYPERLINK("http://snap.windin.com/ns/bulletin.php?id=1060328&amp;type=1", "方正证券:首次公开发行A股股票招股说明书")</f>
        <v>方正证券:首次公开发行A股股票招股说明书</v>
      </c>
      <c r="D1486" t="s">
        <v>2321</v>
      </c>
      <c r="E1486" t="s">
        <v>786</v>
      </c>
      <c r="F1486" t="s">
        <v>462</v>
      </c>
    </row>
    <row r="1487" spans="1:6" x14ac:dyDescent="0.15">
      <c r="A1487" s="1">
        <v>40763</v>
      </c>
      <c r="B1487" t="s">
        <v>251</v>
      </c>
      <c r="C1487" s="2" t="str">
        <f>HYPERLINK("http://snap.windin.com/ns/bulletin.php?id=128945&amp;type=1", "恒立油缸:首发招股说明书（申报稿）")</f>
        <v>恒立油缸:首发招股说明书（申报稿）</v>
      </c>
      <c r="D1487" t="s">
        <v>7936</v>
      </c>
      <c r="E1487" t="s">
        <v>732</v>
      </c>
      <c r="F1487" t="s">
        <v>5513</v>
      </c>
    </row>
    <row r="1488" spans="1:6" x14ac:dyDescent="0.15">
      <c r="A1488" s="1">
        <v>40763</v>
      </c>
      <c r="B1488" t="s">
        <v>289</v>
      </c>
      <c r="C1488" s="2" t="str">
        <f>HYPERLINK("http://snap.windin.com/ns/bulletin.php?id=1273270&amp;type=1", "开山股份:首次公开发行股票并在创业板上市招股说明书")</f>
        <v>开山股份:首次公开发行股票并在创业板上市招股说明书</v>
      </c>
      <c r="D1488" t="s">
        <v>2324</v>
      </c>
      <c r="E1488" t="s">
        <v>776</v>
      </c>
      <c r="F1488" t="s">
        <v>455</v>
      </c>
    </row>
    <row r="1489" spans="1:6" x14ac:dyDescent="0.15">
      <c r="A1489" s="1">
        <v>40760</v>
      </c>
      <c r="B1489" t="s">
        <v>250</v>
      </c>
      <c r="C1489" s="2" t="str">
        <f>HYPERLINK("http://snap.windin.com/ns/bulletin.php?id=1668819&amp;type=1", "阳光电源:创业板首发招股说明书（申报稿）")</f>
        <v>阳光电源:创业板首发招股说明书（申报稿）</v>
      </c>
      <c r="D1489" t="s">
        <v>7937</v>
      </c>
      <c r="E1489" t="s">
        <v>731</v>
      </c>
      <c r="F1489" t="s">
        <v>5450</v>
      </c>
    </row>
    <row r="1490" spans="1:6" x14ac:dyDescent="0.15">
      <c r="A1490" s="1">
        <v>40760</v>
      </c>
      <c r="B1490" t="s">
        <v>301</v>
      </c>
      <c r="C1490" s="2" t="str">
        <f>HYPERLINK("http://snap.windin.com/ns/bulletin.php?id=202751&amp;type=1", "林洋电子:首次公开发行股票招股说明书")</f>
        <v>林洋电子:首次公开发行股票招股说明书</v>
      </c>
      <c r="D1490" t="s">
        <v>2326</v>
      </c>
      <c r="E1490" t="s">
        <v>788</v>
      </c>
      <c r="F1490" t="s">
        <v>399</v>
      </c>
    </row>
    <row r="1491" spans="1:6" x14ac:dyDescent="0.15">
      <c r="A1491" s="1">
        <v>40760</v>
      </c>
      <c r="B1491" t="s">
        <v>290</v>
      </c>
      <c r="C1491" s="2" t="str">
        <f>HYPERLINK("http://snap.windin.com/ns/bulletin.php?id=488897&amp;type=1", "星星科技:首次公开发行股票并在创业板上市招股说明书")</f>
        <v>星星科技:首次公开发行股票并在创业板上市招股说明书</v>
      </c>
      <c r="D1491" t="s">
        <v>2329</v>
      </c>
      <c r="E1491" t="s">
        <v>777</v>
      </c>
      <c r="F1491" t="s">
        <v>455</v>
      </c>
    </row>
    <row r="1492" spans="1:6" x14ac:dyDescent="0.15">
      <c r="A1492" s="1">
        <v>40760</v>
      </c>
      <c r="B1492" t="s">
        <v>287</v>
      </c>
      <c r="C1492" s="2" t="str">
        <f>HYPERLINK("http://snap.windin.com/ns/bulletin.php?id=1140891&amp;type=1", "仟源制药:首次公开发行股票并在创业板上市招股说明书")</f>
        <v>仟源制药:首次公开发行股票并在创业板上市招股说明书</v>
      </c>
      <c r="D1492" t="s">
        <v>2331</v>
      </c>
      <c r="E1492" t="s">
        <v>774</v>
      </c>
      <c r="F1492" t="s">
        <v>455</v>
      </c>
    </row>
    <row r="1493" spans="1:6" x14ac:dyDescent="0.15">
      <c r="A1493" s="1">
        <v>40760</v>
      </c>
      <c r="B1493" t="s">
        <v>288</v>
      </c>
      <c r="C1493" s="2" t="str">
        <f>HYPERLINK("http://snap.windin.com/ns/bulletin.php?id=850186&amp;type=1", "常山药业:首次公开发行股票并在创业板上市招股说明书")</f>
        <v>常山药业:首次公开发行股票并在创业板上市招股说明书</v>
      </c>
      <c r="D1493" t="s">
        <v>2330</v>
      </c>
      <c r="E1493" t="s">
        <v>775</v>
      </c>
      <c r="F1493" t="s">
        <v>455</v>
      </c>
    </row>
    <row r="1494" spans="1:6" x14ac:dyDescent="0.15">
      <c r="A1494" s="1">
        <v>40759</v>
      </c>
      <c r="B1494" t="s">
        <v>293</v>
      </c>
      <c r="C1494" s="2" t="str">
        <f>HYPERLINK("http://snap.windin.com/ns/bulletin.php?id=1001075&amp;type=1", "卫宁软件:首次公开发行股票并在创业板上市招股说明书")</f>
        <v>卫宁软件:首次公开发行股票并在创业板上市招股说明书</v>
      </c>
      <c r="D1494" t="s">
        <v>2334</v>
      </c>
      <c r="E1494" t="s">
        <v>780</v>
      </c>
      <c r="F1494" t="s">
        <v>455</v>
      </c>
    </row>
    <row r="1495" spans="1:6" x14ac:dyDescent="0.15">
      <c r="A1495" s="1">
        <v>40757</v>
      </c>
      <c r="B1495" t="s">
        <v>295</v>
      </c>
      <c r="C1495" s="2" t="str">
        <f>HYPERLINK("http://snap.windin.com/ns/bulletin.php?id=1715272&amp;type=1", "捷顺科技:首次公开发行股票招股说明书")</f>
        <v>捷顺科技:首次公开发行股票招股说明书</v>
      </c>
      <c r="D1495" t="s">
        <v>2345</v>
      </c>
      <c r="E1495" t="s">
        <v>782</v>
      </c>
      <c r="F1495" t="s">
        <v>399</v>
      </c>
    </row>
    <row r="1496" spans="1:6" x14ac:dyDescent="0.15">
      <c r="A1496" s="1">
        <v>40757</v>
      </c>
      <c r="B1496" t="s">
        <v>296</v>
      </c>
      <c r="C1496" s="2" t="str">
        <f>HYPERLINK("http://snap.windin.com/ns/bulletin.php?id=2058050&amp;type=1", "爱康科技:首次公开发行股票招股说明书")</f>
        <v>爱康科技:首次公开发行股票招股说明书</v>
      </c>
      <c r="D1496" t="s">
        <v>2343</v>
      </c>
      <c r="E1496" t="s">
        <v>783</v>
      </c>
      <c r="F1496" t="s">
        <v>399</v>
      </c>
    </row>
    <row r="1497" spans="1:6" x14ac:dyDescent="0.15">
      <c r="A1497" s="1">
        <v>40756</v>
      </c>
      <c r="B1497" t="s">
        <v>298</v>
      </c>
      <c r="C1497" s="2" t="str">
        <f>HYPERLINK("http://snap.windin.com/ns/bulletin.php?id=181049&amp;type=1", "舜天船舶:首次公开发行股票招股说明书")</f>
        <v>舜天船舶:首次公开发行股票招股说明书</v>
      </c>
      <c r="D1497" t="s">
        <v>2347</v>
      </c>
      <c r="E1497" t="s">
        <v>785</v>
      </c>
      <c r="F1497" t="s">
        <v>399</v>
      </c>
    </row>
    <row r="1498" spans="1:6" x14ac:dyDescent="0.15">
      <c r="A1498" s="1">
        <v>40753</v>
      </c>
      <c r="B1498" t="s">
        <v>292</v>
      </c>
      <c r="C1498" s="2" t="str">
        <f>HYPERLINK("http://snap.windin.com/ns/bulletin.php?id=1210201&amp;type=1", "金信诺:首次公开发行股票并在创业板上市招股说明书")</f>
        <v>金信诺:首次公开发行股票并在创业板上市招股说明书</v>
      </c>
      <c r="D1498" t="s">
        <v>2358</v>
      </c>
      <c r="E1498" t="s">
        <v>779</v>
      </c>
      <c r="F1498" t="s">
        <v>455</v>
      </c>
    </row>
    <row r="1499" spans="1:6" x14ac:dyDescent="0.15">
      <c r="A1499" s="1">
        <v>40753</v>
      </c>
      <c r="B1499" t="s">
        <v>266</v>
      </c>
      <c r="C1499" s="2" t="str">
        <f>HYPERLINK("http://snap.windin.com/ns/bulletin.php?id=1967396&amp;type=1", "长城汽车:首次公开发行股票招股说明书（申报稿）")</f>
        <v>长城汽车:首次公开发行股票招股说明书（申报稿）</v>
      </c>
      <c r="D1499" t="s">
        <v>7938</v>
      </c>
      <c r="E1499" t="s">
        <v>751</v>
      </c>
      <c r="F1499" t="s">
        <v>5452</v>
      </c>
    </row>
    <row r="1500" spans="1:6" x14ac:dyDescent="0.15">
      <c r="A1500" s="1">
        <v>40752</v>
      </c>
      <c r="B1500" t="s">
        <v>300</v>
      </c>
      <c r="C1500" s="2" t="str">
        <f>HYPERLINK("http://snap.windin.com/ns/bulletin.php?id=488527&amp;type=1", "亚夏汽车:首次公开发行股票招股说明书")</f>
        <v>亚夏汽车:首次公开发行股票招股说明书</v>
      </c>
      <c r="D1500" t="s">
        <v>2369</v>
      </c>
      <c r="E1500" t="s">
        <v>787</v>
      </c>
      <c r="F1500" t="s">
        <v>399</v>
      </c>
    </row>
    <row r="1501" spans="1:6" x14ac:dyDescent="0.15">
      <c r="A1501" s="1">
        <v>40751</v>
      </c>
      <c r="B1501" t="s">
        <v>303</v>
      </c>
      <c r="C1501" s="2" t="str">
        <f>HYPERLINK("http://snap.windin.com/ns/bulletin.php?id=2113685&amp;type=1", "大连电瓷:首次公开发行股票招股说明书")</f>
        <v>大连电瓷:首次公开发行股票招股说明书</v>
      </c>
      <c r="D1501" t="s">
        <v>2378</v>
      </c>
      <c r="E1501" t="s">
        <v>790</v>
      </c>
      <c r="F1501" t="s">
        <v>399</v>
      </c>
    </row>
    <row r="1502" spans="1:6" x14ac:dyDescent="0.15">
      <c r="A1502" s="1">
        <v>40749</v>
      </c>
      <c r="B1502" t="s">
        <v>249</v>
      </c>
      <c r="C1502" s="2" t="str">
        <f>HYPERLINK("http://snap.windin.com/ns/bulletin.php?id=1682474&amp;type=1", "开能环保:创业板首发招股说明书（申报稿）")</f>
        <v>开能环保:创业板首发招股说明书（申报稿）</v>
      </c>
      <c r="D1502" t="s">
        <v>7939</v>
      </c>
      <c r="E1502" t="s">
        <v>730</v>
      </c>
      <c r="F1502" t="s">
        <v>5450</v>
      </c>
    </row>
    <row r="1503" spans="1:6" x14ac:dyDescent="0.15">
      <c r="A1503" s="1">
        <v>40749</v>
      </c>
      <c r="B1503" t="s">
        <v>257</v>
      </c>
      <c r="C1503" s="2" t="str">
        <f>HYPERLINK("http://snap.windin.com/ns/bulletin.php?id=1639389&amp;type=1", "中国水电:首发招股说明书（申报稿）")</f>
        <v>中国水电:首发招股说明书（申报稿）</v>
      </c>
      <c r="D1503" t="s">
        <v>7940</v>
      </c>
      <c r="E1503" t="s">
        <v>739</v>
      </c>
      <c r="F1503" t="s">
        <v>5513</v>
      </c>
    </row>
    <row r="1504" spans="1:6" x14ac:dyDescent="0.15">
      <c r="A1504" s="1">
        <v>40749</v>
      </c>
      <c r="B1504" t="s">
        <v>302</v>
      </c>
      <c r="C1504" s="2" t="str">
        <f>HYPERLINK("http://snap.windin.com/ns/bulletin.php?id=1160669&amp;type=1", "姚记扑克:首次公开发行股票招股说明书")</f>
        <v>姚记扑克:首次公开发行股票招股说明书</v>
      </c>
      <c r="D1504" t="s">
        <v>2396</v>
      </c>
      <c r="E1504" t="s">
        <v>789</v>
      </c>
      <c r="F1504" t="s">
        <v>399</v>
      </c>
    </row>
    <row r="1505" spans="1:6" x14ac:dyDescent="0.15">
      <c r="A1505" s="1">
        <v>40749</v>
      </c>
      <c r="B1505" t="s">
        <v>227</v>
      </c>
      <c r="C1505" s="2" t="str">
        <f>HYPERLINK("http://snap.windin.com/ns/bulletin.php?id=1387249&amp;type=1", "永高股份:首发招股说明书（申报稿）")</f>
        <v>永高股份:首发招股说明书（申报稿）</v>
      </c>
      <c r="D1505" t="s">
        <v>7941</v>
      </c>
      <c r="E1505" t="s">
        <v>701</v>
      </c>
      <c r="F1505" t="s">
        <v>5513</v>
      </c>
    </row>
    <row r="1506" spans="1:6" x14ac:dyDescent="0.15">
      <c r="A1506" s="1">
        <v>40749</v>
      </c>
      <c r="B1506" t="s">
        <v>306</v>
      </c>
      <c r="C1506" s="2" t="str">
        <f>HYPERLINK("http://snap.windin.com/ns/bulletin.php?id=479594&amp;type=1", "光线传媒:首次公开发行股票并在创业板上市招股说明书")</f>
        <v>光线传媒:首次公开发行股票并在创业板上市招股说明书</v>
      </c>
      <c r="D1506" t="s">
        <v>2389</v>
      </c>
      <c r="E1506" t="s">
        <v>793</v>
      </c>
      <c r="F1506" t="s">
        <v>455</v>
      </c>
    </row>
    <row r="1507" spans="1:6" x14ac:dyDescent="0.15">
      <c r="A1507" s="1">
        <v>40749</v>
      </c>
      <c r="B1507" t="s">
        <v>54</v>
      </c>
      <c r="C1507" s="2" t="str">
        <f>HYPERLINK("http://snap.windin.com/ns/bulletin.php?id=666615&amp;type=1", "露笑科技:首发招股说明书（申报稿）")</f>
        <v>露笑科技:首发招股说明书（申报稿）</v>
      </c>
      <c r="D1507" t="s">
        <v>7942</v>
      </c>
      <c r="E1507" t="s">
        <v>481</v>
      </c>
      <c r="F1507" t="s">
        <v>5513</v>
      </c>
    </row>
    <row r="1508" spans="1:6" x14ac:dyDescent="0.15">
      <c r="A1508" s="1">
        <v>40749</v>
      </c>
      <c r="B1508" t="s">
        <v>263</v>
      </c>
      <c r="C1508" s="2" t="str">
        <f>HYPERLINK("http://snap.windin.com/ns/bulletin.php?id=412836&amp;type=1", "丰林集团:首发招股说明书（申报稿）")</f>
        <v>丰林集团:首发招股说明书（申报稿）</v>
      </c>
      <c r="D1508" t="s">
        <v>7943</v>
      </c>
      <c r="E1508" t="s">
        <v>748</v>
      </c>
      <c r="F1508" t="s">
        <v>5513</v>
      </c>
    </row>
    <row r="1509" spans="1:6" x14ac:dyDescent="0.15">
      <c r="A1509" s="1">
        <v>40749</v>
      </c>
      <c r="B1509" t="s">
        <v>267</v>
      </c>
      <c r="C1509" s="2" t="str">
        <f>HYPERLINK("http://snap.windin.com/ns/bulletin.php?id=1568525&amp;type=1", "兴源过滤:创业板首发招股说明书（申报稿）")</f>
        <v>兴源过滤:创业板首发招股说明书（申报稿）</v>
      </c>
      <c r="D1509" t="s">
        <v>7944</v>
      </c>
      <c r="E1509" t="s">
        <v>752</v>
      </c>
      <c r="F1509" t="s">
        <v>5450</v>
      </c>
    </row>
    <row r="1510" spans="1:6" x14ac:dyDescent="0.15">
      <c r="A1510" s="1">
        <v>40749</v>
      </c>
      <c r="B1510" t="s">
        <v>240</v>
      </c>
      <c r="C1510" s="2" t="str">
        <f>HYPERLINK("http://snap.windin.com/ns/bulletin.php?id=1500781&amp;type=1", "华西能源:首发招股说明书（申报稿）")</f>
        <v>华西能源:首发招股说明书（申报稿）</v>
      </c>
      <c r="D1510" t="s">
        <v>7945</v>
      </c>
      <c r="E1510" t="s">
        <v>721</v>
      </c>
      <c r="F1510" t="s">
        <v>5513</v>
      </c>
    </row>
    <row r="1511" spans="1:6" x14ac:dyDescent="0.15">
      <c r="A1511" s="1">
        <v>40749</v>
      </c>
      <c r="B1511" t="s">
        <v>3634</v>
      </c>
      <c r="C1511" s="2" t="str">
        <f>HYPERLINK("http://snap.windin.com/ns/bulletin.php?id=945073&amp;type=1", "威海广泰:2010年度公开增发招股说明书（封卷稿）")</f>
        <v>威海广泰:2010年度公开增发招股说明书（封卷稿）</v>
      </c>
      <c r="D1511" t="s">
        <v>7946</v>
      </c>
      <c r="E1511" t="s">
        <v>5620</v>
      </c>
      <c r="F1511" t="s">
        <v>5621</v>
      </c>
    </row>
    <row r="1512" spans="1:6" x14ac:dyDescent="0.15">
      <c r="A1512" s="1">
        <v>40746</v>
      </c>
      <c r="B1512" t="s">
        <v>305</v>
      </c>
      <c r="C1512" s="2" t="str">
        <f>HYPERLINK("http://snap.windin.com/ns/bulletin.php?id=1771394&amp;type=1", "依米康:首次公开发行股票并在创业板上市招股说明书")</f>
        <v>依米康:首次公开发行股票并在创业板上市招股说明书</v>
      </c>
      <c r="D1512" t="s">
        <v>2400</v>
      </c>
      <c r="E1512" t="s">
        <v>792</v>
      </c>
      <c r="F1512" t="s">
        <v>455</v>
      </c>
    </row>
    <row r="1513" spans="1:6" x14ac:dyDescent="0.15">
      <c r="A1513" s="1">
        <v>40746</v>
      </c>
      <c r="B1513" t="s">
        <v>264</v>
      </c>
      <c r="C1513" s="2" t="str">
        <f>HYPERLINK("http://snap.windin.com/ns/bulletin.php?id=1198205&amp;type=1", "巨龙管业:首发招股说明书（申报稿）")</f>
        <v>巨龙管业:首发招股说明书（申报稿）</v>
      </c>
      <c r="D1513" t="s">
        <v>7947</v>
      </c>
      <c r="E1513" t="s">
        <v>749</v>
      </c>
      <c r="F1513" t="s">
        <v>5513</v>
      </c>
    </row>
    <row r="1514" spans="1:6" x14ac:dyDescent="0.15">
      <c r="A1514" s="1">
        <v>40746</v>
      </c>
      <c r="B1514" t="s">
        <v>262</v>
      </c>
      <c r="C1514" s="2" t="str">
        <f>HYPERLINK("http://snap.windin.com/ns/bulletin.php?id=1178624&amp;type=1", "大连三垒:首发招股说明书（申报稿）")</f>
        <v>大连三垒:首发招股说明书（申报稿）</v>
      </c>
      <c r="D1514" t="s">
        <v>7948</v>
      </c>
      <c r="E1514" t="s">
        <v>747</v>
      </c>
      <c r="F1514" t="s">
        <v>5513</v>
      </c>
    </row>
    <row r="1515" spans="1:6" x14ac:dyDescent="0.15">
      <c r="A1515" s="1">
        <v>40746</v>
      </c>
      <c r="B1515" t="s">
        <v>3635</v>
      </c>
      <c r="C1515" s="2" t="str">
        <f>HYPERLINK("http://snap.windin.com/ns/bulletin.php?id=1799568&amp;type=1", "木林森:首发招股说明书（申报稿）")</f>
        <v>木林森:首发招股说明书（申报稿）</v>
      </c>
      <c r="D1515" t="s">
        <v>7949</v>
      </c>
      <c r="E1515" t="s">
        <v>5622</v>
      </c>
      <c r="F1515" t="s">
        <v>5513</v>
      </c>
    </row>
    <row r="1516" spans="1:6" x14ac:dyDescent="0.15">
      <c r="A1516" s="1">
        <v>40746</v>
      </c>
      <c r="B1516" t="s">
        <v>278</v>
      </c>
      <c r="C1516" s="2" t="str">
        <f>HYPERLINK("http://snap.windin.com/ns/bulletin.php?id=1475479&amp;type=1", "哈尔斯:首发招股说明书（申报稿）")</f>
        <v>哈尔斯:首发招股说明书（申报稿）</v>
      </c>
      <c r="D1516" t="s">
        <v>7950</v>
      </c>
      <c r="E1516" t="s">
        <v>763</v>
      </c>
      <c r="F1516" t="s">
        <v>5513</v>
      </c>
    </row>
    <row r="1517" spans="1:6" x14ac:dyDescent="0.15">
      <c r="A1517" s="1">
        <v>40746</v>
      </c>
      <c r="B1517" t="s">
        <v>304</v>
      </c>
      <c r="C1517" s="2" t="str">
        <f>HYPERLINK("http://snap.windin.com/ns/bulletin.php?id=800070&amp;type=1", "初灵信息:首次公开发行股票并在创业板上市招股说明书")</f>
        <v>初灵信息:首次公开发行股票并在创业板上市招股说明书</v>
      </c>
      <c r="D1517" t="s">
        <v>2399</v>
      </c>
      <c r="E1517" t="s">
        <v>791</v>
      </c>
      <c r="F1517" t="s">
        <v>455</v>
      </c>
    </row>
    <row r="1518" spans="1:6" x14ac:dyDescent="0.15">
      <c r="A1518" s="1">
        <v>40745</v>
      </c>
      <c r="B1518" t="s">
        <v>252</v>
      </c>
      <c r="C1518" s="2" t="str">
        <f>HYPERLINK("http://snap.windin.com/ns/bulletin.php?id=1308582&amp;type=1", "金磊股份:首发招股说明书（申报稿）")</f>
        <v>金磊股份:首发招股说明书（申报稿）</v>
      </c>
      <c r="D1518" t="s">
        <v>7951</v>
      </c>
      <c r="E1518" t="s">
        <v>733</v>
      </c>
      <c r="F1518" t="s">
        <v>5513</v>
      </c>
    </row>
    <row r="1519" spans="1:6" x14ac:dyDescent="0.15">
      <c r="A1519" s="1">
        <v>40745</v>
      </c>
      <c r="B1519" t="s">
        <v>279</v>
      </c>
      <c r="C1519" s="2" t="str">
        <f>HYPERLINK("http://snap.windin.com/ns/bulletin.php?id=2096303&amp;type=1", "蒙发利:厦门蒙发利科技（集团）股份有限公司首次公开发行股票招股说明书（申报稿）")</f>
        <v>蒙发利:厦门蒙发利科技（集团）股份有限公司首次公开发行股票招股说明书（申报稿）</v>
      </c>
      <c r="D1519" t="s">
        <v>7952</v>
      </c>
      <c r="E1519" t="s">
        <v>764</v>
      </c>
      <c r="F1519" t="s">
        <v>5623</v>
      </c>
    </row>
    <row r="1520" spans="1:6" x14ac:dyDescent="0.15">
      <c r="A1520" s="1">
        <v>40745</v>
      </c>
      <c r="B1520" t="s">
        <v>161</v>
      </c>
      <c r="C1520" s="2" t="str">
        <f>HYPERLINK("http://snap.windin.com/ns/bulletin.php?id=2003144&amp;type=1", "隆基股份:首次公开发行股票招股说明书（申报稿）")</f>
        <v>隆基股份:首次公开发行股票招股说明书（申报稿）</v>
      </c>
      <c r="D1520" t="s">
        <v>7953</v>
      </c>
      <c r="E1520" t="s">
        <v>617</v>
      </c>
      <c r="F1520" t="s">
        <v>5452</v>
      </c>
    </row>
    <row r="1521" spans="1:6" x14ac:dyDescent="0.15">
      <c r="A1521" s="1">
        <v>40745</v>
      </c>
      <c r="B1521" t="s">
        <v>3636</v>
      </c>
      <c r="C1521" s="2" t="str">
        <f>HYPERLINK("http://snap.windin.com/ns/bulletin.php?id=920812&amp;type=1", "大连轴承:首发招股说明书（申报稿）")</f>
        <v>大连轴承:首发招股说明书（申报稿）</v>
      </c>
      <c r="D1521" t="s">
        <v>7954</v>
      </c>
      <c r="E1521" t="s">
        <v>5624</v>
      </c>
      <c r="F1521" t="s">
        <v>5513</v>
      </c>
    </row>
    <row r="1522" spans="1:6" x14ac:dyDescent="0.15">
      <c r="A1522" s="1">
        <v>40743</v>
      </c>
      <c r="B1522" t="s">
        <v>308</v>
      </c>
      <c r="C1522" s="2" t="str">
        <f>HYPERLINK("http://snap.windin.com/ns/bulletin.php?id=1684979&amp;type=1", "新开普:首次公开发行股票并在创业板上市招股说明书")</f>
        <v>新开普:首次公开发行股票并在创业板上市招股说明书</v>
      </c>
      <c r="D1522" t="s">
        <v>2411</v>
      </c>
      <c r="E1522" t="s">
        <v>795</v>
      </c>
      <c r="F1522" t="s">
        <v>455</v>
      </c>
    </row>
    <row r="1523" spans="1:6" x14ac:dyDescent="0.15">
      <c r="A1523" s="1">
        <v>40743</v>
      </c>
      <c r="B1523" t="s">
        <v>311</v>
      </c>
      <c r="C1523" s="2" t="str">
        <f>HYPERLINK("http://snap.windin.com/ns/bulletin.php?id=133222&amp;type=1", "龙力生物:首次公开发行股票招股说明书")</f>
        <v>龙力生物:首次公开发行股票招股说明书</v>
      </c>
      <c r="D1523" t="s">
        <v>2412</v>
      </c>
      <c r="E1523" t="s">
        <v>799</v>
      </c>
      <c r="F1523" t="s">
        <v>399</v>
      </c>
    </row>
    <row r="1524" spans="1:6" x14ac:dyDescent="0.15">
      <c r="A1524" s="1">
        <v>40742</v>
      </c>
      <c r="B1524" t="s">
        <v>285</v>
      </c>
      <c r="C1524" s="2" t="str">
        <f>HYPERLINK("http://snap.windin.com/ns/bulletin.php?id=2111405&amp;type=1", "朗姿股份:首发招股说明书（申报稿）")</f>
        <v>朗姿股份:首发招股说明书（申报稿）</v>
      </c>
      <c r="D1524" t="s">
        <v>7955</v>
      </c>
      <c r="E1524" t="s">
        <v>772</v>
      </c>
      <c r="F1524" t="s">
        <v>5513</v>
      </c>
    </row>
    <row r="1525" spans="1:6" x14ac:dyDescent="0.15">
      <c r="A1525" s="1">
        <v>40742</v>
      </c>
      <c r="B1525" t="s">
        <v>136</v>
      </c>
      <c r="C1525" s="2" t="str">
        <f>HYPERLINK("http://snap.windin.com/ns/bulletin.php?id=1914970&amp;type=1", "巴安水务:创业板首发招股说明书（申报稿）")</f>
        <v>巴安水务:创业板首发招股说明书（申报稿）</v>
      </c>
      <c r="D1525" t="s">
        <v>7956</v>
      </c>
      <c r="E1525" t="s">
        <v>582</v>
      </c>
      <c r="F1525" t="s">
        <v>5450</v>
      </c>
    </row>
    <row r="1526" spans="1:6" x14ac:dyDescent="0.15">
      <c r="A1526" s="1">
        <v>40742</v>
      </c>
      <c r="B1526" t="s">
        <v>309</v>
      </c>
      <c r="C1526" s="2" t="str">
        <f>HYPERLINK("http://snap.windin.com/ns/bulletin.php?id=1627233&amp;type=1", "以岭药业:首次公开发行股票（A股）招股说明书")</f>
        <v>以岭药业:首次公开发行股票（A股）招股说明书</v>
      </c>
      <c r="D1526" t="s">
        <v>2426</v>
      </c>
      <c r="E1526" t="s">
        <v>796</v>
      </c>
      <c r="F1526" t="s">
        <v>661</v>
      </c>
    </row>
    <row r="1527" spans="1:6" x14ac:dyDescent="0.15">
      <c r="A1527" s="1">
        <v>40742</v>
      </c>
      <c r="B1527" t="s">
        <v>274</v>
      </c>
      <c r="C1527" s="2" t="str">
        <f>HYPERLINK("http://snap.windin.com/ns/bulletin.php?id=1568260&amp;type=1", "明泰铝业:首次公开发行股票招股说明书（申报稿）")</f>
        <v>明泰铝业:首次公开发行股票招股说明书（申报稿）</v>
      </c>
      <c r="D1527" t="s">
        <v>7957</v>
      </c>
      <c r="E1527" t="s">
        <v>759</v>
      </c>
      <c r="F1527" t="s">
        <v>5452</v>
      </c>
    </row>
    <row r="1528" spans="1:6" x14ac:dyDescent="0.15">
      <c r="A1528" s="1">
        <v>40742</v>
      </c>
      <c r="B1528" t="s">
        <v>236</v>
      </c>
      <c r="C1528" s="2" t="str">
        <f>HYPERLINK("http://snap.windin.com/ns/bulletin.php?id=723035&amp;type=1", "海联讯:创业板首发招股说明书（申报稿）")</f>
        <v>海联讯:创业板首发招股说明书（申报稿）</v>
      </c>
      <c r="D1528" t="s">
        <v>7958</v>
      </c>
      <c r="E1528" t="s">
        <v>717</v>
      </c>
      <c r="F1528" t="s">
        <v>5450</v>
      </c>
    </row>
    <row r="1529" spans="1:6" x14ac:dyDescent="0.15">
      <c r="A1529" s="1">
        <v>40742</v>
      </c>
      <c r="B1529" t="s">
        <v>259</v>
      </c>
      <c r="C1529" s="2" t="str">
        <f>HYPERLINK("http://snap.windin.com/ns/bulletin.php?id=1021862&amp;type=1", "中威电子:创业板首发招股说明书（申报稿）")</f>
        <v>中威电子:创业板首发招股说明书（申报稿）</v>
      </c>
      <c r="D1529" t="s">
        <v>7959</v>
      </c>
      <c r="E1529" t="s">
        <v>741</v>
      </c>
      <c r="F1529" t="s">
        <v>5450</v>
      </c>
    </row>
    <row r="1530" spans="1:6" x14ac:dyDescent="0.15">
      <c r="A1530" s="1">
        <v>40739</v>
      </c>
      <c r="B1530" t="s">
        <v>189</v>
      </c>
      <c r="C1530" s="2" t="str">
        <f>HYPERLINK("http://snap.windin.com/ns/bulletin.php?id=1767212&amp;type=1", "博雅生物:创业板首发招股说明书（申报稿）")</f>
        <v>博雅生物:创业板首发招股说明书（申报稿）</v>
      </c>
      <c r="D1530" t="s">
        <v>7960</v>
      </c>
      <c r="E1530" t="s">
        <v>654</v>
      </c>
      <c r="F1530" t="s">
        <v>5450</v>
      </c>
    </row>
    <row r="1531" spans="1:6" x14ac:dyDescent="0.15">
      <c r="A1531" s="1">
        <v>40739</v>
      </c>
      <c r="B1531" t="s">
        <v>307</v>
      </c>
      <c r="C1531" s="2" t="str">
        <f>HYPERLINK("http://snap.windin.com/ns/bulletin.php?id=2116583&amp;type=1", "桑乐金:首次公开发行股票并在创业板上市招股说明书")</f>
        <v>桑乐金:首次公开发行股票并在创业板上市招股说明书</v>
      </c>
      <c r="D1531" t="s">
        <v>2436</v>
      </c>
      <c r="E1531" t="s">
        <v>794</v>
      </c>
      <c r="F1531" t="s">
        <v>455</v>
      </c>
    </row>
    <row r="1532" spans="1:6" x14ac:dyDescent="0.15">
      <c r="A1532" s="1">
        <v>40739</v>
      </c>
      <c r="B1532" t="s">
        <v>276</v>
      </c>
      <c r="C1532" s="2" t="str">
        <f>HYPERLINK("http://snap.windin.com/ns/bulletin.php?id=1156021&amp;type=1", "隆华传热:创业板首发招股说明书（申报稿）")</f>
        <v>隆华传热:创业板首发招股说明书（申报稿）</v>
      </c>
      <c r="D1532" t="s">
        <v>7961</v>
      </c>
      <c r="E1532" t="s">
        <v>761</v>
      </c>
      <c r="F1532" t="s">
        <v>5450</v>
      </c>
    </row>
    <row r="1533" spans="1:6" x14ac:dyDescent="0.15">
      <c r="A1533" s="1">
        <v>40739</v>
      </c>
      <c r="B1533" t="s">
        <v>269</v>
      </c>
      <c r="C1533" s="2" t="str">
        <f>HYPERLINK("http://snap.windin.com/ns/bulletin.php?id=461667&amp;type=1", "万福生科:（湖南）农业开发股份有限公司创业板首发招股说明书（申报稿）")</f>
        <v>万福生科:（湖南）农业开发股份有限公司创业板首发招股说明书（申报稿）</v>
      </c>
      <c r="D1533" t="s">
        <v>7962</v>
      </c>
      <c r="E1533" t="s">
        <v>754</v>
      </c>
      <c r="F1533" t="s">
        <v>5625</v>
      </c>
    </row>
    <row r="1534" spans="1:6" x14ac:dyDescent="0.15">
      <c r="A1534" s="1">
        <v>40739</v>
      </c>
      <c r="B1534" t="s">
        <v>272</v>
      </c>
      <c r="C1534" s="2" t="str">
        <f>HYPERLINK("http://snap.windin.com/ns/bulletin.php?id=860388&amp;type=1", "长青集团:首开招股说明书（申报稿）")</f>
        <v>长青集团:首开招股说明书（申报稿）</v>
      </c>
      <c r="D1534" t="s">
        <v>7963</v>
      </c>
      <c r="E1534" t="s">
        <v>757</v>
      </c>
      <c r="F1534" t="s">
        <v>5613</v>
      </c>
    </row>
    <row r="1535" spans="1:6" x14ac:dyDescent="0.15">
      <c r="A1535" s="1">
        <v>40738</v>
      </c>
      <c r="B1535" t="s">
        <v>3637</v>
      </c>
      <c r="C1535" s="2" t="str">
        <f>HYPERLINK("http://snap.windin.com/ns/bulletin.php?id=1674232&amp;type=1", "维格娜丝:首发招股说明书（申报稿）")</f>
        <v>维格娜丝:首发招股说明书（申报稿）</v>
      </c>
      <c r="D1535" t="s">
        <v>7964</v>
      </c>
      <c r="E1535" t="s">
        <v>5266</v>
      </c>
      <c r="F1535" t="s">
        <v>5513</v>
      </c>
    </row>
    <row r="1536" spans="1:6" x14ac:dyDescent="0.15">
      <c r="A1536" s="1">
        <v>40738</v>
      </c>
      <c r="B1536" t="s">
        <v>271</v>
      </c>
      <c r="C1536" s="2" t="str">
        <f>HYPERLINK("http://snap.windin.com/ns/bulletin.php?id=1731207&amp;type=1", "东方精工:首发招股说明书（申报稿）")</f>
        <v>东方精工:首发招股说明书（申报稿）</v>
      </c>
      <c r="D1536" t="s">
        <v>7965</v>
      </c>
      <c r="E1536" t="s">
        <v>756</v>
      </c>
      <c r="F1536" t="s">
        <v>5513</v>
      </c>
    </row>
    <row r="1537" spans="1:6" x14ac:dyDescent="0.15">
      <c r="A1537" s="1">
        <v>40737</v>
      </c>
      <c r="B1537" t="s">
        <v>3638</v>
      </c>
      <c r="C1537" s="2" t="str">
        <f>HYPERLINK("http://snap.windin.com/ns/bulletin.php?id=235341&amp;type=1", "中天科技:增发招股说明书（封卷稿）")</f>
        <v>中天科技:增发招股说明书（封卷稿）</v>
      </c>
      <c r="D1537" t="s">
        <v>7966</v>
      </c>
      <c r="E1537" t="s">
        <v>5626</v>
      </c>
      <c r="F1537" t="s">
        <v>5627</v>
      </c>
    </row>
    <row r="1538" spans="1:6" x14ac:dyDescent="0.15">
      <c r="A1538" s="1">
        <v>40736</v>
      </c>
      <c r="B1538" t="s">
        <v>310</v>
      </c>
      <c r="C1538" s="2" t="str">
        <f>HYPERLINK("http://snap.windin.com/ns/bulletin.php?id=2006246&amp;type=1", "世纪华通:首次公开发行股票招股说明书")</f>
        <v>世纪华通:首次公开发行股票招股说明书</v>
      </c>
      <c r="D1538" t="s">
        <v>2442</v>
      </c>
      <c r="E1538" t="s">
        <v>797</v>
      </c>
      <c r="F1538" t="s">
        <v>399</v>
      </c>
    </row>
    <row r="1539" spans="1:6" x14ac:dyDescent="0.15">
      <c r="A1539" s="1">
        <v>40735</v>
      </c>
      <c r="B1539" t="s">
        <v>255</v>
      </c>
      <c r="C1539" s="2" t="str">
        <f>HYPERLINK("http://snap.windin.com/ns/bulletin.php?id=1517137&amp;type=1", "和佳股份:创业板首发招股说明书（申报稿）")</f>
        <v>和佳股份:创业板首发招股说明书（申报稿）</v>
      </c>
      <c r="D1539" t="s">
        <v>7967</v>
      </c>
      <c r="E1539" t="s">
        <v>736</v>
      </c>
      <c r="F1539" t="s">
        <v>5450</v>
      </c>
    </row>
    <row r="1540" spans="1:6" x14ac:dyDescent="0.15">
      <c r="A1540" s="1">
        <v>40735</v>
      </c>
      <c r="B1540" t="s">
        <v>261</v>
      </c>
      <c r="C1540" s="2" t="str">
        <f>HYPERLINK("http://snap.windin.com/ns/bulletin.php?id=1522449&amp;type=1", "联建光电:创业板首发招股说明书（申报稿）")</f>
        <v>联建光电:创业板首发招股说明书（申报稿）</v>
      </c>
      <c r="D1540" t="s">
        <v>7968</v>
      </c>
      <c r="E1540" t="s">
        <v>745</v>
      </c>
      <c r="F1540" t="s">
        <v>5450</v>
      </c>
    </row>
    <row r="1541" spans="1:6" x14ac:dyDescent="0.15">
      <c r="A1541" s="1">
        <v>40735</v>
      </c>
      <c r="B1541" t="s">
        <v>281</v>
      </c>
      <c r="C1541" s="2" t="str">
        <f>HYPERLINK("http://snap.windin.com/ns/bulletin.php?id=801167&amp;type=1", "雅本化学:创业板首发招股说明书（申报稿）")</f>
        <v>雅本化学:创业板首发招股说明书（申报稿）</v>
      </c>
      <c r="D1541" t="s">
        <v>7969</v>
      </c>
      <c r="E1541" t="s">
        <v>766</v>
      </c>
      <c r="F1541" t="s">
        <v>5450</v>
      </c>
    </row>
    <row r="1542" spans="1:6" x14ac:dyDescent="0.15">
      <c r="A1542" s="1">
        <v>40732</v>
      </c>
      <c r="B1542" t="s">
        <v>312</v>
      </c>
      <c r="C1542" s="2" t="str">
        <f>HYPERLINK("http://snap.windin.com/ns/bulletin.php?id=1695196&amp;type=1", "宝莱特:首次公开发行股票并在创业板上市招股说明书")</f>
        <v>宝莱特:首次公开发行股票并在创业板上市招股说明书</v>
      </c>
      <c r="D1542" t="s">
        <v>2459</v>
      </c>
      <c r="E1542" t="s">
        <v>802</v>
      </c>
      <c r="F1542" t="s">
        <v>455</v>
      </c>
    </row>
    <row r="1543" spans="1:6" x14ac:dyDescent="0.15">
      <c r="A1543" s="1">
        <v>40732</v>
      </c>
      <c r="B1543" t="s">
        <v>313</v>
      </c>
      <c r="C1543" s="2" t="str">
        <f>HYPERLINK("http://snap.windin.com/ns/bulletin.php?id=406116&amp;type=1", "天玑科技:首次公开发行股票并在创业板上市招股说明书")</f>
        <v>天玑科技:首次公开发行股票并在创业板上市招股说明书</v>
      </c>
      <c r="D1543" t="s">
        <v>2460</v>
      </c>
      <c r="E1543" t="s">
        <v>803</v>
      </c>
      <c r="F1543" t="s">
        <v>455</v>
      </c>
    </row>
    <row r="1544" spans="1:6" x14ac:dyDescent="0.15">
      <c r="A1544" s="1">
        <v>40732</v>
      </c>
      <c r="B1544" t="s">
        <v>209</v>
      </c>
      <c r="C1544" s="2" t="str">
        <f>HYPERLINK("http://snap.windin.com/ns/bulletin.php?id=405658&amp;type=1", "苏交科:创业板首发招股说明书（申报稿）")</f>
        <v>苏交科:创业板首发招股说明书（申报稿）</v>
      </c>
      <c r="D1544" t="s">
        <v>7970</v>
      </c>
      <c r="E1544" t="s">
        <v>681</v>
      </c>
      <c r="F1544" t="s">
        <v>5450</v>
      </c>
    </row>
    <row r="1545" spans="1:6" x14ac:dyDescent="0.15">
      <c r="A1545" s="1">
        <v>40732</v>
      </c>
      <c r="B1545" t="s">
        <v>314</v>
      </c>
      <c r="C1545" s="2" t="str">
        <f>HYPERLINK("http://snap.windin.com/ns/bulletin.php?id=1355562&amp;type=1", "迪安诊断:首次公开发行股票并在创业板上市招股说明书")</f>
        <v>迪安诊断:首次公开发行股票并在创业板上市招股说明书</v>
      </c>
      <c r="D1545" t="s">
        <v>2461</v>
      </c>
      <c r="E1545" t="s">
        <v>804</v>
      </c>
      <c r="F1545" t="s">
        <v>455</v>
      </c>
    </row>
    <row r="1546" spans="1:6" x14ac:dyDescent="0.15">
      <c r="A1546" s="1">
        <v>40732</v>
      </c>
      <c r="B1546" t="s">
        <v>291</v>
      </c>
      <c r="C1546" s="2" t="str">
        <f>HYPERLINK("http://snap.windin.com/ns/bulletin.php?id=2035639&amp;type=1", "江河幕墙:首发招股说明书（申报稿）")</f>
        <v>江河幕墙:首发招股说明书（申报稿）</v>
      </c>
      <c r="D1546" t="s">
        <v>7971</v>
      </c>
      <c r="E1546" t="s">
        <v>778</v>
      </c>
      <c r="F1546" t="s">
        <v>5513</v>
      </c>
    </row>
    <row r="1547" spans="1:6" x14ac:dyDescent="0.15">
      <c r="A1547" s="1">
        <v>40732</v>
      </c>
      <c r="B1547" t="s">
        <v>280</v>
      </c>
      <c r="C1547" s="2" t="str">
        <f>HYPERLINK("http://snap.windin.com/ns/bulletin.php?id=1477449&amp;type=1", "京运通:首发招股说明书（申报稿）")</f>
        <v>京运通:首发招股说明书（申报稿）</v>
      </c>
      <c r="D1547" t="s">
        <v>7972</v>
      </c>
      <c r="E1547" t="s">
        <v>765</v>
      </c>
      <c r="F1547" t="s">
        <v>5513</v>
      </c>
    </row>
    <row r="1548" spans="1:6" x14ac:dyDescent="0.15">
      <c r="A1548" s="1">
        <v>40732</v>
      </c>
      <c r="B1548" t="s">
        <v>275</v>
      </c>
      <c r="C1548" s="2" t="str">
        <f>HYPERLINK("http://snap.windin.com/ns/bulletin.php?id=792709&amp;type=1", "佳创视讯:创业板首发招股说明书（申报稿）")</f>
        <v>佳创视讯:创业板首发招股说明书（申报稿）</v>
      </c>
      <c r="D1548" t="s">
        <v>7973</v>
      </c>
      <c r="E1548" t="s">
        <v>760</v>
      </c>
      <c r="F1548" t="s">
        <v>5450</v>
      </c>
    </row>
    <row r="1549" spans="1:6" x14ac:dyDescent="0.15">
      <c r="A1549" s="1">
        <v>40731</v>
      </c>
      <c r="B1549" t="s">
        <v>296</v>
      </c>
      <c r="C1549" s="2" t="str">
        <f>HYPERLINK("http://snap.windin.com/ns/bulletin.php?id=153853&amp;type=1", "爱康科技:首发招股说明书（申报稿）")</f>
        <v>爱康科技:首发招股说明书（申报稿）</v>
      </c>
      <c r="D1549" t="s">
        <v>7974</v>
      </c>
      <c r="E1549" t="s">
        <v>783</v>
      </c>
      <c r="F1549" t="s">
        <v>5513</v>
      </c>
    </row>
    <row r="1550" spans="1:6" x14ac:dyDescent="0.15">
      <c r="A1550" s="1">
        <v>40731</v>
      </c>
      <c r="B1550" t="s">
        <v>247</v>
      </c>
      <c r="C1550" s="2" t="str">
        <f>HYPERLINK("http://snap.windin.com/ns/bulletin.php?id=1891096&amp;type=1", "仁智股份:首发招股说明书（申报稿）")</f>
        <v>仁智股份:首发招股说明书（申报稿）</v>
      </c>
      <c r="D1550" t="s">
        <v>7975</v>
      </c>
      <c r="E1550" t="s">
        <v>5628</v>
      </c>
      <c r="F1550" t="s">
        <v>5513</v>
      </c>
    </row>
    <row r="1551" spans="1:6" x14ac:dyDescent="0.15">
      <c r="A1551" s="1">
        <v>40731</v>
      </c>
      <c r="B1551" t="s">
        <v>247</v>
      </c>
      <c r="C1551" s="2" t="str">
        <f>HYPERLINK("http://snap.windin.com/ns/bulletin.php?id=1081407&amp;type=1", "仁智油服:首发招股说明书（申报稿）")</f>
        <v>仁智油服:首发招股说明书（申报稿）</v>
      </c>
      <c r="D1551" t="s">
        <v>7976</v>
      </c>
      <c r="E1551" t="s">
        <v>728</v>
      </c>
      <c r="F1551" t="s">
        <v>5513</v>
      </c>
    </row>
    <row r="1552" spans="1:6" x14ac:dyDescent="0.15">
      <c r="A1552" s="1">
        <v>40729</v>
      </c>
      <c r="B1552" t="s">
        <v>317</v>
      </c>
      <c r="C1552" s="2" t="str">
        <f>HYPERLINK("http://snap.windin.com/ns/bulletin.php?id=527532&amp;type=1", "盛通股份:首次公开发行股票招股说明书")</f>
        <v>盛通股份:首次公开发行股票招股说明书</v>
      </c>
      <c r="D1552" t="s">
        <v>2479</v>
      </c>
      <c r="E1552" t="s">
        <v>807</v>
      </c>
      <c r="F1552" t="s">
        <v>399</v>
      </c>
    </row>
    <row r="1553" spans="1:6" x14ac:dyDescent="0.15">
      <c r="A1553" s="1">
        <v>40729</v>
      </c>
      <c r="B1553" t="s">
        <v>316</v>
      </c>
      <c r="C1553" s="2" t="str">
        <f>HYPERLINK("http://snap.windin.com/ns/bulletin.php?id=2019338&amp;type=1", "佰利联:首次公开发行股票招股说明书")</f>
        <v>佰利联:首次公开发行股票招股说明书</v>
      </c>
      <c r="D1553" t="s">
        <v>2475</v>
      </c>
      <c r="E1553" t="s">
        <v>806</v>
      </c>
      <c r="F1553" t="s">
        <v>399</v>
      </c>
    </row>
    <row r="1554" spans="1:6" x14ac:dyDescent="0.15">
      <c r="A1554" s="1">
        <v>40729</v>
      </c>
      <c r="B1554" t="s">
        <v>315</v>
      </c>
      <c r="C1554" s="2" t="str">
        <f>HYPERLINK("http://snap.windin.com/ns/bulletin.php?id=1815597&amp;type=1", "江粉磁材:首次公开发行股票招股说明书")</f>
        <v>江粉磁材:首次公开发行股票招股说明书</v>
      </c>
      <c r="D1554" t="s">
        <v>2477</v>
      </c>
      <c r="E1554" t="s">
        <v>805</v>
      </c>
      <c r="F1554" t="s">
        <v>399</v>
      </c>
    </row>
    <row r="1555" spans="1:6" x14ac:dyDescent="0.15">
      <c r="A1555" s="1">
        <v>40728</v>
      </c>
      <c r="B1555" t="s">
        <v>3639</v>
      </c>
      <c r="C1555" s="2" t="str">
        <f>HYPERLINK("http://snap.windin.com/ns/bulletin.php?id=1612883&amp;type=1", "朝歌数码:创业板首发招股说明书（申报稿）")</f>
        <v>朝歌数码:创业板首发招股说明书（申报稿）</v>
      </c>
      <c r="D1555" t="s">
        <v>7977</v>
      </c>
      <c r="E1555" t="s">
        <v>5629</v>
      </c>
      <c r="F1555" t="s">
        <v>5450</v>
      </c>
    </row>
    <row r="1556" spans="1:6" x14ac:dyDescent="0.15">
      <c r="A1556" s="1">
        <v>40728</v>
      </c>
      <c r="B1556" t="s">
        <v>173</v>
      </c>
      <c r="C1556" s="2" t="str">
        <f>HYPERLINK("http://snap.windin.com/ns/bulletin.php?id=1224740&amp;type=1", "聚飞光电:创业板首发招股说明书（申报稿）")</f>
        <v>聚飞光电:创业板首发招股说明书（申报稿）</v>
      </c>
      <c r="D1556" t="s">
        <v>7978</v>
      </c>
      <c r="E1556" t="s">
        <v>635</v>
      </c>
      <c r="F1556" t="s">
        <v>5450</v>
      </c>
    </row>
    <row r="1557" spans="1:6" x14ac:dyDescent="0.15">
      <c r="A1557" s="1">
        <v>40726</v>
      </c>
      <c r="B1557" t="s">
        <v>7</v>
      </c>
      <c r="C1557" s="2" t="str">
        <f>HYPERLINK("http://snap.windin.com/ns/bulletin.php?id=21843634&amp;type=1", "岭南园林:首发股票招股说明书(申报稿)")</f>
        <v>岭南园林:首发股票招股说明书(申报稿)</v>
      </c>
      <c r="D1557" t="s">
        <v>7979</v>
      </c>
      <c r="E1557" t="s">
        <v>388</v>
      </c>
      <c r="F1557" t="s">
        <v>5529</v>
      </c>
    </row>
    <row r="1558" spans="1:6" x14ac:dyDescent="0.15">
      <c r="A1558" s="1">
        <v>40725</v>
      </c>
      <c r="B1558" t="s">
        <v>277</v>
      </c>
      <c r="C1558" s="2" t="str">
        <f>HYPERLINK("http://snap.windin.com/ns/bulletin.php?id=1720563&amp;type=1", "通光线缆:创业板首发招股说明书(申报稿)")</f>
        <v>通光线缆:创业板首发招股说明书(申报稿)</v>
      </c>
      <c r="D1558" t="s">
        <v>7980</v>
      </c>
      <c r="E1558" t="s">
        <v>762</v>
      </c>
      <c r="F1558" t="s">
        <v>5462</v>
      </c>
    </row>
    <row r="1559" spans="1:6" x14ac:dyDescent="0.15">
      <c r="A1559" s="1">
        <v>40725</v>
      </c>
      <c r="B1559" t="s">
        <v>3640</v>
      </c>
      <c r="C1559" s="2" t="str">
        <f>HYPERLINK("http://snap.windin.com/ns/bulletin.php?id=1636550&amp;type=1", "岭南园林:首发招股说明书（申报稿）")</f>
        <v>岭南园林:首发招股说明书（申报稿）</v>
      </c>
      <c r="D1559" t="s">
        <v>7981</v>
      </c>
      <c r="E1559" t="s">
        <v>388</v>
      </c>
      <c r="F1559" t="s">
        <v>5513</v>
      </c>
    </row>
    <row r="1560" spans="1:6" x14ac:dyDescent="0.15">
      <c r="A1560" s="1">
        <v>40725</v>
      </c>
      <c r="B1560" t="s">
        <v>293</v>
      </c>
      <c r="C1560" s="2" t="str">
        <f>HYPERLINK("http://snap.windin.com/ns/bulletin.php?id=2007999&amp;type=1", "卫宁软件:创业板首发招股说明书（申报稿）")</f>
        <v>卫宁软件:创业板首发招股说明书（申报稿）</v>
      </c>
      <c r="D1560" t="s">
        <v>7982</v>
      </c>
      <c r="E1560" t="s">
        <v>780</v>
      </c>
      <c r="F1560" t="s">
        <v>5450</v>
      </c>
    </row>
    <row r="1561" spans="1:6" x14ac:dyDescent="0.15">
      <c r="A1561" s="1">
        <v>40725</v>
      </c>
      <c r="B1561" t="s">
        <v>320</v>
      </c>
      <c r="C1561" s="2" t="str">
        <f>HYPERLINK("http://snap.windin.com/ns/bulletin.php?id=1169257&amp;type=1", "瑞丰光电:首次公开发行股票并在创业板上市招股说明书")</f>
        <v>瑞丰光电:首次公开发行股票并在创业板上市招股说明书</v>
      </c>
      <c r="D1561" t="s">
        <v>2490</v>
      </c>
      <c r="E1561" t="s">
        <v>813</v>
      </c>
      <c r="F1561" t="s">
        <v>455</v>
      </c>
    </row>
    <row r="1562" spans="1:6" x14ac:dyDescent="0.15">
      <c r="A1562" s="1">
        <v>40725</v>
      </c>
      <c r="B1562" t="s">
        <v>284</v>
      </c>
      <c r="C1562" s="2" t="str">
        <f>HYPERLINK("http://snap.windin.com/ns/bulletin.php?id=1246818&amp;type=1", "新天科技:创业板首发招股说明书（申报稿）")</f>
        <v>新天科技:创业板首发招股说明书（申报稿）</v>
      </c>
      <c r="D1562" t="s">
        <v>7983</v>
      </c>
      <c r="E1562" t="s">
        <v>771</v>
      </c>
      <c r="F1562" t="s">
        <v>5450</v>
      </c>
    </row>
    <row r="1563" spans="1:6" x14ac:dyDescent="0.15">
      <c r="A1563" s="1">
        <v>40725</v>
      </c>
      <c r="B1563" t="s">
        <v>3641</v>
      </c>
      <c r="C1563" s="2" t="str">
        <f>HYPERLINK("http://snap.windin.com/ns/bulletin.php?id=431029&amp;type=1", "保隆科技:首发招股说明书（申报稿）")</f>
        <v>保隆科技:首发招股说明书（申报稿）</v>
      </c>
      <c r="D1563" t="s">
        <v>7984</v>
      </c>
      <c r="E1563" t="s">
        <v>5630</v>
      </c>
      <c r="F1563" t="s">
        <v>5513</v>
      </c>
    </row>
    <row r="1564" spans="1:6" x14ac:dyDescent="0.15">
      <c r="A1564" s="1">
        <v>40725</v>
      </c>
      <c r="B1564" t="s">
        <v>319</v>
      </c>
      <c r="C1564" s="2" t="str">
        <f>HYPERLINK("http://snap.windin.com/ns/bulletin.php?id=1508990&amp;type=1", "明家科技:首次公开发行股票并在创业板上市招股说明书")</f>
        <v>明家科技:首次公开发行股票并在创业板上市招股说明书</v>
      </c>
      <c r="D1564" t="s">
        <v>2489</v>
      </c>
      <c r="E1564" t="s">
        <v>811</v>
      </c>
      <c r="F1564" t="s">
        <v>455</v>
      </c>
    </row>
    <row r="1565" spans="1:6" x14ac:dyDescent="0.15">
      <c r="A1565" s="1">
        <v>40725</v>
      </c>
      <c r="B1565" t="s">
        <v>318</v>
      </c>
      <c r="C1565" s="2" t="str">
        <f>HYPERLINK("http://snap.windin.com/ns/bulletin.php?id=1390101&amp;type=1", "瑞丰高材:首次公开发行股票并在创业板上市招股说明书")</f>
        <v>瑞丰高材:首次公开发行股票并在创业板上市招股说明书</v>
      </c>
      <c r="D1565" t="s">
        <v>2488</v>
      </c>
      <c r="E1565" t="s">
        <v>812</v>
      </c>
      <c r="F1565" t="s">
        <v>455</v>
      </c>
    </row>
    <row r="1566" spans="1:6" x14ac:dyDescent="0.15">
      <c r="A1566" s="1">
        <v>40725</v>
      </c>
      <c r="B1566" t="s">
        <v>273</v>
      </c>
      <c r="C1566" s="2" t="str">
        <f>HYPERLINK("http://snap.windin.com/ns/bulletin.php?id=1086564&amp;type=1", "丹邦科技:首发招股说明书（申报稿）")</f>
        <v>丹邦科技:首发招股说明书（申报稿）</v>
      </c>
      <c r="D1566" t="s">
        <v>7985</v>
      </c>
      <c r="E1566" t="s">
        <v>758</v>
      </c>
      <c r="F1566" t="s">
        <v>5513</v>
      </c>
    </row>
    <row r="1567" spans="1:6" x14ac:dyDescent="0.15">
      <c r="A1567" s="1">
        <v>40725</v>
      </c>
      <c r="B1567" t="s">
        <v>268</v>
      </c>
      <c r="C1567" s="2" t="str">
        <f>HYPERLINK("http://snap.windin.com/ns/bulletin.php?id=996869&amp;type=1", "尔康制药:创业板首发招股说明书（申报稿）")</f>
        <v>尔康制药:创业板首发招股说明书（申报稿）</v>
      </c>
      <c r="D1567" t="s">
        <v>7986</v>
      </c>
      <c r="E1567" t="s">
        <v>753</v>
      </c>
      <c r="F1567" t="s">
        <v>5450</v>
      </c>
    </row>
    <row r="1568" spans="1:6" x14ac:dyDescent="0.15">
      <c r="A1568" s="1">
        <v>40724</v>
      </c>
      <c r="B1568" t="s">
        <v>3642</v>
      </c>
      <c r="C1568" s="2" t="str">
        <f>HYPERLINK("http://snap.windin.com/ns/bulletin.php?id=1664277&amp;type=1", "中航科技:首发招股说明书（申报稿）")</f>
        <v>中航科技:首发招股说明书（申报稿）</v>
      </c>
      <c r="D1568" t="s">
        <v>7987</v>
      </c>
      <c r="E1568" t="s">
        <v>5631</v>
      </c>
      <c r="F1568" t="s">
        <v>5513</v>
      </c>
    </row>
    <row r="1569" spans="1:6" x14ac:dyDescent="0.15">
      <c r="A1569" s="1">
        <v>40724</v>
      </c>
      <c r="B1569" t="s">
        <v>3643</v>
      </c>
      <c r="C1569" s="2" t="str">
        <f>HYPERLINK("http://snap.windin.com/ns/bulletin.php?id=1888537&amp;type=1", "名雕装饰:首发招股说明书（申报稿）")</f>
        <v>名雕装饰:首发招股说明书（申报稿）</v>
      </c>
      <c r="D1569" t="s">
        <v>7988</v>
      </c>
      <c r="E1569" t="s">
        <v>5632</v>
      </c>
      <c r="F1569" t="s">
        <v>5513</v>
      </c>
    </row>
    <row r="1570" spans="1:6" x14ac:dyDescent="0.15">
      <c r="A1570" s="1">
        <v>40723</v>
      </c>
      <c r="B1570" t="s">
        <v>327</v>
      </c>
      <c r="C1570" s="2" t="str">
        <f>HYPERLINK("http://snap.windin.com/ns/bulletin.php?id=2083826&amp;type=1", "赛轮股份:首次公开发行股票招股说明书")</f>
        <v>赛轮股份:首次公开发行股票招股说明书</v>
      </c>
      <c r="D1570" t="s">
        <v>2492</v>
      </c>
      <c r="E1570" t="s">
        <v>820</v>
      </c>
      <c r="F1570" t="s">
        <v>399</v>
      </c>
    </row>
    <row r="1571" spans="1:6" x14ac:dyDescent="0.15">
      <c r="A1571" s="1">
        <v>40722</v>
      </c>
      <c r="B1571" t="s">
        <v>321</v>
      </c>
      <c r="C1571" s="2" t="str">
        <f>HYPERLINK("http://snap.windin.com/ns/bulletin.php?id=147273&amp;type=1", "金禾实业:首次公开发行股票招股说明书")</f>
        <v>金禾实业:首次公开发行股票招股说明书</v>
      </c>
      <c r="D1571" t="s">
        <v>2513</v>
      </c>
      <c r="E1571" t="s">
        <v>814</v>
      </c>
      <c r="F1571" t="s">
        <v>399</v>
      </c>
    </row>
    <row r="1572" spans="1:6" x14ac:dyDescent="0.15">
      <c r="A1572" s="1">
        <v>40722</v>
      </c>
      <c r="B1572" t="s">
        <v>322</v>
      </c>
      <c r="C1572" s="2" t="str">
        <f>HYPERLINK("http://snap.windin.com/ns/bulletin.php?id=946238&amp;type=1", "山东章鼓:首次公开发行股票招股说明书")</f>
        <v>山东章鼓:首次公开发行股票招股说明书</v>
      </c>
      <c r="D1572" t="s">
        <v>2511</v>
      </c>
      <c r="E1572" t="s">
        <v>815</v>
      </c>
      <c r="F1572" t="s">
        <v>399</v>
      </c>
    </row>
    <row r="1573" spans="1:6" x14ac:dyDescent="0.15">
      <c r="A1573" s="1">
        <v>40718</v>
      </c>
      <c r="B1573" t="s">
        <v>326</v>
      </c>
      <c r="C1573" s="2" t="str">
        <f>HYPERLINK("http://snap.windin.com/ns/bulletin.php?id=1697923&amp;type=1", "东宝生物:首次公开发行股票并在创业板上市招股说明书")</f>
        <v>东宝生物:首次公开发行股票并在创业板上市招股说明书</v>
      </c>
      <c r="D1573" t="s">
        <v>2522</v>
      </c>
      <c r="E1573" t="s">
        <v>819</v>
      </c>
      <c r="F1573" t="s">
        <v>455</v>
      </c>
    </row>
    <row r="1574" spans="1:6" x14ac:dyDescent="0.15">
      <c r="A1574" s="1">
        <v>40718</v>
      </c>
      <c r="B1574" t="s">
        <v>282</v>
      </c>
      <c r="C1574" s="2" t="str">
        <f>HYPERLINK("http://snap.windin.com/ns/bulletin.php?id=1215812&amp;type=1", "新莱应材:创业板首发招股说明书（申报稿）")</f>
        <v>新莱应材:创业板首发招股说明书（申报稿）</v>
      </c>
      <c r="D1574" t="s">
        <v>7989</v>
      </c>
      <c r="E1574" t="s">
        <v>767</v>
      </c>
      <c r="F1574" t="s">
        <v>5450</v>
      </c>
    </row>
    <row r="1575" spans="1:6" x14ac:dyDescent="0.15">
      <c r="A1575" s="1">
        <v>40718</v>
      </c>
      <c r="B1575" t="s">
        <v>292</v>
      </c>
      <c r="C1575" s="2" t="str">
        <f>HYPERLINK("http://snap.windin.com/ns/bulletin.php?id=1966553&amp;type=1", "金信诺:创业板首发招股说明书（申报稿）")</f>
        <v>金信诺:创业板首发招股说明书（申报稿）</v>
      </c>
      <c r="D1575" t="s">
        <v>7990</v>
      </c>
      <c r="E1575" t="s">
        <v>779</v>
      </c>
      <c r="F1575" t="s">
        <v>5450</v>
      </c>
    </row>
    <row r="1576" spans="1:6" x14ac:dyDescent="0.15">
      <c r="A1576" s="1">
        <v>40718</v>
      </c>
      <c r="B1576" t="s">
        <v>325</v>
      </c>
      <c r="C1576" s="2" t="str">
        <f>HYPERLINK("http://snap.windin.com/ns/bulletin.php?id=1556743&amp;type=1", "飞力达:首次公开发行股票并在创业板上市招股说明书")</f>
        <v>飞力达:首次公开发行股票并在创业板上市招股说明书</v>
      </c>
      <c r="D1576" t="s">
        <v>2521</v>
      </c>
      <c r="E1576" t="s">
        <v>818</v>
      </c>
      <c r="F1576" t="s">
        <v>455</v>
      </c>
    </row>
    <row r="1577" spans="1:6" x14ac:dyDescent="0.15">
      <c r="A1577" s="1">
        <v>40718</v>
      </c>
      <c r="B1577" t="s">
        <v>3644</v>
      </c>
      <c r="C1577" s="2" t="str">
        <f>HYPERLINK("http://snap.windin.com/ns/bulletin.php?id=1592239&amp;type=1", "西龙新材:创业板首发招股说明书（申报稿）")</f>
        <v>西龙新材:创业板首发招股说明书（申报稿）</v>
      </c>
      <c r="D1577" t="s">
        <v>7991</v>
      </c>
      <c r="E1577" t="s">
        <v>5633</v>
      </c>
      <c r="F1577" t="s">
        <v>5450</v>
      </c>
    </row>
    <row r="1578" spans="1:6" x14ac:dyDescent="0.15">
      <c r="A1578" s="1">
        <v>40718</v>
      </c>
      <c r="B1578" t="s">
        <v>324</v>
      </c>
      <c r="C1578" s="2" t="str">
        <f>HYPERLINK("http://snap.windin.com/ns/bulletin.php?id=822610&amp;type=1", "冠昊生物:首次公开发行股票并在创业板上市招股说明书")</f>
        <v>冠昊生物:首次公开发行股票并在创业板上市招股说明书</v>
      </c>
      <c r="D1578" t="s">
        <v>2523</v>
      </c>
      <c r="E1578" t="s">
        <v>817</v>
      </c>
      <c r="F1578" t="s">
        <v>455</v>
      </c>
    </row>
    <row r="1579" spans="1:6" x14ac:dyDescent="0.15">
      <c r="A1579" s="1">
        <v>40717</v>
      </c>
      <c r="B1579" t="s">
        <v>258</v>
      </c>
      <c r="C1579" s="2" t="str">
        <f>HYPERLINK("http://snap.windin.com/ns/bulletin.php?id=235547&amp;type=1", "永大集团:首发招股说明书（申报稿）")</f>
        <v>永大集团:首发招股说明书（申报稿）</v>
      </c>
      <c r="D1579" t="s">
        <v>7992</v>
      </c>
      <c r="E1579" t="s">
        <v>740</v>
      </c>
      <c r="F1579" t="s">
        <v>5513</v>
      </c>
    </row>
    <row r="1580" spans="1:6" x14ac:dyDescent="0.15">
      <c r="A1580" s="1">
        <v>40717</v>
      </c>
      <c r="B1580" t="s">
        <v>303</v>
      </c>
      <c r="C1580" s="2" t="str">
        <f>HYPERLINK("http://snap.windin.com/ns/bulletin.php?id=1983043&amp;type=1", "大连电瓷:招股说明书（申报稿）")</f>
        <v>大连电瓷:招股说明书（申报稿）</v>
      </c>
      <c r="D1580" t="s">
        <v>7993</v>
      </c>
      <c r="E1580" t="s">
        <v>790</v>
      </c>
      <c r="F1580" t="s">
        <v>5488</v>
      </c>
    </row>
    <row r="1581" spans="1:6" x14ac:dyDescent="0.15">
      <c r="A1581" s="1">
        <v>40717</v>
      </c>
      <c r="B1581" t="s">
        <v>297</v>
      </c>
      <c r="C1581" s="2" t="str">
        <f>HYPERLINK("http://snap.windin.com/ns/bulletin.php?id=1814517&amp;type=1", "旗滨集团:首发招股说明书（申报稿）")</f>
        <v>旗滨集团:首发招股说明书（申报稿）</v>
      </c>
      <c r="D1581" t="s">
        <v>7994</v>
      </c>
      <c r="E1581" t="s">
        <v>784</v>
      </c>
      <c r="F1581" t="s">
        <v>5513</v>
      </c>
    </row>
    <row r="1582" spans="1:6" x14ac:dyDescent="0.15">
      <c r="A1582" s="1">
        <v>40715</v>
      </c>
      <c r="B1582" t="s">
        <v>323</v>
      </c>
      <c r="C1582" s="2" t="str">
        <f>HYPERLINK("http://snap.windin.com/ns/bulletin.php?id=1628809&amp;type=1", "海南瑞泽:首次公开发行股票招股说明书")</f>
        <v>海南瑞泽:首次公开发行股票招股说明书</v>
      </c>
      <c r="D1582" t="s">
        <v>2537</v>
      </c>
      <c r="E1582" t="s">
        <v>816</v>
      </c>
      <c r="F1582" t="s">
        <v>399</v>
      </c>
    </row>
    <row r="1583" spans="1:6" x14ac:dyDescent="0.15">
      <c r="A1583" s="1">
        <v>40715</v>
      </c>
      <c r="B1583" t="s">
        <v>337</v>
      </c>
      <c r="C1583" s="2" t="str">
        <f>HYPERLINK("http://snap.windin.com/ns/bulletin.php?id=185586&amp;type=1", "蓝科高新:首次公开发行股票招股说明书")</f>
        <v>蓝科高新:首次公开发行股票招股说明书</v>
      </c>
      <c r="D1583" t="s">
        <v>2525</v>
      </c>
      <c r="E1583" t="s">
        <v>830</v>
      </c>
      <c r="F1583" t="s">
        <v>399</v>
      </c>
    </row>
    <row r="1584" spans="1:6" x14ac:dyDescent="0.15">
      <c r="A1584" s="1">
        <v>40714</v>
      </c>
      <c r="B1584" t="s">
        <v>288</v>
      </c>
      <c r="C1584" s="2" t="str">
        <f>HYPERLINK("http://snap.windin.com/ns/bulletin.php?id=2019935&amp;type=1", "常山药业:创业板首发招股说明书（申报稿）")</f>
        <v>常山药业:创业板首发招股说明书（申报稿）</v>
      </c>
      <c r="D1584" t="s">
        <v>7995</v>
      </c>
      <c r="E1584" t="s">
        <v>775</v>
      </c>
      <c r="F1584" t="s">
        <v>5450</v>
      </c>
    </row>
    <row r="1585" spans="1:6" x14ac:dyDescent="0.15">
      <c r="A1585" s="1">
        <v>40714</v>
      </c>
      <c r="B1585" t="s">
        <v>328</v>
      </c>
      <c r="C1585" s="2" t="str">
        <f>HYPERLINK("http://snap.windin.com/ns/bulletin.php?id=827024&amp;type=1", "比亚迪:首次公开发行A股股票招股说明书")</f>
        <v>比亚迪:首次公开发行A股股票招股说明书</v>
      </c>
      <c r="D1585" t="s">
        <v>2539</v>
      </c>
      <c r="E1585" t="s">
        <v>821</v>
      </c>
      <c r="F1585" t="s">
        <v>462</v>
      </c>
    </row>
    <row r="1586" spans="1:6" x14ac:dyDescent="0.15">
      <c r="A1586" s="1">
        <v>40711</v>
      </c>
      <c r="B1586" t="s">
        <v>331</v>
      </c>
      <c r="C1586" s="2" t="str">
        <f>HYPERLINK("http://snap.windin.com/ns/bulletin.php?id=1729975&amp;type=1", "美晨科技:首次公开发行股票并在创业板上市招股说明书")</f>
        <v>美晨科技:首次公开发行股票并在创业板上市招股说明书</v>
      </c>
      <c r="D1586" t="s">
        <v>2548</v>
      </c>
      <c r="E1586" t="s">
        <v>824</v>
      </c>
      <c r="F1586" t="s">
        <v>455</v>
      </c>
    </row>
    <row r="1587" spans="1:6" x14ac:dyDescent="0.15">
      <c r="A1587" s="1">
        <v>40711</v>
      </c>
      <c r="B1587" t="s">
        <v>287</v>
      </c>
      <c r="C1587" s="2" t="str">
        <f>HYPERLINK("http://snap.windin.com/ns/bulletin.php?id=143563&amp;type=1", "仟源制药:创业板首发招股说明书（申报稿）")</f>
        <v>仟源制药:创业板首发招股说明书（申报稿）</v>
      </c>
      <c r="D1587" t="s">
        <v>7996</v>
      </c>
      <c r="E1587" t="s">
        <v>774</v>
      </c>
      <c r="F1587" t="s">
        <v>5450</v>
      </c>
    </row>
    <row r="1588" spans="1:6" x14ac:dyDescent="0.15">
      <c r="A1588" s="1">
        <v>40711</v>
      </c>
      <c r="B1588" t="s">
        <v>3645</v>
      </c>
      <c r="C1588" s="2" t="str">
        <f>HYPERLINK("http://snap.windin.com/ns/bulletin.php?id=2068744&amp;type=1", "丰科生物:创业板首发招股说明书（申报稿）")</f>
        <v>丰科生物:创业板首发招股说明书（申报稿）</v>
      </c>
      <c r="D1588" t="s">
        <v>7997</v>
      </c>
      <c r="E1588" t="s">
        <v>5634</v>
      </c>
      <c r="F1588" t="s">
        <v>5450</v>
      </c>
    </row>
    <row r="1589" spans="1:6" x14ac:dyDescent="0.15">
      <c r="A1589" s="1">
        <v>40711</v>
      </c>
      <c r="B1589" t="s">
        <v>329</v>
      </c>
      <c r="C1589" s="2" t="str">
        <f>HYPERLINK("http://snap.windin.com/ns/bulletin.php?id=1460276&amp;type=1", "上海新阳:首次公开发行股票并在创业板上市招股说明书")</f>
        <v>上海新阳:首次公开发行股票并在创业板上市招股说明书</v>
      </c>
      <c r="D1589" t="s">
        <v>2549</v>
      </c>
      <c r="E1589" t="s">
        <v>822</v>
      </c>
      <c r="F1589" t="s">
        <v>455</v>
      </c>
    </row>
    <row r="1590" spans="1:6" x14ac:dyDescent="0.15">
      <c r="A1590" s="1">
        <v>40711</v>
      </c>
      <c r="B1590" t="s">
        <v>330</v>
      </c>
      <c r="C1590" s="2" t="str">
        <f>HYPERLINK("http://snap.windin.com/ns/bulletin.php?id=629806&amp;type=1", "方直科技:首次公开发行股票并在创业板上市招股说明书")</f>
        <v>方直科技:首次公开发行股票并在创业板上市招股说明书</v>
      </c>
      <c r="D1590" t="s">
        <v>2550</v>
      </c>
      <c r="E1590" t="s">
        <v>823</v>
      </c>
      <c r="F1590" t="s">
        <v>455</v>
      </c>
    </row>
    <row r="1591" spans="1:6" x14ac:dyDescent="0.15">
      <c r="A1591" s="1">
        <v>40711</v>
      </c>
      <c r="B1591" t="s">
        <v>290</v>
      </c>
      <c r="C1591" s="2" t="str">
        <f>HYPERLINK("http://snap.windin.com/ns/bulletin.php?id=1022602&amp;type=1", "星星科技:创业板首发招股说明书（申报稿）")</f>
        <v>星星科技:创业板首发招股说明书（申报稿）</v>
      </c>
      <c r="D1591" t="s">
        <v>7998</v>
      </c>
      <c r="E1591" t="s">
        <v>777</v>
      </c>
      <c r="F1591" t="s">
        <v>5450</v>
      </c>
    </row>
    <row r="1592" spans="1:6" x14ac:dyDescent="0.15">
      <c r="A1592" s="1">
        <v>40710</v>
      </c>
      <c r="B1592" t="s">
        <v>246</v>
      </c>
      <c r="C1592" s="2" t="str">
        <f>HYPERLINK("http://snap.windin.com/ns/bulletin.php?id=558220&amp;type=1", "宜昌交运:首发招股说明书（申报稿）")</f>
        <v>宜昌交运:首发招股说明书（申报稿）</v>
      </c>
      <c r="D1592" t="s">
        <v>7999</v>
      </c>
      <c r="E1592" t="s">
        <v>727</v>
      </c>
      <c r="F1592" t="s">
        <v>5513</v>
      </c>
    </row>
    <row r="1593" spans="1:6" x14ac:dyDescent="0.15">
      <c r="A1593" s="1">
        <v>40710</v>
      </c>
      <c r="B1593" t="s">
        <v>3646</v>
      </c>
      <c r="C1593" s="2" t="str">
        <f>HYPERLINK("http://snap.windin.com/ns/bulletin.php?id=2096523&amp;type=1", "佛燃股份:首发招股说明书（申报稿）")</f>
        <v>佛燃股份:首发招股说明书（申报稿）</v>
      </c>
      <c r="D1593" t="s">
        <v>8000</v>
      </c>
      <c r="E1593" t="s">
        <v>5635</v>
      </c>
      <c r="F1593" t="s">
        <v>5513</v>
      </c>
    </row>
    <row r="1594" spans="1:6" x14ac:dyDescent="0.15">
      <c r="A1594" s="1">
        <v>40710</v>
      </c>
      <c r="B1594" t="s">
        <v>298</v>
      </c>
      <c r="C1594" s="2" t="str">
        <f>HYPERLINK("http://snap.windin.com/ns/bulletin.php?id=718360&amp;type=1", "舜天船舶:首发招股说明书（申报稿）")</f>
        <v>舜天船舶:首发招股说明书（申报稿）</v>
      </c>
      <c r="D1594" t="s">
        <v>8001</v>
      </c>
      <c r="E1594" t="s">
        <v>785</v>
      </c>
      <c r="F1594" t="s">
        <v>5513</v>
      </c>
    </row>
    <row r="1595" spans="1:6" x14ac:dyDescent="0.15">
      <c r="A1595" s="1">
        <v>40709</v>
      </c>
      <c r="B1595" t="s">
        <v>332</v>
      </c>
      <c r="C1595" s="2" t="str">
        <f>HYPERLINK("http://snap.windin.com/ns/bulletin.php?id=1689746&amp;type=1", "豪迈科技:首次公开发行股票招股说明书")</f>
        <v>豪迈科技:首次公开发行股票招股说明书</v>
      </c>
      <c r="D1595" t="s">
        <v>2551</v>
      </c>
      <c r="E1595" t="s">
        <v>825</v>
      </c>
      <c r="F1595" t="s">
        <v>399</v>
      </c>
    </row>
    <row r="1596" spans="1:6" x14ac:dyDescent="0.15">
      <c r="A1596" s="1">
        <v>40709</v>
      </c>
      <c r="B1596" t="s">
        <v>333</v>
      </c>
      <c r="C1596" s="2" t="str">
        <f>HYPERLINK("http://snap.windin.com/ns/bulletin.php?id=436397&amp;type=1", "日上集团:首次公开发行股票招股说明书")</f>
        <v>日上集团:首次公开发行股票招股说明书</v>
      </c>
      <c r="D1596" t="s">
        <v>2553</v>
      </c>
      <c r="E1596" t="s">
        <v>826</v>
      </c>
      <c r="F1596" t="s">
        <v>399</v>
      </c>
    </row>
    <row r="1597" spans="1:6" x14ac:dyDescent="0.15">
      <c r="A1597" s="1">
        <v>40708</v>
      </c>
      <c r="B1597" t="s">
        <v>342</v>
      </c>
      <c r="C1597" s="2" t="str">
        <f>HYPERLINK("http://snap.windin.com/ns/bulletin.php?id=1197831&amp;type=1", "三星电气:首次公开发行股票招股说明书")</f>
        <v>三星电气:首次公开发行股票招股说明书</v>
      </c>
      <c r="D1597" t="s">
        <v>2556</v>
      </c>
      <c r="E1597" t="s">
        <v>835</v>
      </c>
      <c r="F1597" t="s">
        <v>399</v>
      </c>
    </row>
    <row r="1598" spans="1:6" x14ac:dyDescent="0.15">
      <c r="A1598" s="1">
        <v>40707</v>
      </c>
      <c r="B1598" t="s">
        <v>306</v>
      </c>
      <c r="C1598" s="2" t="str">
        <f>HYPERLINK("http://snap.windin.com/ns/bulletin.php?id=527680&amp;type=1", "光线传媒:创业板首发招股说明书（申报稿）")</f>
        <v>光线传媒:创业板首发招股说明书（申报稿）</v>
      </c>
      <c r="D1598" t="s">
        <v>8002</v>
      </c>
      <c r="E1598" t="s">
        <v>793</v>
      </c>
      <c r="F1598" t="s">
        <v>5450</v>
      </c>
    </row>
    <row r="1599" spans="1:6" x14ac:dyDescent="0.15">
      <c r="A1599" s="1">
        <v>40707</v>
      </c>
      <c r="B1599" t="s">
        <v>3647</v>
      </c>
      <c r="C1599" s="2" t="str">
        <f>HYPERLINK("http://snap.windin.com/ns/bulletin.php?id=659294&amp;type=1", "康地种业:创业板首发招股说明书（申报稿）")</f>
        <v>康地种业:创业板首发招股说明书（申报稿）</v>
      </c>
      <c r="D1599" t="s">
        <v>8003</v>
      </c>
      <c r="E1599" t="s">
        <v>5636</v>
      </c>
      <c r="F1599" t="s">
        <v>5450</v>
      </c>
    </row>
    <row r="1600" spans="1:6" x14ac:dyDescent="0.15">
      <c r="A1600" s="1">
        <v>40707</v>
      </c>
      <c r="B1600" t="s">
        <v>336</v>
      </c>
      <c r="C1600" s="2" t="str">
        <f>HYPERLINK("http://snap.windin.com/ns/bulletin.php?id=425700&amp;type=1", "金城医药:首次公开发行股票并在创业板上市招股说明书")</f>
        <v>金城医药:首次公开发行股票并在创业板上市招股说明书</v>
      </c>
      <c r="D1600" t="s">
        <v>2569</v>
      </c>
      <c r="E1600" t="s">
        <v>829</v>
      </c>
      <c r="F1600" t="s">
        <v>455</v>
      </c>
    </row>
    <row r="1601" spans="1:6" x14ac:dyDescent="0.15">
      <c r="A1601" s="1">
        <v>40707</v>
      </c>
      <c r="B1601" t="s">
        <v>334</v>
      </c>
      <c r="C1601" s="2" t="str">
        <f>HYPERLINK("http://snap.windin.com/ns/bulletin.php?id=2100102&amp;type=1", "洲明科技:首次公开发行股票并在创业板上市招股说明书")</f>
        <v>洲明科技:首次公开发行股票并在创业板上市招股说明书</v>
      </c>
      <c r="D1601" t="s">
        <v>2570</v>
      </c>
      <c r="E1601" t="s">
        <v>827</v>
      </c>
      <c r="F1601" t="s">
        <v>455</v>
      </c>
    </row>
    <row r="1602" spans="1:6" x14ac:dyDescent="0.15">
      <c r="A1602" s="1">
        <v>40707</v>
      </c>
      <c r="B1602" t="s">
        <v>335</v>
      </c>
      <c r="C1602" s="2" t="str">
        <f>HYPERLINK("http://snap.windin.com/ns/bulletin.php?id=1809121&amp;type=1", "开尔新材:首次公开发行股票并在创业板上市招股说明书")</f>
        <v>开尔新材:首次公开发行股票并在创业板上市招股说明书</v>
      </c>
      <c r="D1602" t="s">
        <v>2568</v>
      </c>
      <c r="E1602" t="s">
        <v>828</v>
      </c>
      <c r="F1602" t="s">
        <v>455</v>
      </c>
    </row>
    <row r="1603" spans="1:6" x14ac:dyDescent="0.15">
      <c r="A1603" s="1">
        <v>40703</v>
      </c>
      <c r="B1603" t="s">
        <v>3648</v>
      </c>
      <c r="C1603" s="2" t="str">
        <f>HYPERLINK("http://snap.windin.com/ns/bulletin.php?id=1266089&amp;type=1", "九洲药业:首发招股说明书（申报稿）")</f>
        <v>九洲药业:首发招股说明书（申报稿）</v>
      </c>
      <c r="D1603" t="s">
        <v>8004</v>
      </c>
      <c r="E1603" t="s">
        <v>4632</v>
      </c>
      <c r="F1603" t="s">
        <v>5513</v>
      </c>
    </row>
    <row r="1604" spans="1:6" x14ac:dyDescent="0.15">
      <c r="A1604" s="1">
        <v>40703</v>
      </c>
      <c r="B1604" t="s">
        <v>265</v>
      </c>
      <c r="C1604" s="2" t="str">
        <f>HYPERLINK("http://snap.windin.com/ns/bulletin.php?id=1458327&amp;type=1", "瑞和建筑:首发招股说明书（申报稿）")</f>
        <v>瑞和建筑:首发招股说明书（申报稿）</v>
      </c>
      <c r="D1604" t="s">
        <v>8005</v>
      </c>
      <c r="E1604" t="s">
        <v>5637</v>
      </c>
      <c r="F1604" t="s">
        <v>5513</v>
      </c>
    </row>
    <row r="1605" spans="1:6" x14ac:dyDescent="0.15">
      <c r="A1605" s="1">
        <v>40703</v>
      </c>
      <c r="B1605" t="s">
        <v>338</v>
      </c>
      <c r="C1605" s="2" t="str">
        <f>HYPERLINK("http://snap.windin.com/ns/bulletin.php?id=925986&amp;type=1", "恒大高新:首次公开发行股票招股说明书")</f>
        <v>恒大高新:首次公开发行股票招股说明书</v>
      </c>
      <c r="D1605" t="s">
        <v>2574</v>
      </c>
      <c r="E1605" t="s">
        <v>831</v>
      </c>
      <c r="F1605" t="s">
        <v>399</v>
      </c>
    </row>
    <row r="1606" spans="1:6" x14ac:dyDescent="0.15">
      <c r="A1606" s="1">
        <v>40697</v>
      </c>
      <c r="B1606" t="s">
        <v>308</v>
      </c>
      <c r="C1606" s="2" t="str">
        <f>HYPERLINK("http://snap.windin.com/ns/bulletin.php?id=1744649&amp;type=1", "新开普:创业板首发招股说明书（申报稿）")</f>
        <v>新开普:创业板首发招股说明书（申报稿）</v>
      </c>
      <c r="D1606" t="s">
        <v>8006</v>
      </c>
      <c r="E1606" t="s">
        <v>795</v>
      </c>
      <c r="F1606" t="s">
        <v>5450</v>
      </c>
    </row>
    <row r="1607" spans="1:6" x14ac:dyDescent="0.15">
      <c r="A1607" s="1">
        <v>40697</v>
      </c>
      <c r="B1607" t="s">
        <v>304</v>
      </c>
      <c r="C1607" s="2" t="str">
        <f>HYPERLINK("http://snap.windin.com/ns/bulletin.php?id=199187&amp;type=1", "初灵信息:创业板首发招股说明书（申报稿）")</f>
        <v>初灵信息:创业板首发招股说明书（申报稿）</v>
      </c>
      <c r="D1607" t="s">
        <v>8007</v>
      </c>
      <c r="E1607" t="s">
        <v>791</v>
      </c>
      <c r="F1607" t="s">
        <v>5450</v>
      </c>
    </row>
    <row r="1608" spans="1:6" x14ac:dyDescent="0.15">
      <c r="A1608" s="1">
        <v>40697</v>
      </c>
      <c r="B1608" t="s">
        <v>341</v>
      </c>
      <c r="C1608" s="2" t="str">
        <f>HYPERLINK("http://snap.windin.com/ns/bulletin.php?id=1182589&amp;type=1", "永利带业:首次公开发行股票并在创业板上市招股说明书")</f>
        <v>永利带业:首次公开发行股票并在创业板上市招股说明书</v>
      </c>
      <c r="D1608" t="s">
        <v>2596</v>
      </c>
      <c r="E1608" t="s">
        <v>834</v>
      </c>
      <c r="F1608" t="s">
        <v>455</v>
      </c>
    </row>
    <row r="1609" spans="1:6" x14ac:dyDescent="0.15">
      <c r="A1609" s="1">
        <v>40697</v>
      </c>
      <c r="B1609" t="s">
        <v>312</v>
      </c>
      <c r="C1609" s="2" t="str">
        <f>HYPERLINK("http://snap.windin.com/ns/bulletin.php?id=2055530&amp;type=1", "宝莱特:创业板首发招股说明书（申报稿）")</f>
        <v>宝莱特:创业板首发招股说明书（申报稿）</v>
      </c>
      <c r="D1609" t="s">
        <v>8008</v>
      </c>
      <c r="E1609" t="s">
        <v>802</v>
      </c>
      <c r="F1609" t="s">
        <v>5450</v>
      </c>
    </row>
    <row r="1610" spans="1:6" x14ac:dyDescent="0.15">
      <c r="A1610" s="1">
        <v>40697</v>
      </c>
      <c r="B1610" t="s">
        <v>339</v>
      </c>
      <c r="C1610" s="2" t="str">
        <f>HYPERLINK("http://snap.windin.com/ns/bulletin.php?id=1416081&amp;type=1", "拓尔思:首次公开发行股票并在创业板上市招股说明书")</f>
        <v>拓尔思:首次公开发行股票并在创业板上市招股说明书</v>
      </c>
      <c r="D1610" t="s">
        <v>2597</v>
      </c>
      <c r="E1610" t="s">
        <v>832</v>
      </c>
      <c r="F1610" t="s">
        <v>455</v>
      </c>
    </row>
    <row r="1611" spans="1:6" x14ac:dyDescent="0.15">
      <c r="A1611" s="1">
        <v>40697</v>
      </c>
      <c r="B1611" t="s">
        <v>309</v>
      </c>
      <c r="C1611" s="2" t="str">
        <f>HYPERLINK("http://snap.windin.com/ns/bulletin.php?id=925705&amp;type=1", "以岭药业:首发招股说明书（申报稿）")</f>
        <v>以岭药业:首发招股说明书（申报稿）</v>
      </c>
      <c r="D1611" t="s">
        <v>8009</v>
      </c>
      <c r="E1611" t="s">
        <v>796</v>
      </c>
      <c r="F1611" t="s">
        <v>5513</v>
      </c>
    </row>
    <row r="1612" spans="1:6" x14ac:dyDescent="0.15">
      <c r="A1612" s="1">
        <v>40697</v>
      </c>
      <c r="B1612" t="s">
        <v>307</v>
      </c>
      <c r="C1612" s="2" t="str">
        <f>HYPERLINK("http://snap.windin.com/ns/bulletin.php?id=719883&amp;type=1", "桑乐金:创业板首发招股说明书（申报稿）")</f>
        <v>桑乐金:创业板首发招股说明书（申报稿）</v>
      </c>
      <c r="D1612" t="s">
        <v>8010</v>
      </c>
      <c r="E1612" t="s">
        <v>794</v>
      </c>
      <c r="F1612" t="s">
        <v>5450</v>
      </c>
    </row>
    <row r="1613" spans="1:6" x14ac:dyDescent="0.15">
      <c r="A1613" s="1">
        <v>40697</v>
      </c>
      <c r="B1613" t="s">
        <v>340</v>
      </c>
      <c r="C1613" s="2" t="str">
        <f>HYPERLINK("http://snap.windin.com/ns/bulletin.php?id=795638&amp;type=1", "银信科技:首次公开发行股票并在创业板上市招股说明书")</f>
        <v>银信科技:首次公开发行股票并在创业板上市招股说明书</v>
      </c>
      <c r="D1613" t="s">
        <v>2595</v>
      </c>
      <c r="E1613" t="s">
        <v>833</v>
      </c>
      <c r="F1613" t="s">
        <v>455</v>
      </c>
    </row>
    <row r="1614" spans="1:6" x14ac:dyDescent="0.15">
      <c r="A1614" s="1">
        <v>40696</v>
      </c>
      <c r="B1614" t="s">
        <v>350</v>
      </c>
      <c r="C1614" s="2" t="str">
        <f>HYPERLINK("http://snap.windin.com/ns/bulletin.php?id=526072&amp;type=1", "文峰股份:首次公开发行股票招股说明书")</f>
        <v>文峰股份:首次公开发行股票招股说明书</v>
      </c>
      <c r="D1614" t="s">
        <v>2599</v>
      </c>
      <c r="E1614" t="s">
        <v>843</v>
      </c>
      <c r="F1614" t="s">
        <v>399</v>
      </c>
    </row>
    <row r="1615" spans="1:6" x14ac:dyDescent="0.15">
      <c r="A1615" s="1">
        <v>40695</v>
      </c>
      <c r="B1615" t="s">
        <v>352</v>
      </c>
      <c r="C1615" s="2" t="str">
        <f>HYPERLINK("http://snap.windin.com/ns/bulletin.php?id=1393299&amp;type=1", "骆驼股份:首次公开发行股票招股说明书")</f>
        <v>骆驼股份:首次公开发行股票招股说明书</v>
      </c>
      <c r="D1615" t="s">
        <v>2604</v>
      </c>
      <c r="E1615" t="s">
        <v>845</v>
      </c>
      <c r="F1615" t="s">
        <v>399</v>
      </c>
    </row>
    <row r="1616" spans="1:6" x14ac:dyDescent="0.15">
      <c r="A1616" s="1">
        <v>40694</v>
      </c>
      <c r="B1616" t="s">
        <v>345</v>
      </c>
      <c r="C1616" s="2" t="str">
        <f>HYPERLINK("http://snap.windin.com/ns/bulletin.php?id=1992099&amp;type=1", "瑞康医药:首次公开发行股票招股说明书")</f>
        <v>瑞康医药:首次公开发行股票招股说明书</v>
      </c>
      <c r="D1616" t="s">
        <v>2614</v>
      </c>
      <c r="E1616" t="s">
        <v>838</v>
      </c>
      <c r="F1616" t="s">
        <v>399</v>
      </c>
    </row>
    <row r="1617" spans="1:6" x14ac:dyDescent="0.15">
      <c r="A1617" s="1">
        <v>40694</v>
      </c>
      <c r="B1617" t="s">
        <v>343</v>
      </c>
      <c r="C1617" s="2" t="str">
        <f>HYPERLINK("http://snap.windin.com/ns/bulletin.php?id=1181814&amp;type=1", "万安科技:首次公开发行股票并上市招股说明书")</f>
        <v>万安科技:首次公开发行股票并上市招股说明书</v>
      </c>
      <c r="D1617" t="s">
        <v>2612</v>
      </c>
      <c r="E1617" t="s">
        <v>836</v>
      </c>
      <c r="F1617" t="s">
        <v>469</v>
      </c>
    </row>
    <row r="1618" spans="1:6" x14ac:dyDescent="0.15">
      <c r="A1618" s="1">
        <v>40694</v>
      </c>
      <c r="B1618" t="s">
        <v>346</v>
      </c>
      <c r="C1618" s="2" t="str">
        <f>HYPERLINK("http://snap.windin.com/ns/bulletin.php?id=561006&amp;type=1", "史丹利:首次公开发行股票招股说明书")</f>
        <v>史丹利:首次公开发行股票招股说明书</v>
      </c>
      <c r="D1618" t="s">
        <v>2616</v>
      </c>
      <c r="E1618" t="s">
        <v>839</v>
      </c>
      <c r="F1618" t="s">
        <v>399</v>
      </c>
    </row>
    <row r="1619" spans="1:6" x14ac:dyDescent="0.15">
      <c r="A1619" s="1">
        <v>40694</v>
      </c>
      <c r="B1619" t="s">
        <v>344</v>
      </c>
      <c r="C1619" s="2" t="str">
        <f>HYPERLINK("http://snap.windin.com/ns/bulletin.php?id=559190&amp;type=1", "奥拓电子:首次公开发行股票招股说明书")</f>
        <v>奥拓电子:首次公开发行股票招股说明书</v>
      </c>
      <c r="D1619" t="s">
        <v>2618</v>
      </c>
      <c r="E1619" t="s">
        <v>837</v>
      </c>
      <c r="F1619" t="s">
        <v>399</v>
      </c>
    </row>
    <row r="1620" spans="1:6" x14ac:dyDescent="0.15">
      <c r="A1620" s="1">
        <v>40690</v>
      </c>
      <c r="B1620" t="s">
        <v>349</v>
      </c>
      <c r="C1620" s="2" t="str">
        <f>HYPERLINK("http://snap.windin.com/ns/bulletin.php?id=1643645&amp;type=1", "上海钢联:首次公开发行股票并在创业板上市招股说明书")</f>
        <v>上海钢联:首次公开发行股票并在创业板上市招股说明书</v>
      </c>
      <c r="D1620" t="s">
        <v>2634</v>
      </c>
      <c r="E1620" t="s">
        <v>842</v>
      </c>
      <c r="F1620" t="s">
        <v>455</v>
      </c>
    </row>
    <row r="1621" spans="1:6" x14ac:dyDescent="0.15">
      <c r="A1621" s="1">
        <v>40690</v>
      </c>
      <c r="B1621" t="s">
        <v>314</v>
      </c>
      <c r="C1621" s="2" t="str">
        <f>HYPERLINK("http://snap.windin.com/ns/bulletin.php?id=1741199&amp;type=1", "迪安诊断:创业板首发招股说明书（申报稿）")</f>
        <v>迪安诊断:创业板首发招股说明书（申报稿）</v>
      </c>
      <c r="D1621" t="s">
        <v>8011</v>
      </c>
      <c r="E1621" t="s">
        <v>804</v>
      </c>
      <c r="F1621" t="s">
        <v>5450</v>
      </c>
    </row>
    <row r="1622" spans="1:6" x14ac:dyDescent="0.15">
      <c r="A1622" s="1">
        <v>40690</v>
      </c>
      <c r="B1622" t="s">
        <v>348</v>
      </c>
      <c r="C1622" s="2" t="str">
        <f>HYPERLINK("http://snap.windin.com/ns/bulletin.php?id=1331821&amp;type=1", "富瑞特装:首次公开发行股票并在创业板上市招股说明书")</f>
        <v>富瑞特装:首次公开发行股票并在创业板上市招股说明书</v>
      </c>
      <c r="D1622" t="s">
        <v>2632</v>
      </c>
      <c r="E1622" t="s">
        <v>841</v>
      </c>
      <c r="F1622" t="s">
        <v>455</v>
      </c>
    </row>
    <row r="1623" spans="1:6" x14ac:dyDescent="0.15">
      <c r="A1623" s="1">
        <v>40690</v>
      </c>
      <c r="B1623" t="s">
        <v>313</v>
      </c>
      <c r="C1623" s="2" t="str">
        <f>HYPERLINK("http://snap.windin.com/ns/bulletin.php?id=446947&amp;type=1", "天玑科技:创业板首发招股说明书（申报稿）")</f>
        <v>天玑科技:创业板首发招股说明书（申报稿）</v>
      </c>
      <c r="D1623" t="s">
        <v>8012</v>
      </c>
      <c r="E1623" t="s">
        <v>803</v>
      </c>
      <c r="F1623" t="s">
        <v>5450</v>
      </c>
    </row>
    <row r="1624" spans="1:6" x14ac:dyDescent="0.15">
      <c r="A1624" s="1">
        <v>40690</v>
      </c>
      <c r="B1624" t="s">
        <v>347</v>
      </c>
      <c r="C1624" s="2" t="str">
        <f>HYPERLINK("http://snap.windin.com/ns/bulletin.php?id=1896710&amp;type=1", "光韵达:首次公开发行股票并在创业板上市招股说明书")</f>
        <v>光韵达:首次公开发行股票并在创业板上市招股说明书</v>
      </c>
      <c r="D1624" t="s">
        <v>2633</v>
      </c>
      <c r="E1624" t="s">
        <v>840</v>
      </c>
      <c r="F1624" t="s">
        <v>455</v>
      </c>
    </row>
    <row r="1625" spans="1:6" x14ac:dyDescent="0.15">
      <c r="A1625" s="1">
        <v>40690</v>
      </c>
      <c r="B1625" t="s">
        <v>358</v>
      </c>
      <c r="C1625" s="2" t="str">
        <f>HYPERLINK("http://snap.windin.com/ns/bulletin.php?id=1787744&amp;type=1", "九牧王:首次公开发行股票招股说明书")</f>
        <v>九牧王:首次公开发行股票招股说明书</v>
      </c>
      <c r="D1625" t="s">
        <v>2627</v>
      </c>
      <c r="E1625" t="s">
        <v>851</v>
      </c>
      <c r="F1625" t="s">
        <v>399</v>
      </c>
    </row>
    <row r="1626" spans="1:6" x14ac:dyDescent="0.15">
      <c r="A1626" s="1">
        <v>40690</v>
      </c>
      <c r="B1626" t="s">
        <v>318</v>
      </c>
      <c r="C1626" s="2" t="str">
        <f>HYPERLINK("http://snap.windin.com/ns/bulletin.php?id=1490166&amp;type=1", "瑞丰高材:创业板首发招股说明书（申报稿）")</f>
        <v>瑞丰高材:创业板首发招股说明书（申报稿）</v>
      </c>
      <c r="D1626" t="s">
        <v>8013</v>
      </c>
      <c r="E1626" t="s">
        <v>812</v>
      </c>
      <c r="F1626" t="s">
        <v>5450</v>
      </c>
    </row>
    <row r="1627" spans="1:6" x14ac:dyDescent="0.15">
      <c r="A1627" s="1">
        <v>40690</v>
      </c>
      <c r="B1627" t="s">
        <v>310</v>
      </c>
      <c r="C1627" s="2" t="str">
        <f>HYPERLINK("http://snap.windin.com/ns/bulletin.php?id=1122410&amp;type=1", "世纪华通:首发招股说明书（申报稿）")</f>
        <v>世纪华通:首发招股说明书（申报稿）</v>
      </c>
      <c r="D1627" t="s">
        <v>8014</v>
      </c>
      <c r="E1627" t="s">
        <v>797</v>
      </c>
      <c r="F1627" t="s">
        <v>5513</v>
      </c>
    </row>
    <row r="1628" spans="1:6" x14ac:dyDescent="0.15">
      <c r="A1628" s="1">
        <v>40689</v>
      </c>
      <c r="B1628" t="s">
        <v>359</v>
      </c>
      <c r="C1628" s="2" t="str">
        <f>HYPERLINK("http://snap.windin.com/ns/bulletin.php?id=1784883&amp;type=1", "鹿港科技:首次公开发行股票招股说明书")</f>
        <v>鹿港科技:首次公开发行股票招股说明书</v>
      </c>
      <c r="D1628" t="s">
        <v>2636</v>
      </c>
      <c r="E1628" t="s">
        <v>852</v>
      </c>
      <c r="F1628" t="s">
        <v>399</v>
      </c>
    </row>
    <row r="1629" spans="1:6" x14ac:dyDescent="0.15">
      <c r="A1629" s="1">
        <v>40689</v>
      </c>
      <c r="B1629" t="s">
        <v>300</v>
      </c>
      <c r="C1629" s="2" t="str">
        <f>HYPERLINK("http://snap.windin.com/ns/bulletin.php?id=1882283&amp;type=1", "亚夏汽车:首发招股说明书（申报稿）")</f>
        <v>亚夏汽车:首发招股说明书（申报稿）</v>
      </c>
      <c r="D1629" t="s">
        <v>8015</v>
      </c>
      <c r="E1629" t="s">
        <v>787</v>
      </c>
      <c r="F1629" t="s">
        <v>5513</v>
      </c>
    </row>
    <row r="1630" spans="1:6" x14ac:dyDescent="0.15">
      <c r="A1630" s="1">
        <v>40689</v>
      </c>
      <c r="B1630" t="s">
        <v>299</v>
      </c>
      <c r="C1630" s="2" t="str">
        <f>HYPERLINK("http://snap.windin.com/ns/bulletin.php?id=1048026&amp;type=1", "方正证券:首发招股说明书（申报稿）")</f>
        <v>方正证券:首发招股说明书（申报稿）</v>
      </c>
      <c r="D1630" t="s">
        <v>8016</v>
      </c>
      <c r="E1630" t="s">
        <v>786</v>
      </c>
      <c r="F1630" t="s">
        <v>5513</v>
      </c>
    </row>
    <row r="1631" spans="1:6" x14ac:dyDescent="0.15">
      <c r="A1631" s="1">
        <v>40689</v>
      </c>
      <c r="B1631" t="s">
        <v>283</v>
      </c>
      <c r="C1631" s="2" t="str">
        <f>HYPERLINK("http://snap.windin.com/ns/bulletin.php?id=1016072&amp;type=1", "北玻股份:首发招股说明书（申报稿）")</f>
        <v>北玻股份:首发招股说明书（申报稿）</v>
      </c>
      <c r="D1631" t="s">
        <v>8017</v>
      </c>
      <c r="E1631" t="s">
        <v>770</v>
      </c>
      <c r="F1631" t="s">
        <v>5513</v>
      </c>
    </row>
    <row r="1632" spans="1:6" x14ac:dyDescent="0.15">
      <c r="A1632" s="1">
        <v>40687</v>
      </c>
      <c r="B1632" t="s">
        <v>353</v>
      </c>
      <c r="C1632" s="2" t="str">
        <f>HYPERLINK("http://snap.windin.com/ns/bulletin.php?id=1150739&amp;type=1", "围海股份:首次公开发行股票招股说明书")</f>
        <v>围海股份:首次公开发行股票招股说明书</v>
      </c>
      <c r="D1632" t="s">
        <v>2658</v>
      </c>
      <c r="E1632" t="s">
        <v>846</v>
      </c>
      <c r="F1632" t="s">
        <v>399</v>
      </c>
    </row>
    <row r="1633" spans="1:6" x14ac:dyDescent="0.15">
      <c r="A1633" s="1">
        <v>40687</v>
      </c>
      <c r="B1633" t="s">
        <v>351</v>
      </c>
      <c r="C1633" s="2" t="str">
        <f>HYPERLINK("http://snap.windin.com/ns/bulletin.php?id=1842695&amp;type=1", "西陇化工:首次公开发行股票招股说明书")</f>
        <v>西陇化工:首次公开发行股票招股说明书</v>
      </c>
      <c r="D1633" t="s">
        <v>2662</v>
      </c>
      <c r="E1633" t="s">
        <v>844</v>
      </c>
      <c r="F1633" t="s">
        <v>399</v>
      </c>
    </row>
    <row r="1634" spans="1:6" x14ac:dyDescent="0.15">
      <c r="A1634" s="1">
        <v>40687</v>
      </c>
      <c r="B1634" t="s">
        <v>354</v>
      </c>
      <c r="C1634" s="2" t="str">
        <f>HYPERLINK("http://snap.windin.com/ns/bulletin.php?id=1014932&amp;type=1", "双星新材:首次公开发行股票招股说明书")</f>
        <v>双星新材:首次公开发行股票招股说明书</v>
      </c>
      <c r="D1634" t="s">
        <v>2660</v>
      </c>
      <c r="E1634" t="s">
        <v>847</v>
      </c>
      <c r="F1634" t="s">
        <v>399</v>
      </c>
    </row>
    <row r="1635" spans="1:6" x14ac:dyDescent="0.15">
      <c r="A1635" s="1">
        <v>40683</v>
      </c>
      <c r="B1635" t="s">
        <v>319</v>
      </c>
      <c r="C1635" s="2" t="str">
        <f>HYPERLINK("http://snap.windin.com/ns/bulletin.php?id=1604162&amp;type=1", "明家科技:创业板首发招股说明书（申报稿）")</f>
        <v>明家科技:创业板首发招股说明书（申报稿）</v>
      </c>
      <c r="D1635" t="s">
        <v>8018</v>
      </c>
      <c r="E1635" t="s">
        <v>811</v>
      </c>
      <c r="F1635" t="s">
        <v>5450</v>
      </c>
    </row>
    <row r="1636" spans="1:6" x14ac:dyDescent="0.15">
      <c r="A1636" s="1">
        <v>40683</v>
      </c>
      <c r="B1636" t="s">
        <v>356</v>
      </c>
      <c r="C1636" s="2" t="str">
        <f>HYPERLINK("http://snap.windin.com/ns/bulletin.php?id=1423047&amp;type=1", "北京君正:首次公开发行股票并在创业板上市招股说明书")</f>
        <v>北京君正:首次公开发行股票并在创业板上市招股说明书</v>
      </c>
      <c r="D1636" t="s">
        <v>2672</v>
      </c>
      <c r="E1636" t="s">
        <v>849</v>
      </c>
      <c r="F1636" t="s">
        <v>455</v>
      </c>
    </row>
    <row r="1637" spans="1:6" x14ac:dyDescent="0.15">
      <c r="A1637" s="1">
        <v>40683</v>
      </c>
      <c r="B1637" t="s">
        <v>286</v>
      </c>
      <c r="C1637" s="2" t="str">
        <f>HYPERLINK("http://snap.windin.com/ns/bulletin.php?id=424664&amp;type=1", "精锻科技:创业板首发招股说明书（申报稿）")</f>
        <v>精锻科技:创业板首发招股说明书（申报稿）</v>
      </c>
      <c r="D1637" t="s">
        <v>8019</v>
      </c>
      <c r="E1637" t="s">
        <v>773</v>
      </c>
      <c r="F1637" t="s">
        <v>5450</v>
      </c>
    </row>
    <row r="1638" spans="1:6" x14ac:dyDescent="0.15">
      <c r="A1638" s="1">
        <v>40683</v>
      </c>
      <c r="B1638" t="s">
        <v>320</v>
      </c>
      <c r="C1638" s="2" t="str">
        <f>HYPERLINK("http://snap.windin.com/ns/bulletin.php?id=2079792&amp;type=1", "瑞丰光电:创业板首发招股说明书（申报稿）")</f>
        <v>瑞丰光电:创业板首发招股说明书（申报稿）</v>
      </c>
      <c r="D1638" t="s">
        <v>8020</v>
      </c>
      <c r="E1638" t="s">
        <v>813</v>
      </c>
      <c r="F1638" t="s">
        <v>5450</v>
      </c>
    </row>
    <row r="1639" spans="1:6" x14ac:dyDescent="0.15">
      <c r="A1639" s="1">
        <v>40683</v>
      </c>
      <c r="B1639" t="s">
        <v>317</v>
      </c>
      <c r="C1639" s="2" t="str">
        <f>HYPERLINK("http://snap.windin.com/ns/bulletin.php?id=2034414&amp;type=1", "盛通股份:首次公开发行股票招股说明书（申报稿）")</f>
        <v>盛通股份:首次公开发行股票招股说明书（申报稿）</v>
      </c>
      <c r="D1639" t="s">
        <v>8021</v>
      </c>
      <c r="E1639" t="s">
        <v>807</v>
      </c>
      <c r="F1639" t="s">
        <v>5452</v>
      </c>
    </row>
    <row r="1640" spans="1:6" x14ac:dyDescent="0.15">
      <c r="A1640" s="1">
        <v>40683</v>
      </c>
      <c r="B1640" t="s">
        <v>3649</v>
      </c>
      <c r="C1640" s="2" t="str">
        <f>HYPERLINK("http://snap.windin.com/ns/bulletin.php?id=1964520&amp;type=1", "金创股份:首次公开发行股票招股说明书（申报稿）")</f>
        <v>金创股份:首次公开发行股票招股说明书（申报稿）</v>
      </c>
      <c r="D1640" t="s">
        <v>8022</v>
      </c>
      <c r="E1640" t="s">
        <v>5638</v>
      </c>
      <c r="F1640" t="s">
        <v>5452</v>
      </c>
    </row>
    <row r="1641" spans="1:6" x14ac:dyDescent="0.15">
      <c r="A1641" s="1">
        <v>40683</v>
      </c>
      <c r="B1641" t="s">
        <v>355</v>
      </c>
      <c r="C1641" s="2" t="str">
        <f>HYPERLINK("http://snap.windin.com/ns/bulletin.php?id=791183&amp;type=1", "金力泰:首次公开发行股票并在创业板上市招股说明书")</f>
        <v>金力泰:首次公开发行股票并在创业板上市招股说明书</v>
      </c>
      <c r="D1641" t="s">
        <v>2670</v>
      </c>
      <c r="E1641" t="s">
        <v>848</v>
      </c>
      <c r="F1641" t="s">
        <v>455</v>
      </c>
    </row>
    <row r="1642" spans="1:6" x14ac:dyDescent="0.15">
      <c r="A1642" s="1">
        <v>40683</v>
      </c>
      <c r="B1642" t="s">
        <v>357</v>
      </c>
      <c r="C1642" s="2" t="str">
        <f>HYPERLINK("http://snap.windin.com/ns/bulletin.php?id=987096&amp;type=1", "正海磁材:首次公开发行股票并在创业板上市招股说明书")</f>
        <v>正海磁材:首次公开发行股票并在创业板上市招股说明书</v>
      </c>
      <c r="D1642" t="s">
        <v>2671</v>
      </c>
      <c r="E1642" t="s">
        <v>850</v>
      </c>
      <c r="F1642" t="s">
        <v>455</v>
      </c>
    </row>
    <row r="1643" spans="1:6" x14ac:dyDescent="0.15">
      <c r="A1643" s="1">
        <v>40682</v>
      </c>
      <c r="B1643" t="s">
        <v>321</v>
      </c>
      <c r="C1643" s="2" t="str">
        <f>HYPERLINK("http://snap.windin.com/ns/bulletin.php?id=1987491&amp;type=1", "金禾实业:首次公开发行股票招股说明书（申报稿）")</f>
        <v>金禾实业:首次公开发行股票招股说明书（申报稿）</v>
      </c>
      <c r="D1643" t="s">
        <v>8023</v>
      </c>
      <c r="E1643" t="s">
        <v>814</v>
      </c>
      <c r="F1643" t="s">
        <v>5452</v>
      </c>
    </row>
    <row r="1644" spans="1:6" x14ac:dyDescent="0.15">
      <c r="A1644" s="1">
        <v>40682</v>
      </c>
      <c r="B1644" t="s">
        <v>322</v>
      </c>
      <c r="C1644" s="2" t="str">
        <f>HYPERLINK("http://snap.windin.com/ns/bulletin.php?id=1972696&amp;type=1", "山东章鼓:首发股票招股说明书(申报稿)")</f>
        <v>山东章鼓:首发股票招股说明书(申报稿)</v>
      </c>
      <c r="D1644" t="s">
        <v>8024</v>
      </c>
      <c r="E1644" t="s">
        <v>815</v>
      </c>
      <c r="F1644" t="s">
        <v>5529</v>
      </c>
    </row>
    <row r="1645" spans="1:6" x14ac:dyDescent="0.15">
      <c r="A1645" s="1">
        <v>40682</v>
      </c>
      <c r="B1645" t="s">
        <v>364</v>
      </c>
      <c r="C1645" s="2" t="str">
        <f>HYPERLINK("http://snap.windin.com/ns/bulletin.php?id=1439461&amp;type=1", "东材科技:首次公开发行股票招股说明书")</f>
        <v>东材科技:首次公开发行股票招股说明书</v>
      </c>
      <c r="D1645" t="s">
        <v>2674</v>
      </c>
      <c r="E1645" t="s">
        <v>857</v>
      </c>
      <c r="F1645" t="s">
        <v>399</v>
      </c>
    </row>
    <row r="1646" spans="1:6" x14ac:dyDescent="0.15">
      <c r="A1646" s="1">
        <v>40680</v>
      </c>
      <c r="B1646" t="s">
        <v>369</v>
      </c>
      <c r="C1646" s="2" t="str">
        <f>HYPERLINK("http://snap.windin.com/ns/bulletin.php?id=184827&amp;type=1", "桐昆股份:首次公告发行股票并上市招股说明书")</f>
        <v>桐昆股份:首次公告发行股票并上市招股说明书</v>
      </c>
      <c r="D1646" t="s">
        <v>2682</v>
      </c>
      <c r="E1646" t="s">
        <v>864</v>
      </c>
      <c r="F1646" t="s">
        <v>867</v>
      </c>
    </row>
    <row r="1647" spans="1:6" x14ac:dyDescent="0.15">
      <c r="A1647" s="1">
        <v>40680</v>
      </c>
      <c r="B1647" t="s">
        <v>360</v>
      </c>
      <c r="C1647" s="2" t="str">
        <f>HYPERLINK("http://snap.windin.com/ns/bulletin.php?id=894410&amp;type=1", "海能达:首次公开发行股票招股说明书")</f>
        <v>海能达:首次公开发行股票招股说明书</v>
      </c>
      <c r="D1647" t="s">
        <v>2700</v>
      </c>
      <c r="E1647" t="s">
        <v>853</v>
      </c>
      <c r="F1647" t="s">
        <v>399</v>
      </c>
    </row>
    <row r="1648" spans="1:6" x14ac:dyDescent="0.15">
      <c r="A1648" s="1">
        <v>40679</v>
      </c>
      <c r="B1648" t="s">
        <v>316</v>
      </c>
      <c r="C1648" s="2" t="str">
        <f>HYPERLINK("http://snap.windin.com/ns/bulletin.php?id=1686825&amp;type=1", "佰利联:首次公开发行股票招股说明书（申报稿）")</f>
        <v>佰利联:首次公开发行股票招股说明书（申报稿）</v>
      </c>
      <c r="D1648" t="s">
        <v>8025</v>
      </c>
      <c r="E1648" t="s">
        <v>806</v>
      </c>
      <c r="F1648" t="s">
        <v>5452</v>
      </c>
    </row>
    <row r="1649" spans="1:6" x14ac:dyDescent="0.15">
      <c r="A1649" s="1">
        <v>40679</v>
      </c>
      <c r="B1649" t="s">
        <v>315</v>
      </c>
      <c r="C1649" s="2" t="str">
        <f>HYPERLINK("http://snap.windin.com/ns/bulletin.php?id=1449423&amp;type=1", "江粉磁材:首次公开发行股票招股说明书（申报稿）")</f>
        <v>江粉磁材:首次公开发行股票招股说明书（申报稿）</v>
      </c>
      <c r="D1649" t="s">
        <v>8026</v>
      </c>
      <c r="E1649" t="s">
        <v>805</v>
      </c>
      <c r="F1649" t="s">
        <v>5452</v>
      </c>
    </row>
    <row r="1650" spans="1:6" x14ac:dyDescent="0.15">
      <c r="A1650" s="1">
        <v>40676</v>
      </c>
      <c r="B1650" t="s">
        <v>362</v>
      </c>
      <c r="C1650" s="2" t="str">
        <f>HYPERLINK("http://snap.windin.com/ns/bulletin.php?id=406138&amp;type=1", "银禧科技:首次公开发行股票并在创业板上市招股说明书")</f>
        <v>银禧科技:首次公开发行股票并在创业板上市招股说明书</v>
      </c>
      <c r="D1650" t="s">
        <v>2709</v>
      </c>
      <c r="E1650" t="s">
        <v>855</v>
      </c>
      <c r="F1650" t="s">
        <v>455</v>
      </c>
    </row>
    <row r="1651" spans="1:6" x14ac:dyDescent="0.15">
      <c r="A1651" s="1">
        <v>40676</v>
      </c>
      <c r="B1651" t="s">
        <v>361</v>
      </c>
      <c r="C1651" s="2" t="str">
        <f>HYPERLINK("http://snap.windin.com/ns/bulletin.php?id=546526&amp;type=1", "金运激光:首次公开发行股票并在创业板上市招股说明书")</f>
        <v>金运激光:首次公开发行股票并在创业板上市招股说明书</v>
      </c>
      <c r="D1651" t="s">
        <v>2710</v>
      </c>
      <c r="E1651" t="s">
        <v>854</v>
      </c>
      <c r="F1651" t="s">
        <v>455</v>
      </c>
    </row>
    <row r="1652" spans="1:6" x14ac:dyDescent="0.15">
      <c r="A1652" s="1">
        <v>40676</v>
      </c>
      <c r="B1652" t="s">
        <v>363</v>
      </c>
      <c r="C1652" s="2" t="str">
        <f>HYPERLINK("http://snap.windin.com/ns/bulletin.php?id=2009870&amp;type=1", "科大智能:首次公开发行股票并在创业板上市招股说明书")</f>
        <v>科大智能:首次公开发行股票并在创业板上市招股说明书</v>
      </c>
      <c r="D1652" t="s">
        <v>2708</v>
      </c>
      <c r="E1652" t="s">
        <v>856</v>
      </c>
      <c r="F1652" t="s">
        <v>455</v>
      </c>
    </row>
    <row r="1653" spans="1:6" x14ac:dyDescent="0.15">
      <c r="A1653" s="1">
        <v>40676</v>
      </c>
      <c r="B1653" t="s">
        <v>327</v>
      </c>
      <c r="C1653" s="2" t="str">
        <f>HYPERLINK("http://snap.windin.com/ns/bulletin.php?id=1904877&amp;type=1", "赛轮股份:首次公开发行股票招股说明书（申报稿）")</f>
        <v>赛轮股份:首次公开发行股票招股说明书（申报稿）</v>
      </c>
      <c r="D1653" t="s">
        <v>8027</v>
      </c>
      <c r="E1653" t="s">
        <v>820</v>
      </c>
      <c r="F1653" t="s">
        <v>5452</v>
      </c>
    </row>
    <row r="1654" spans="1:6" x14ac:dyDescent="0.15">
      <c r="A1654" s="1">
        <v>40676</v>
      </c>
      <c r="B1654" t="s">
        <v>3650</v>
      </c>
      <c r="C1654" s="2" t="str">
        <f>HYPERLINK("http://snap.windin.com/ns/bulletin.php?id=741654&amp;type=1", "井泰石油:首发招股说明书（申报稿）")</f>
        <v>井泰石油:首发招股说明书（申报稿）</v>
      </c>
      <c r="D1654" t="s">
        <v>8028</v>
      </c>
      <c r="E1654" t="s">
        <v>5639</v>
      </c>
      <c r="F1654" t="s">
        <v>5513</v>
      </c>
    </row>
    <row r="1655" spans="1:6" x14ac:dyDescent="0.15">
      <c r="A1655" s="1">
        <v>40675</v>
      </c>
      <c r="B1655" t="s">
        <v>253</v>
      </c>
      <c r="C1655" s="2" t="str">
        <f>HYPERLINK("http://snap.windin.com/ns/bulletin.php?id=1326622&amp;type=1", "金达威:（首发招股说明书(申报稿）")</f>
        <v>金达威:（首发招股说明书(申报稿）</v>
      </c>
      <c r="D1655" t="s">
        <v>8029</v>
      </c>
      <c r="E1655" t="s">
        <v>734</v>
      </c>
      <c r="F1655" t="s">
        <v>5640</v>
      </c>
    </row>
    <row r="1656" spans="1:6" x14ac:dyDescent="0.15">
      <c r="A1656" s="1">
        <v>40675</v>
      </c>
      <c r="B1656" t="s">
        <v>323</v>
      </c>
      <c r="C1656" s="2" t="str">
        <f>HYPERLINK("http://snap.windin.com/ns/bulletin.php?id=2082642&amp;type=1", "海南瑞泽:首次公开发行股票招股说明书（申报稿）")</f>
        <v>海南瑞泽:首次公开发行股票招股说明书（申报稿）</v>
      </c>
      <c r="D1656" t="s">
        <v>8030</v>
      </c>
      <c r="E1656" t="s">
        <v>816</v>
      </c>
      <c r="F1656" t="s">
        <v>5452</v>
      </c>
    </row>
    <row r="1657" spans="1:6" x14ac:dyDescent="0.15">
      <c r="A1657" s="1">
        <v>40675</v>
      </c>
      <c r="B1657" t="s">
        <v>3651</v>
      </c>
      <c r="C1657" s="2" t="str">
        <f>HYPERLINK("http://snap.windin.com/ns/bulletin.php?id=1463228&amp;type=1", "利民化工:首次公开发行股票招股说明书（申报稿）")</f>
        <v>利民化工:首次公开发行股票招股说明书（申报稿）</v>
      </c>
      <c r="D1657" t="s">
        <v>8031</v>
      </c>
      <c r="E1657" t="s">
        <v>5297</v>
      </c>
      <c r="F1657" t="s">
        <v>5452</v>
      </c>
    </row>
    <row r="1658" spans="1:6" x14ac:dyDescent="0.15">
      <c r="A1658" s="1">
        <v>40674</v>
      </c>
      <c r="B1658" t="s">
        <v>365</v>
      </c>
      <c r="C1658" s="2" t="str">
        <f>HYPERLINK("http://snap.windin.com/ns/bulletin.php?id=989626&amp;type=1", "好想你:首次公开发行股票招股说明书")</f>
        <v>好想你:首次公开发行股票招股说明书</v>
      </c>
      <c r="D1658" t="s">
        <v>2711</v>
      </c>
      <c r="E1658" t="s">
        <v>858</v>
      </c>
      <c r="F1658" t="s">
        <v>399</v>
      </c>
    </row>
    <row r="1659" spans="1:6" x14ac:dyDescent="0.15">
      <c r="A1659" s="1">
        <v>40672</v>
      </c>
      <c r="B1659" t="s">
        <v>3652</v>
      </c>
      <c r="C1659" s="2" t="str">
        <f>HYPERLINK("http://snap.windin.com/ns/bulletin.php?id=1701763&amp;type=1", "盛瑞传动:创业板首发招股说明书（申报稿）")</f>
        <v>盛瑞传动:创业板首发招股说明书（申报稿）</v>
      </c>
      <c r="D1659" t="s">
        <v>8032</v>
      </c>
      <c r="E1659" t="s">
        <v>5641</v>
      </c>
      <c r="F1659" t="s">
        <v>5450</v>
      </c>
    </row>
    <row r="1660" spans="1:6" x14ac:dyDescent="0.15">
      <c r="A1660" s="1">
        <v>40672</v>
      </c>
      <c r="B1660" t="s">
        <v>367</v>
      </c>
      <c r="C1660" s="2" t="str">
        <f>HYPERLINK("http://snap.windin.com/ns/bulletin.php?id=1996398&amp;type=1", "安利股份:首次公开发行股票并在创业板上市招股说明书")</f>
        <v>安利股份:首次公开发行股票并在创业板上市招股说明书</v>
      </c>
      <c r="D1660" t="s">
        <v>2730</v>
      </c>
      <c r="E1660" t="s">
        <v>860</v>
      </c>
      <c r="F1660" t="s">
        <v>455</v>
      </c>
    </row>
    <row r="1661" spans="1:6" x14ac:dyDescent="0.15">
      <c r="A1661" s="1">
        <v>40672</v>
      </c>
      <c r="B1661" t="s">
        <v>368</v>
      </c>
      <c r="C1661" s="2" t="str">
        <f>HYPERLINK("http://snap.windin.com/ns/bulletin.php?id=1629037&amp;type=1", "东方电热:首次公开发行股票并在创业板上市招股说明书")</f>
        <v>东方电热:首次公开发行股票并在创业板上市招股说明书</v>
      </c>
      <c r="D1661" t="s">
        <v>2731</v>
      </c>
      <c r="E1661" t="s">
        <v>862</v>
      </c>
      <c r="F1661" t="s">
        <v>455</v>
      </c>
    </row>
    <row r="1662" spans="1:6" x14ac:dyDescent="0.15">
      <c r="A1662" s="1">
        <v>40672</v>
      </c>
      <c r="B1662" t="s">
        <v>370</v>
      </c>
      <c r="C1662" s="2" t="str">
        <f>HYPERLINK("http://snap.windin.com/ns/bulletin.php?id=901500&amp;type=1", "鸿利光电:首次公开发行股票并在创业板上市招股说明书")</f>
        <v>鸿利光电:首次公开发行股票并在创业板上市招股说明书</v>
      </c>
      <c r="D1662" t="s">
        <v>2729</v>
      </c>
      <c r="E1662" t="s">
        <v>866</v>
      </c>
      <c r="F1662" t="s">
        <v>455</v>
      </c>
    </row>
    <row r="1663" spans="1:6" x14ac:dyDescent="0.15">
      <c r="A1663" s="1">
        <v>40669</v>
      </c>
      <c r="B1663" t="s">
        <v>326</v>
      </c>
      <c r="C1663" s="2" t="str">
        <f>HYPERLINK("http://snap.windin.com/ns/bulletin.php?id=1156743&amp;type=1", "东宝生物:创业板首发招股说明书（申报稿）")</f>
        <v>东宝生物:创业板首发招股说明书（申报稿）</v>
      </c>
      <c r="D1663" t="s">
        <v>8033</v>
      </c>
      <c r="E1663" t="s">
        <v>819</v>
      </c>
      <c r="F1663" t="s">
        <v>5450</v>
      </c>
    </row>
    <row r="1664" spans="1:6" x14ac:dyDescent="0.15">
      <c r="A1664" s="1">
        <v>40669</v>
      </c>
      <c r="B1664" t="s">
        <v>324</v>
      </c>
      <c r="C1664" s="2" t="str">
        <f>HYPERLINK("http://snap.windin.com/ns/bulletin.php?id=1326204&amp;type=1", "冠昊生物:创业板首发招股说明书（申报稿）")</f>
        <v>冠昊生物:创业板首发招股说明书（申报稿）</v>
      </c>
      <c r="D1664" t="s">
        <v>8034</v>
      </c>
      <c r="E1664" t="s">
        <v>817</v>
      </c>
      <c r="F1664" t="s">
        <v>5450</v>
      </c>
    </row>
    <row r="1665" spans="1:6" x14ac:dyDescent="0.15">
      <c r="A1665" s="1">
        <v>40669</v>
      </c>
      <c r="B1665" t="s">
        <v>374</v>
      </c>
      <c r="C1665" s="2" t="str">
        <f>HYPERLINK("http://snap.windin.com/ns/bulletin.php?id=439291&amp;type=1", "华鼎锦纶:首次公开发行股票招股说明书")</f>
        <v>华鼎锦纶:首次公开发行股票招股说明书</v>
      </c>
      <c r="D1665" t="s">
        <v>2734</v>
      </c>
      <c r="E1665" t="s">
        <v>871</v>
      </c>
      <c r="F1665" t="s">
        <v>399</v>
      </c>
    </row>
    <row r="1666" spans="1:6" x14ac:dyDescent="0.15">
      <c r="A1666" s="1">
        <v>40669</v>
      </c>
      <c r="B1666" t="s">
        <v>333</v>
      </c>
      <c r="C1666" s="2" t="str">
        <f>HYPERLINK("http://snap.windin.com/ns/bulletin.php?id=1911868&amp;type=1", "日上集团:首次公开发行股票招股说明书（申报稿）")</f>
        <v>日上集团:首次公开发行股票招股说明书（申报稿）</v>
      </c>
      <c r="D1666" t="s">
        <v>8035</v>
      </c>
      <c r="E1666" t="s">
        <v>826</v>
      </c>
      <c r="F1666" t="s">
        <v>5452</v>
      </c>
    </row>
    <row r="1667" spans="1:6" x14ac:dyDescent="0.15">
      <c r="A1667" s="1">
        <v>40669</v>
      </c>
      <c r="B1667" t="s">
        <v>375</v>
      </c>
      <c r="C1667" s="2" t="str">
        <f>HYPERLINK("http://snap.windin.com/ns/bulletin.php?id=803555&amp;type=1", "上海医药:关于刊发H股招股说明书、H股发行价格区间及H股香港公开发售等相关事宜的公告")</f>
        <v>上海医药:关于刊发H股招股说明书、H股发行价格区间及H股香港公开发售等相关事宜的公告</v>
      </c>
      <c r="D1667" t="s">
        <v>2732</v>
      </c>
      <c r="E1667" t="s">
        <v>872</v>
      </c>
      <c r="F1667" t="s">
        <v>873</v>
      </c>
    </row>
    <row r="1668" spans="1:6" x14ac:dyDescent="0.15">
      <c r="A1668" s="1">
        <v>40668</v>
      </c>
      <c r="B1668" t="s">
        <v>378</v>
      </c>
      <c r="C1668" s="2" t="str">
        <f>HYPERLINK("http://snap.windin.com/ns/bulletin.php?id=1586262&amp;type=1", "吉鑫科技:首次公开发行股票招股说明书")</f>
        <v>吉鑫科技:首次公开发行股票招股说明书</v>
      </c>
      <c r="D1668" t="s">
        <v>2740</v>
      </c>
      <c r="E1668" t="s">
        <v>876</v>
      </c>
      <c r="F1668" t="s">
        <v>399</v>
      </c>
    </row>
    <row r="1669" spans="1:6" x14ac:dyDescent="0.15">
      <c r="A1669" s="1">
        <v>40668</v>
      </c>
      <c r="B1669" t="s">
        <v>311</v>
      </c>
      <c r="C1669" s="2" t="str">
        <f>HYPERLINK("http://snap.windin.com/ns/bulletin.php?id=582907&amp;type=1", "龙力生物:首次公开发行股票招股说明书（申报稿）")</f>
        <v>龙力生物:首次公开发行股票招股说明书（申报稿）</v>
      </c>
      <c r="D1669" t="s">
        <v>8036</v>
      </c>
      <c r="E1669" t="s">
        <v>799</v>
      </c>
      <c r="F1669" t="s">
        <v>5452</v>
      </c>
    </row>
    <row r="1670" spans="1:6" x14ac:dyDescent="0.15">
      <c r="A1670" s="1">
        <v>40668</v>
      </c>
      <c r="B1670" t="s">
        <v>328</v>
      </c>
      <c r="C1670" s="2" t="str">
        <f>HYPERLINK("http://snap.windin.com/ns/bulletin.php?id=839270&amp;type=1", "比亚迪:首次公开发行A股股票招股说明书（申报稿）")</f>
        <v>比亚迪:首次公开发行A股股票招股说明书（申报稿）</v>
      </c>
      <c r="D1670" t="s">
        <v>8037</v>
      </c>
      <c r="E1670" t="s">
        <v>821</v>
      </c>
      <c r="F1670" t="s">
        <v>5493</v>
      </c>
    </row>
    <row r="1671" spans="1:6" x14ac:dyDescent="0.15">
      <c r="A1671" s="1">
        <v>40667</v>
      </c>
      <c r="B1671" t="s">
        <v>366</v>
      </c>
      <c r="C1671" s="2" t="str">
        <f>HYPERLINK("http://snap.windin.com/ns/bulletin.php?id=852180&amp;type=1", "万昌科技:首次公开发行股票招股说明书")</f>
        <v>万昌科技:首次公开发行股票招股说明书</v>
      </c>
      <c r="D1671" t="s">
        <v>2756</v>
      </c>
      <c r="E1671" t="s">
        <v>859</v>
      </c>
      <c r="F1671" t="s">
        <v>399</v>
      </c>
    </row>
    <row r="1672" spans="1:6" x14ac:dyDescent="0.15">
      <c r="A1672" s="1">
        <v>40662</v>
      </c>
      <c r="B1672" t="s">
        <v>3653</v>
      </c>
      <c r="C1672" s="2" t="str">
        <f>HYPERLINK("http://snap.windin.com/ns/bulletin.php?id=1750359&amp;type=1", "中交通力:首发招股说明书（申报稿）")</f>
        <v>中交通力:首发招股说明书（申报稿）</v>
      </c>
      <c r="D1672" t="s">
        <v>8038</v>
      </c>
      <c r="E1672" t="s">
        <v>5642</v>
      </c>
      <c r="F1672" t="s">
        <v>5513</v>
      </c>
    </row>
    <row r="1673" spans="1:6" x14ac:dyDescent="0.15">
      <c r="A1673" s="1">
        <v>40662</v>
      </c>
      <c r="B1673" t="s">
        <v>371</v>
      </c>
      <c r="C1673" s="2" t="str">
        <f>HYPERLINK("http://snap.windin.com/ns/bulletin.php?id=2030801&amp;type=1", "电科院:首次公开发行股票并在创业板上市招股说明书")</f>
        <v>电科院:首次公开发行股票并在创业板上市招股说明书</v>
      </c>
      <c r="D1673" t="s">
        <v>2759</v>
      </c>
      <c r="E1673" t="s">
        <v>868</v>
      </c>
      <c r="F1673" t="s">
        <v>455</v>
      </c>
    </row>
    <row r="1674" spans="1:6" x14ac:dyDescent="0.15">
      <c r="A1674" s="1">
        <v>40662</v>
      </c>
      <c r="B1674" t="s">
        <v>372</v>
      </c>
      <c r="C1674" s="2" t="str">
        <f>HYPERLINK("http://snap.windin.com/ns/bulletin.php?id=1849490&amp;type=1", "日科化学:首次公开发行股票并在创业板上市招股说明书")</f>
        <v>日科化学:首次公开发行股票并在创业板上市招股说明书</v>
      </c>
      <c r="D1674" t="s">
        <v>8039</v>
      </c>
      <c r="E1674" t="s">
        <v>869</v>
      </c>
      <c r="F1674" t="s">
        <v>455</v>
      </c>
    </row>
    <row r="1675" spans="1:6" x14ac:dyDescent="0.15">
      <c r="A1675" s="1">
        <v>40662</v>
      </c>
      <c r="B1675" t="s">
        <v>3654</v>
      </c>
      <c r="C1675" s="2" t="str">
        <f>HYPERLINK("http://snap.windin.com/ns/bulletin.php?id=652093&amp;type=1", "威丝曼:首次公开发行股票招股说明书（申报稿）")</f>
        <v>威丝曼:首次公开发行股票招股说明书（申报稿）</v>
      </c>
      <c r="D1675" t="s">
        <v>8040</v>
      </c>
      <c r="E1675" t="s">
        <v>5643</v>
      </c>
      <c r="F1675" t="s">
        <v>5452</v>
      </c>
    </row>
    <row r="1676" spans="1:6" x14ac:dyDescent="0.15">
      <c r="A1676" s="1">
        <v>40662</v>
      </c>
      <c r="B1676" t="s">
        <v>373</v>
      </c>
      <c r="C1676" s="2" t="str">
        <f>HYPERLINK("http://snap.windin.com/ns/bulletin.php?id=907861&amp;type=1", "千山药机:首次公开发行股票并在创业板上市招股说明书")</f>
        <v>千山药机:首次公开发行股票并在创业板上市招股说明书</v>
      </c>
      <c r="D1676" t="s">
        <v>8041</v>
      </c>
      <c r="E1676" t="s">
        <v>870</v>
      </c>
      <c r="F1676" t="s">
        <v>455</v>
      </c>
    </row>
    <row r="1677" spans="1:6" x14ac:dyDescent="0.15">
      <c r="A1677" s="1">
        <v>40661</v>
      </c>
      <c r="B1677" t="s">
        <v>3655</v>
      </c>
      <c r="C1677" s="2" t="str">
        <f>HYPERLINK("http://snap.windin.com/ns/bulletin.php?id=1516427&amp;type=1", "凯化集团:首次公开发行股票招股说明书（申报稿）")</f>
        <v>凯化集团:首次公开发行股票招股说明书（申报稿）</v>
      </c>
      <c r="D1677" t="s">
        <v>8042</v>
      </c>
      <c r="E1677" t="s">
        <v>5644</v>
      </c>
      <c r="F1677" t="s">
        <v>5452</v>
      </c>
    </row>
    <row r="1678" spans="1:6" x14ac:dyDescent="0.15">
      <c r="A1678" s="1">
        <v>40661</v>
      </c>
      <c r="B1678" t="s">
        <v>302</v>
      </c>
      <c r="C1678" s="2" t="str">
        <f>HYPERLINK("http://snap.windin.com/ns/bulletin.php?id=719729&amp;type=1", "姚记扑克:首次公开发行股票招股说明书（申报稿）")</f>
        <v>姚记扑克:首次公开发行股票招股说明书（申报稿）</v>
      </c>
      <c r="D1678" t="s">
        <v>8043</v>
      </c>
      <c r="E1678" t="s">
        <v>789</v>
      </c>
      <c r="F1678" t="s">
        <v>5452</v>
      </c>
    </row>
    <row r="1679" spans="1:6" x14ac:dyDescent="0.15">
      <c r="A1679" s="1">
        <v>40660</v>
      </c>
      <c r="B1679" t="s">
        <v>3656</v>
      </c>
      <c r="C1679" s="2" t="str">
        <f>HYPERLINK("http://snap.windin.com/ns/bulletin.php?id=1287165&amp;type=1", "庞大集团:首次公开发行股票招股说明书")</f>
        <v>庞大集团:首次公开发行股票招股说明书</v>
      </c>
      <c r="D1679" t="s">
        <v>8044</v>
      </c>
      <c r="E1679" t="s">
        <v>5645</v>
      </c>
      <c r="F1679" t="s">
        <v>399</v>
      </c>
    </row>
    <row r="1680" spans="1:6" x14ac:dyDescent="0.15">
      <c r="A1680" s="1">
        <v>40658</v>
      </c>
      <c r="B1680" t="s">
        <v>376</v>
      </c>
      <c r="C1680" s="2" t="str">
        <f>HYPERLINK("http://snap.windin.com/ns/bulletin.php?id=500070&amp;type=1", "圣阳股份:首次公开发行股票招股说明书")</f>
        <v>圣阳股份:首次公开发行股票招股说明书</v>
      </c>
      <c r="D1680" t="s">
        <v>8045</v>
      </c>
      <c r="E1680" t="s">
        <v>874</v>
      </c>
      <c r="F1680" t="s">
        <v>399</v>
      </c>
    </row>
    <row r="1681" spans="1:6" x14ac:dyDescent="0.15">
      <c r="A1681" s="1">
        <v>40658</v>
      </c>
      <c r="B1681" t="s">
        <v>377</v>
      </c>
      <c r="C1681" s="2" t="str">
        <f>HYPERLINK("http://snap.windin.com/ns/bulletin.php?id=2084849&amp;type=1", "中京电子:首次公开发行股票招股说明书")</f>
        <v>中京电子:首次公开发行股票招股说明书</v>
      </c>
      <c r="D1681" t="s">
        <v>8046</v>
      </c>
      <c r="E1681" t="s">
        <v>875</v>
      </c>
      <c r="F1681" t="s">
        <v>399</v>
      </c>
    </row>
    <row r="1682" spans="1:6" x14ac:dyDescent="0.15">
      <c r="A1682" s="1">
        <v>40655</v>
      </c>
      <c r="B1682" t="s">
        <v>380</v>
      </c>
      <c r="C1682" s="2" t="str">
        <f>HYPERLINK("http://snap.windin.com/ns/bulletin.php?id=509138&amp;type=1", "易华录:首次公开发行股票并在创业板上市招股说明书")</f>
        <v>易华录:首次公开发行股票并在创业板上市招股说明书</v>
      </c>
      <c r="D1682" t="s">
        <v>8047</v>
      </c>
      <c r="E1682" t="s">
        <v>878</v>
      </c>
      <c r="F1682" t="s">
        <v>455</v>
      </c>
    </row>
    <row r="1683" spans="1:6" x14ac:dyDescent="0.15">
      <c r="A1683" s="1">
        <v>40655</v>
      </c>
      <c r="B1683" t="s">
        <v>379</v>
      </c>
      <c r="C1683" s="2" t="str">
        <f>HYPERLINK("http://snap.windin.com/ns/bulletin.php?id=541266&amp;type=1", "佳讯飞鸿:首次公开发行股票并在创业板上市招股说明书")</f>
        <v>佳讯飞鸿:首次公开发行股票并在创业板上市招股说明书</v>
      </c>
      <c r="D1683" t="s">
        <v>8048</v>
      </c>
      <c r="E1683" t="s">
        <v>877</v>
      </c>
      <c r="F1683" t="s">
        <v>455</v>
      </c>
    </row>
    <row r="1684" spans="1:6" x14ac:dyDescent="0.15">
      <c r="A1684" s="1">
        <v>40655</v>
      </c>
      <c r="B1684" t="s">
        <v>381</v>
      </c>
      <c r="C1684" s="2" t="str">
        <f>HYPERLINK("http://snap.windin.com/ns/bulletin.php?id=1504970&amp;type=1", "亿通科技:首次公开发行股票并在创业板上市招股说明书")</f>
        <v>亿通科技:首次公开发行股票并在创业板上市招股说明书</v>
      </c>
      <c r="D1684" t="s">
        <v>8049</v>
      </c>
      <c r="E1684" t="s">
        <v>879</v>
      </c>
      <c r="F1684" t="s">
        <v>455</v>
      </c>
    </row>
    <row r="1685" spans="1:6" x14ac:dyDescent="0.15">
      <c r="A1685" s="1">
        <v>40655</v>
      </c>
      <c r="B1685" t="s">
        <v>342</v>
      </c>
      <c r="C1685" s="2" t="str">
        <f>HYPERLINK("http://snap.windin.com/ns/bulletin.php?id=956276&amp;type=1", "三星电气:首发招股说明书（申报稿）")</f>
        <v>三星电气:首发招股说明书（申报稿）</v>
      </c>
      <c r="D1685" t="s">
        <v>8050</v>
      </c>
      <c r="E1685" t="s">
        <v>835</v>
      </c>
      <c r="F1685" t="s">
        <v>5513</v>
      </c>
    </row>
    <row r="1686" spans="1:6" x14ac:dyDescent="0.15">
      <c r="A1686" s="1">
        <v>40654</v>
      </c>
      <c r="B1686" t="s">
        <v>3657</v>
      </c>
      <c r="C1686" s="2" t="str">
        <f>HYPERLINK("http://snap.windin.com/ns/bulletin.php?id=126389&amp;type=1", "金洋电子:首发招股说明书（申报稿）")</f>
        <v>金洋电子:首发招股说明书（申报稿）</v>
      </c>
      <c r="D1686" t="s">
        <v>8051</v>
      </c>
      <c r="E1686" t="s">
        <v>5646</v>
      </c>
      <c r="F1686" t="s">
        <v>5513</v>
      </c>
    </row>
    <row r="1687" spans="1:6" x14ac:dyDescent="0.15">
      <c r="A1687" s="1">
        <v>40654</v>
      </c>
      <c r="B1687" t="s">
        <v>3658</v>
      </c>
      <c r="C1687" s="2" t="str">
        <f>HYPERLINK("http://snap.windin.com/ns/bulletin.php?id=510184&amp;type=1", "东泽电缆:首发招股说明书（申报稿）")</f>
        <v>东泽电缆:首发招股说明书（申报稿）</v>
      </c>
      <c r="D1687" t="s">
        <v>8052</v>
      </c>
      <c r="E1687" t="s">
        <v>5647</v>
      </c>
      <c r="F1687" t="s">
        <v>5513</v>
      </c>
    </row>
    <row r="1688" spans="1:6" x14ac:dyDescent="0.15">
      <c r="A1688" s="1">
        <v>40654</v>
      </c>
      <c r="B1688" t="s">
        <v>330</v>
      </c>
      <c r="C1688" s="2" t="str">
        <f>HYPERLINK("http://snap.windin.com/ns/bulletin.php?id=426369&amp;type=1", "方直科技:创业板首发招股说明书（申报稿）")</f>
        <v>方直科技:创业板首发招股说明书（申报稿）</v>
      </c>
      <c r="D1688" t="s">
        <v>8053</v>
      </c>
      <c r="E1688" t="s">
        <v>823</v>
      </c>
      <c r="F1688" t="s">
        <v>5450</v>
      </c>
    </row>
    <row r="1689" spans="1:6" x14ac:dyDescent="0.15">
      <c r="A1689" s="1">
        <v>40654</v>
      </c>
      <c r="B1689" t="s">
        <v>3659</v>
      </c>
      <c r="C1689" s="2" t="str">
        <f>HYPERLINK("http://snap.windin.com/ns/bulletin.php?id=1812542&amp;type=1", "华力特:首发招股说明书（申报稿）")</f>
        <v>华力特:首发招股说明书（申报稿）</v>
      </c>
      <c r="D1689" t="s">
        <v>8054</v>
      </c>
      <c r="E1689" t="s">
        <v>5648</v>
      </c>
      <c r="F1689" t="s">
        <v>5513</v>
      </c>
    </row>
    <row r="1690" spans="1:6" x14ac:dyDescent="0.15">
      <c r="A1690" s="1">
        <v>40652</v>
      </c>
      <c r="B1690" t="s">
        <v>3660</v>
      </c>
      <c r="C1690" s="2" t="str">
        <f>HYPERLINK("http://snap.windin.com/ns/bulletin.php?id=1757192&amp;type=1", "闽发铝业:首次公开发行股票招股说明书")</f>
        <v>闽发铝业:首次公开发行股票招股说明书</v>
      </c>
      <c r="D1690" t="s">
        <v>8055</v>
      </c>
      <c r="E1690" t="s">
        <v>5649</v>
      </c>
      <c r="F1690" t="s">
        <v>399</v>
      </c>
    </row>
    <row r="1691" spans="1:6" x14ac:dyDescent="0.15">
      <c r="A1691" s="1">
        <v>40652</v>
      </c>
      <c r="B1691" t="s">
        <v>3661</v>
      </c>
      <c r="C1691" s="2" t="str">
        <f>HYPERLINK("http://snap.windin.com/ns/bulletin.php?id=871823&amp;type=1", "雷柏科技:首次公开发行股票招股说明书")</f>
        <v>雷柏科技:首次公开发行股票招股说明书</v>
      </c>
      <c r="D1691" t="s">
        <v>8056</v>
      </c>
      <c r="E1691" t="s">
        <v>5650</v>
      </c>
      <c r="F1691" t="s">
        <v>399</v>
      </c>
    </row>
    <row r="1692" spans="1:6" x14ac:dyDescent="0.15">
      <c r="A1692" s="1">
        <v>40652</v>
      </c>
      <c r="B1692" t="s">
        <v>3662</v>
      </c>
      <c r="C1692" s="2" t="str">
        <f>HYPERLINK("http://snap.windin.com/ns/bulletin.php?id=979071&amp;type=1", "通达动力:首次公开发行A股股票招股说明书")</f>
        <v>通达动力:首次公开发行A股股票招股说明书</v>
      </c>
      <c r="D1692" t="s">
        <v>8057</v>
      </c>
      <c r="E1692" t="s">
        <v>5651</v>
      </c>
      <c r="F1692" t="s">
        <v>462</v>
      </c>
    </row>
    <row r="1693" spans="1:6" x14ac:dyDescent="0.15">
      <c r="A1693" s="1">
        <v>40651</v>
      </c>
      <c r="B1693" t="s">
        <v>3663</v>
      </c>
      <c r="C1693" s="2" t="str">
        <f>HYPERLINK("http://snap.windin.com/ns/bulletin.php?id=1736537&amp;type=1", "华海股份:首发招股说明书（申报稿）")</f>
        <v>华海股份:首发招股说明书（申报稿）</v>
      </c>
      <c r="D1693" t="s">
        <v>8058</v>
      </c>
      <c r="E1693" t="s">
        <v>5652</v>
      </c>
      <c r="F1693" t="s">
        <v>5513</v>
      </c>
    </row>
    <row r="1694" spans="1:6" x14ac:dyDescent="0.15">
      <c r="A1694" s="1">
        <v>40651</v>
      </c>
      <c r="B1694" t="s">
        <v>3664</v>
      </c>
      <c r="C1694" s="2" t="str">
        <f>HYPERLINK("http://snap.windin.com/ns/bulletin.php?id=1523146&amp;type=1", "利步瑞:首发招股说明书（申报稿）")</f>
        <v>利步瑞:首发招股说明书（申报稿）</v>
      </c>
      <c r="D1694" t="s">
        <v>8059</v>
      </c>
      <c r="E1694" t="s">
        <v>5653</v>
      </c>
      <c r="F1694" t="s">
        <v>5513</v>
      </c>
    </row>
    <row r="1695" spans="1:6" x14ac:dyDescent="0.15">
      <c r="A1695" s="1">
        <v>40648</v>
      </c>
      <c r="B1695" t="s">
        <v>3665</v>
      </c>
      <c r="C1695" s="2" t="str">
        <f>HYPERLINK("http://snap.windin.com/ns/bulletin.php?id=1794364&amp;type=1", "舒朗股份:首发招股说明书（申报稿）")</f>
        <v>舒朗股份:首发招股说明书（申报稿）</v>
      </c>
      <c r="D1695" t="s">
        <v>8060</v>
      </c>
      <c r="E1695" t="s">
        <v>5654</v>
      </c>
      <c r="F1695" t="s">
        <v>5513</v>
      </c>
    </row>
    <row r="1696" spans="1:6" x14ac:dyDescent="0.15">
      <c r="A1696" s="1">
        <v>40648</v>
      </c>
      <c r="B1696" t="s">
        <v>3666</v>
      </c>
      <c r="C1696" s="2" t="str">
        <f>HYPERLINK("http://snap.windin.com/ns/bulletin.php?id=1994505&amp;type=1", "高科石化:首发招股说明书（申报稿）")</f>
        <v>高科石化:首发招股说明书（申报稿）</v>
      </c>
      <c r="D1696" t="s">
        <v>8061</v>
      </c>
      <c r="E1696" t="s">
        <v>4980</v>
      </c>
      <c r="F1696" t="s">
        <v>5513</v>
      </c>
    </row>
    <row r="1697" spans="1:6" x14ac:dyDescent="0.15">
      <c r="A1697" s="1">
        <v>40648</v>
      </c>
      <c r="B1697" t="s">
        <v>3667</v>
      </c>
      <c r="C1697" s="2" t="str">
        <f>HYPERLINK("http://snap.windin.com/ns/bulletin.php?id=1361697&amp;type=1", "天泽信息:首次公开发行股票并在创业板上市招股说明书")</f>
        <v>天泽信息:首次公开发行股票并在创业板上市招股说明书</v>
      </c>
      <c r="D1697" t="s">
        <v>8062</v>
      </c>
      <c r="E1697" t="s">
        <v>5655</v>
      </c>
      <c r="F1697" t="s">
        <v>455</v>
      </c>
    </row>
    <row r="1698" spans="1:6" x14ac:dyDescent="0.15">
      <c r="A1698" s="1">
        <v>40648</v>
      </c>
      <c r="B1698" t="s">
        <v>3668</v>
      </c>
      <c r="C1698" s="2" t="str">
        <f>HYPERLINK("http://snap.windin.com/ns/bulletin.php?id=508177&amp;type=1", "养元饮品:首发招股说明书（申报稿）")</f>
        <v>养元饮品:首发招股说明书（申报稿）</v>
      </c>
      <c r="D1698" t="s">
        <v>8063</v>
      </c>
      <c r="E1698" t="s">
        <v>5656</v>
      </c>
      <c r="F1698" t="s">
        <v>5513</v>
      </c>
    </row>
    <row r="1699" spans="1:6" x14ac:dyDescent="0.15">
      <c r="A1699" s="1">
        <v>40648</v>
      </c>
      <c r="B1699" t="s">
        <v>336</v>
      </c>
      <c r="C1699" s="2" t="str">
        <f>HYPERLINK("http://snap.windin.com/ns/bulletin.php?id=2039087&amp;type=1", "金城医药:创业板首发招股说明书（申报稿）")</f>
        <v>金城医药:创业板首发招股说明书（申报稿）</v>
      </c>
      <c r="D1699" t="s">
        <v>8064</v>
      </c>
      <c r="E1699" t="s">
        <v>829</v>
      </c>
      <c r="F1699" t="s">
        <v>5450</v>
      </c>
    </row>
    <row r="1700" spans="1:6" x14ac:dyDescent="0.15">
      <c r="A1700" s="1">
        <v>40648</v>
      </c>
      <c r="B1700" t="s">
        <v>3669</v>
      </c>
      <c r="C1700" s="2" t="str">
        <f>HYPERLINK("http://snap.windin.com/ns/bulletin.php?id=2022211&amp;type=1", "森远股份:首次公开发行股票并在创业板上市招股说明书")</f>
        <v>森远股份:首次公开发行股票并在创业板上市招股说明书</v>
      </c>
      <c r="D1700" t="s">
        <v>8065</v>
      </c>
      <c r="E1700" t="s">
        <v>5657</v>
      </c>
      <c r="F1700" t="s">
        <v>455</v>
      </c>
    </row>
    <row r="1701" spans="1:6" x14ac:dyDescent="0.15">
      <c r="A1701" s="1">
        <v>40648</v>
      </c>
      <c r="B1701" t="s">
        <v>331</v>
      </c>
      <c r="C1701" s="2" t="str">
        <f>HYPERLINK("http://snap.windin.com/ns/bulletin.php?id=1905433&amp;type=1", "美晨科技:创业板首发招股说明书（申报稿）")</f>
        <v>美晨科技:创业板首发招股说明书（申报稿）</v>
      </c>
      <c r="D1701" t="s">
        <v>8066</v>
      </c>
      <c r="E1701" t="s">
        <v>824</v>
      </c>
      <c r="F1701" t="s">
        <v>5450</v>
      </c>
    </row>
    <row r="1702" spans="1:6" x14ac:dyDescent="0.15">
      <c r="A1702" s="1">
        <v>40648</v>
      </c>
      <c r="B1702" t="s">
        <v>346</v>
      </c>
      <c r="C1702" s="2" t="str">
        <f>HYPERLINK("http://snap.windin.com/ns/bulletin.php?id=1104522&amp;type=1", "史丹利:首发招股说明书（申报稿）")</f>
        <v>史丹利:首发招股说明书（申报稿）</v>
      </c>
      <c r="D1702" t="s">
        <v>8067</v>
      </c>
      <c r="E1702" t="s">
        <v>839</v>
      </c>
      <c r="F1702" t="s">
        <v>5513</v>
      </c>
    </row>
    <row r="1703" spans="1:6" x14ac:dyDescent="0.15">
      <c r="A1703" s="1">
        <v>40648</v>
      </c>
      <c r="B1703" t="s">
        <v>3670</v>
      </c>
      <c r="C1703" s="2" t="str">
        <f>HYPERLINK("http://snap.windin.com/ns/bulletin.php?id=903712&amp;type=1", "恒顺电气:首次公开发行股票并在创业板上市招股说明书")</f>
        <v>恒顺电气:首次公开发行股票并在创业板上市招股说明书</v>
      </c>
      <c r="D1703" t="s">
        <v>8068</v>
      </c>
      <c r="E1703" t="s">
        <v>5658</v>
      </c>
      <c r="F1703" t="s">
        <v>455</v>
      </c>
    </row>
    <row r="1704" spans="1:6" x14ac:dyDescent="0.15">
      <c r="A1704" s="1">
        <v>40648</v>
      </c>
      <c r="B1704" t="s">
        <v>329</v>
      </c>
      <c r="C1704" s="2" t="str">
        <f>HYPERLINK("http://snap.windin.com/ns/bulletin.php?id=843448&amp;type=1", "上海新阳:创业板首发招股说明书（申报稿）")</f>
        <v>上海新阳:创业板首发招股说明书（申报稿）</v>
      </c>
      <c r="D1704" t="s">
        <v>8069</v>
      </c>
      <c r="E1704" t="s">
        <v>822</v>
      </c>
      <c r="F1704" t="s">
        <v>5450</v>
      </c>
    </row>
    <row r="1705" spans="1:6" x14ac:dyDescent="0.15">
      <c r="A1705" s="1">
        <v>40647</v>
      </c>
      <c r="B1705" t="s">
        <v>344</v>
      </c>
      <c r="C1705" s="2" t="str">
        <f>HYPERLINK("http://snap.windin.com/ns/bulletin.php?id=1680149&amp;type=1", "奥拓电子:首发招股说明书（申报稿）")</f>
        <v>奥拓电子:首发招股说明书（申报稿）</v>
      </c>
      <c r="D1705" t="s">
        <v>8070</v>
      </c>
      <c r="E1705" t="s">
        <v>837</v>
      </c>
      <c r="F1705" t="s">
        <v>5513</v>
      </c>
    </row>
    <row r="1706" spans="1:6" x14ac:dyDescent="0.15">
      <c r="A1706" s="1">
        <v>40647</v>
      </c>
      <c r="B1706" t="s">
        <v>337</v>
      </c>
      <c r="C1706" s="2" t="str">
        <f>HYPERLINK("http://snap.windin.com/ns/bulletin.php?id=1737165&amp;type=1", "蓝科高新:首发招股说明书（申报稿）")</f>
        <v>蓝科高新:首发招股说明书（申报稿）</v>
      </c>
      <c r="D1706" t="s">
        <v>8071</v>
      </c>
      <c r="E1706" t="s">
        <v>830</v>
      </c>
      <c r="F1706" t="s">
        <v>5513</v>
      </c>
    </row>
    <row r="1707" spans="1:6" x14ac:dyDescent="0.15">
      <c r="A1707" s="1">
        <v>40647</v>
      </c>
      <c r="B1707" t="s">
        <v>254</v>
      </c>
      <c r="C1707" s="2" t="str">
        <f>HYPERLINK("http://snap.windin.com/ns/bulletin.php?id=179248&amp;type=1", "紫光华宇:创业板首发招股说明书（申报稿）")</f>
        <v>紫光华宇:创业板首发招股说明书（申报稿）</v>
      </c>
      <c r="D1707" t="s">
        <v>8072</v>
      </c>
      <c r="E1707" t="s">
        <v>735</v>
      </c>
      <c r="F1707" t="s">
        <v>5450</v>
      </c>
    </row>
    <row r="1708" spans="1:6" x14ac:dyDescent="0.15">
      <c r="A1708" s="1">
        <v>40647</v>
      </c>
      <c r="B1708" t="s">
        <v>335</v>
      </c>
      <c r="C1708" s="2" t="str">
        <f>HYPERLINK("http://snap.windin.com/ns/bulletin.php?id=100451&amp;type=1", "开尔新材:创业板首发招股说明书（申报稿）")</f>
        <v>开尔新材:创业板首发招股说明书（申报稿）</v>
      </c>
      <c r="D1708" t="s">
        <v>8073</v>
      </c>
      <c r="E1708" t="s">
        <v>828</v>
      </c>
      <c r="F1708" t="s">
        <v>5450</v>
      </c>
    </row>
    <row r="1709" spans="1:6" x14ac:dyDescent="0.15">
      <c r="A1709" s="1">
        <v>40647</v>
      </c>
      <c r="B1709" t="s">
        <v>345</v>
      </c>
      <c r="C1709" s="2" t="str">
        <f>HYPERLINK("http://snap.windin.com/ns/bulletin.php?id=243156&amp;type=1", "瑞康医药:首发招股说明书（申报稿）")</f>
        <v>瑞康医药:首发招股说明书（申报稿）</v>
      </c>
      <c r="D1709" t="s">
        <v>8074</v>
      </c>
      <c r="E1709" t="s">
        <v>838</v>
      </c>
      <c r="F1709" t="s">
        <v>5513</v>
      </c>
    </row>
    <row r="1710" spans="1:6" x14ac:dyDescent="0.15">
      <c r="A1710" s="1">
        <v>40647</v>
      </c>
      <c r="B1710" t="s">
        <v>338</v>
      </c>
      <c r="C1710" s="2" t="str">
        <f>HYPERLINK("http://snap.windin.com/ns/bulletin.php?id=1184999&amp;type=1", "恒大高新:首次公开发行股票招股说明书（申报稿）")</f>
        <v>恒大高新:首次公开发行股票招股说明书（申报稿）</v>
      </c>
      <c r="D1710" t="s">
        <v>8075</v>
      </c>
      <c r="E1710" t="s">
        <v>831</v>
      </c>
      <c r="F1710" t="s">
        <v>5452</v>
      </c>
    </row>
    <row r="1711" spans="1:6" x14ac:dyDescent="0.15">
      <c r="A1711" s="1">
        <v>40647</v>
      </c>
      <c r="B1711" t="s">
        <v>341</v>
      </c>
      <c r="C1711" s="2" t="str">
        <f>HYPERLINK("http://snap.windin.com/ns/bulletin.php?id=657819&amp;type=1", "永利带业:创业板首发招股说明书（申报稿）")</f>
        <v>永利带业:创业板首发招股说明书（申报稿）</v>
      </c>
      <c r="D1711" t="s">
        <v>8076</v>
      </c>
      <c r="E1711" t="s">
        <v>834</v>
      </c>
      <c r="F1711" t="s">
        <v>5450</v>
      </c>
    </row>
    <row r="1712" spans="1:6" x14ac:dyDescent="0.15">
      <c r="A1712" s="1">
        <v>40647</v>
      </c>
      <c r="B1712" t="s">
        <v>334</v>
      </c>
      <c r="C1712" s="2" t="str">
        <f>HYPERLINK("http://snap.windin.com/ns/bulletin.php?id=1078021&amp;type=1", "洲明科技:创业板首发招股说明书（申报稿）")</f>
        <v>洲明科技:创业板首发招股说明书（申报稿）</v>
      </c>
      <c r="D1712" t="s">
        <v>8077</v>
      </c>
      <c r="E1712" t="s">
        <v>827</v>
      </c>
      <c r="F1712" t="s">
        <v>5450</v>
      </c>
    </row>
    <row r="1713" spans="1:6" x14ac:dyDescent="0.15">
      <c r="A1713" s="1">
        <v>40646</v>
      </c>
      <c r="B1713" t="s">
        <v>3671</v>
      </c>
      <c r="C1713" s="2" t="str">
        <f>HYPERLINK("http://snap.windin.com/ns/bulletin.php?id=1756726&amp;type=1", "明牌珠宝:首次公开发行A股股票招股说明书")</f>
        <v>明牌珠宝:首次公开发行A股股票招股说明书</v>
      </c>
      <c r="D1713" t="s">
        <v>8078</v>
      </c>
      <c r="E1713" t="s">
        <v>5659</v>
      </c>
      <c r="F1713" t="s">
        <v>462</v>
      </c>
    </row>
    <row r="1714" spans="1:6" x14ac:dyDescent="0.15">
      <c r="A1714" s="1">
        <v>40646</v>
      </c>
      <c r="B1714" t="s">
        <v>3672</v>
      </c>
      <c r="C1714" s="2" t="str">
        <f>HYPERLINK("http://snap.windin.com/ns/bulletin.php?id=1609232&amp;type=1", "群兴玩具:首次公开发行股票招股说明书")</f>
        <v>群兴玩具:首次公开发行股票招股说明书</v>
      </c>
      <c r="D1714" t="s">
        <v>8079</v>
      </c>
      <c r="E1714" t="s">
        <v>5660</v>
      </c>
      <c r="F1714" t="s">
        <v>399</v>
      </c>
    </row>
    <row r="1715" spans="1:6" x14ac:dyDescent="0.15">
      <c r="A1715" s="1">
        <v>40645</v>
      </c>
      <c r="B1715" t="s">
        <v>3673</v>
      </c>
      <c r="C1715" s="2" t="str">
        <f>HYPERLINK("http://snap.windin.com/ns/bulletin.php?id=1759299&amp;type=1", "欣旺达:首次公开发行股票并在创业板上市招股说明书")</f>
        <v>欣旺达:首次公开发行股票并在创业板上市招股说明书</v>
      </c>
      <c r="D1715" t="s">
        <v>8080</v>
      </c>
      <c r="E1715" t="s">
        <v>5661</v>
      </c>
      <c r="F1715" t="s">
        <v>455</v>
      </c>
    </row>
    <row r="1716" spans="1:6" x14ac:dyDescent="0.15">
      <c r="A1716" s="1">
        <v>40645</v>
      </c>
      <c r="B1716" t="s">
        <v>3674</v>
      </c>
      <c r="C1716" s="2" t="str">
        <f>HYPERLINK("http://snap.windin.com/ns/bulletin.php?id=677155&amp;type=1", "理邦仪器:首次公开发行股票并在创业板上市招股说明书")</f>
        <v>理邦仪器:首次公开发行股票并在创业板上市招股说明书</v>
      </c>
      <c r="D1716" t="s">
        <v>8081</v>
      </c>
      <c r="E1716" t="s">
        <v>5662</v>
      </c>
      <c r="F1716" t="s">
        <v>455</v>
      </c>
    </row>
    <row r="1717" spans="1:6" x14ac:dyDescent="0.15">
      <c r="A1717" s="1">
        <v>40645</v>
      </c>
      <c r="B1717" t="s">
        <v>3675</v>
      </c>
      <c r="C1717" s="2" t="str">
        <f>HYPERLINK("http://snap.windin.com/ns/bulletin.php?id=2039962&amp;type=1", "天喻信息:首次公开发行股票并在创业板上市招股说明书")</f>
        <v>天喻信息:首次公开发行股票并在创业板上市招股说明书</v>
      </c>
      <c r="D1717" t="s">
        <v>8082</v>
      </c>
      <c r="E1717" t="s">
        <v>5663</v>
      </c>
      <c r="F1717" t="s">
        <v>455</v>
      </c>
    </row>
    <row r="1718" spans="1:6" x14ac:dyDescent="0.15">
      <c r="A1718" s="1">
        <v>40641</v>
      </c>
      <c r="B1718" t="s">
        <v>3676</v>
      </c>
      <c r="C1718" s="2" t="str">
        <f>HYPERLINK("http://snap.windin.com/ns/bulletin.php?id=1671155&amp;type=1", "溢多利:创业板首发招股说明书（申报稿）")</f>
        <v>溢多利:创业板首发招股说明书（申报稿）</v>
      </c>
      <c r="D1718" t="s">
        <v>8083</v>
      </c>
      <c r="E1718" t="s">
        <v>421</v>
      </c>
      <c r="F1718" t="s">
        <v>5450</v>
      </c>
    </row>
    <row r="1719" spans="1:6" x14ac:dyDescent="0.15">
      <c r="A1719" s="1">
        <v>40641</v>
      </c>
      <c r="B1719" t="s">
        <v>325</v>
      </c>
      <c r="C1719" s="2" t="str">
        <f>HYPERLINK("http://snap.windin.com/ns/bulletin.php?id=242246&amp;type=1", "飞力达:创业板首发招股说明书（申报稿）")</f>
        <v>飞力达:创业板首发招股说明书（申报稿）</v>
      </c>
      <c r="D1719" t="s">
        <v>8084</v>
      </c>
      <c r="E1719" t="s">
        <v>818</v>
      </c>
      <c r="F1719" t="s">
        <v>5450</v>
      </c>
    </row>
    <row r="1720" spans="1:6" x14ac:dyDescent="0.15">
      <c r="A1720" s="1">
        <v>40641</v>
      </c>
      <c r="B1720" t="s">
        <v>305</v>
      </c>
      <c r="C1720" s="2" t="str">
        <f>HYPERLINK("http://snap.windin.com/ns/bulletin.php?id=1819698&amp;type=1", "依米康:创业板首发招股说明书（申报稿）")</f>
        <v>依米康:创业板首发招股说明书（申报稿）</v>
      </c>
      <c r="D1720" t="s">
        <v>8085</v>
      </c>
      <c r="E1720" t="s">
        <v>792</v>
      </c>
      <c r="F1720" t="s">
        <v>5450</v>
      </c>
    </row>
    <row r="1721" spans="1:6" x14ac:dyDescent="0.15">
      <c r="A1721" s="1">
        <v>40641</v>
      </c>
      <c r="B1721" t="s">
        <v>349</v>
      </c>
      <c r="C1721" s="2" t="str">
        <f>HYPERLINK("http://snap.windin.com/ns/bulletin.php?id=1572445&amp;type=1", "上海钢联:创业板首发招股说明书（申报稿）")</f>
        <v>上海钢联:创业板首发招股说明书（申报稿）</v>
      </c>
      <c r="D1721" t="s">
        <v>8086</v>
      </c>
      <c r="E1721" t="s">
        <v>842</v>
      </c>
      <c r="F1721" t="s">
        <v>5450</v>
      </c>
    </row>
    <row r="1722" spans="1:6" x14ac:dyDescent="0.15">
      <c r="A1722" s="1">
        <v>40641</v>
      </c>
      <c r="B1722" t="s">
        <v>354</v>
      </c>
      <c r="C1722" s="2" t="str">
        <f>HYPERLINK("http://snap.windin.com/ns/bulletin.php?id=1628992&amp;type=1", "双星新材:（首发招股说明书(申报稿）")</f>
        <v>双星新材:（首发招股说明书(申报稿）</v>
      </c>
      <c r="D1722" t="s">
        <v>8087</v>
      </c>
      <c r="E1722" t="s">
        <v>847</v>
      </c>
      <c r="F1722" t="s">
        <v>5640</v>
      </c>
    </row>
    <row r="1723" spans="1:6" x14ac:dyDescent="0.15">
      <c r="A1723" s="1">
        <v>40641</v>
      </c>
      <c r="B1723" t="s">
        <v>353</v>
      </c>
      <c r="C1723" s="2" t="str">
        <f>HYPERLINK("http://snap.windin.com/ns/bulletin.php?id=1108707&amp;type=1", "围海股份:首发招股说明书（申报稿）")</f>
        <v>围海股份:首发招股说明书（申报稿）</v>
      </c>
      <c r="D1723" t="s">
        <v>8088</v>
      </c>
      <c r="E1723" t="s">
        <v>846</v>
      </c>
      <c r="F1723" t="s">
        <v>5513</v>
      </c>
    </row>
    <row r="1724" spans="1:6" x14ac:dyDescent="0.15">
      <c r="A1724" s="1">
        <v>40641</v>
      </c>
      <c r="B1724" t="s">
        <v>3677</v>
      </c>
      <c r="C1724" s="2" t="str">
        <f>HYPERLINK("http://snap.windin.com/ns/bulletin.php?id=818433&amp;type=1", "国电清新:首次公开发行股票招股说明书")</f>
        <v>国电清新:首次公开发行股票招股说明书</v>
      </c>
      <c r="D1724" t="s">
        <v>8089</v>
      </c>
      <c r="E1724" t="s">
        <v>5664</v>
      </c>
      <c r="F1724" t="s">
        <v>399</v>
      </c>
    </row>
    <row r="1725" spans="1:6" x14ac:dyDescent="0.15">
      <c r="A1725" s="1">
        <v>40641</v>
      </c>
      <c r="B1725" t="s">
        <v>352</v>
      </c>
      <c r="C1725" s="2" t="str">
        <f>HYPERLINK("http://snap.windin.com/ns/bulletin.php?id=828131&amp;type=1", "骆驼股份:首次公开发行股票招股说明书（申报稿）")</f>
        <v>骆驼股份:首次公开发行股票招股说明书（申报稿）</v>
      </c>
      <c r="D1725" t="s">
        <v>8090</v>
      </c>
      <c r="E1725" t="s">
        <v>845</v>
      </c>
      <c r="F1725" t="s">
        <v>5452</v>
      </c>
    </row>
    <row r="1726" spans="1:6" x14ac:dyDescent="0.15">
      <c r="A1726" s="1">
        <v>40640</v>
      </c>
      <c r="B1726" t="s">
        <v>347</v>
      </c>
      <c r="C1726" s="2" t="str">
        <f>HYPERLINK("http://snap.windin.com/ns/bulletin.php?id=126613&amp;type=1", "光韵达:创业板首发招股说明书（申报稿）")</f>
        <v>光韵达:创业板首发招股说明书（申报稿）</v>
      </c>
      <c r="D1726" t="s">
        <v>8091</v>
      </c>
      <c r="E1726" t="s">
        <v>840</v>
      </c>
      <c r="F1726" t="s">
        <v>5450</v>
      </c>
    </row>
    <row r="1727" spans="1:6" x14ac:dyDescent="0.15">
      <c r="A1727" s="1">
        <v>40640</v>
      </c>
      <c r="B1727" t="s">
        <v>348</v>
      </c>
      <c r="C1727" s="2" t="str">
        <f>HYPERLINK("http://snap.windin.com/ns/bulletin.php?id=505869&amp;type=1", "富瑞特装:创业板首发招股说明书（申报稿）")</f>
        <v>富瑞特装:创业板首发招股说明书（申报稿）</v>
      </c>
      <c r="D1727" t="s">
        <v>8092</v>
      </c>
      <c r="E1727" t="s">
        <v>841</v>
      </c>
      <c r="F1727" t="s">
        <v>5450</v>
      </c>
    </row>
    <row r="1728" spans="1:6" x14ac:dyDescent="0.15">
      <c r="A1728" s="1">
        <v>40640</v>
      </c>
      <c r="B1728" t="s">
        <v>357</v>
      </c>
      <c r="C1728" s="2" t="str">
        <f>HYPERLINK("http://snap.windin.com/ns/bulletin.php?id=555197&amp;type=1", "正海磁材:创业板首发招股说明书（申报稿）")</f>
        <v>正海磁材:创业板首发招股说明书（申报稿）</v>
      </c>
      <c r="D1728" t="s">
        <v>8093</v>
      </c>
      <c r="E1728" t="s">
        <v>850</v>
      </c>
      <c r="F1728" t="s">
        <v>5450</v>
      </c>
    </row>
    <row r="1729" spans="1:6" x14ac:dyDescent="0.15">
      <c r="A1729" s="1">
        <v>40640</v>
      </c>
      <c r="B1729" t="s">
        <v>340</v>
      </c>
      <c r="C1729" s="2" t="str">
        <f>HYPERLINK("http://snap.windin.com/ns/bulletin.php?id=1514206&amp;type=1", "银信科技:创业板首发招股说明书（申报稿）")</f>
        <v>银信科技:创业板首发招股说明书（申报稿）</v>
      </c>
      <c r="D1729" t="s">
        <v>8094</v>
      </c>
      <c r="E1729" t="s">
        <v>833</v>
      </c>
      <c r="F1729" t="s">
        <v>5450</v>
      </c>
    </row>
    <row r="1730" spans="1:6" x14ac:dyDescent="0.15">
      <c r="A1730" s="1">
        <v>40640</v>
      </c>
      <c r="B1730" t="s">
        <v>241</v>
      </c>
      <c r="C1730" s="2" t="str">
        <f>HYPERLINK("http://snap.windin.com/ns/bulletin.php?id=1013087&amp;type=1", "八菱科技:首发招股说明书（申报稿）")</f>
        <v>八菱科技:首发招股说明书（申报稿）</v>
      </c>
      <c r="D1730" t="s">
        <v>8095</v>
      </c>
      <c r="E1730" t="s">
        <v>722</v>
      </c>
      <c r="F1730" t="s">
        <v>5513</v>
      </c>
    </row>
    <row r="1731" spans="1:6" x14ac:dyDescent="0.15">
      <c r="A1731" s="1">
        <v>40635</v>
      </c>
      <c r="B1731" t="s">
        <v>360</v>
      </c>
      <c r="C1731" s="2" t="str">
        <f>HYPERLINK("http://snap.windin.com/ns/bulletin.php?id=1262126&amp;type=1", "海能达:首发招股说明书（申报稿）")</f>
        <v>海能达:首发招股说明书（申报稿）</v>
      </c>
      <c r="D1731" t="s">
        <v>8096</v>
      </c>
      <c r="E1731" t="s">
        <v>853</v>
      </c>
      <c r="F1731" t="s">
        <v>5513</v>
      </c>
    </row>
    <row r="1732" spans="1:6" x14ac:dyDescent="0.15">
      <c r="A1732" s="1">
        <v>40635</v>
      </c>
      <c r="B1732" t="s">
        <v>332</v>
      </c>
      <c r="C1732" s="2" t="str">
        <f>HYPERLINK("http://snap.windin.com/ns/bulletin.php?id=1925760&amp;type=1", "豪迈科技:首发招股说明书(申报稿)")</f>
        <v>豪迈科技:首发招股说明书(申报稿)</v>
      </c>
      <c r="D1732" t="s">
        <v>8097</v>
      </c>
      <c r="E1732" t="s">
        <v>825</v>
      </c>
      <c r="F1732" t="s">
        <v>5523</v>
      </c>
    </row>
    <row r="1733" spans="1:6" x14ac:dyDescent="0.15">
      <c r="A1733" s="1">
        <v>40635</v>
      </c>
      <c r="B1733" t="s">
        <v>359</v>
      </c>
      <c r="C1733" s="2" t="str">
        <f>HYPERLINK("http://snap.windin.com/ns/bulletin.php?id=1443632&amp;type=1", "鹿港科技:首发招股说明书（申报稿）")</f>
        <v>鹿港科技:首发招股说明书（申报稿）</v>
      </c>
      <c r="D1733" t="s">
        <v>8098</v>
      </c>
      <c r="E1733" t="s">
        <v>852</v>
      </c>
      <c r="F1733" t="s">
        <v>5513</v>
      </c>
    </row>
    <row r="1734" spans="1:6" x14ac:dyDescent="0.15">
      <c r="A1734" s="1">
        <v>40635</v>
      </c>
      <c r="B1734" t="s">
        <v>343</v>
      </c>
      <c r="C1734" s="2" t="str">
        <f>HYPERLINK("http://snap.windin.com/ns/bulletin.php?id=811944&amp;type=1", "万安科技:首发招股说明书（申报稿）")</f>
        <v>万安科技:首发招股说明书（申报稿）</v>
      </c>
      <c r="D1734" t="s">
        <v>8099</v>
      </c>
      <c r="E1734" t="s">
        <v>836</v>
      </c>
      <c r="F1734" t="s">
        <v>5513</v>
      </c>
    </row>
    <row r="1735" spans="1:6" x14ac:dyDescent="0.15">
      <c r="A1735" s="1">
        <v>40634</v>
      </c>
      <c r="B1735" t="s">
        <v>3678</v>
      </c>
      <c r="C1735" s="2" t="str">
        <f>HYPERLINK("http://snap.windin.com/ns/bulletin.php?id=457632&amp;type=1", "聚光科技:首次公开发行股票并在创业板上市招股说明书")</f>
        <v>聚光科技:首次公开发行股票并在创业板上市招股说明书</v>
      </c>
      <c r="D1735" t="s">
        <v>8100</v>
      </c>
      <c r="E1735" t="s">
        <v>5665</v>
      </c>
      <c r="F1735" t="s">
        <v>455</v>
      </c>
    </row>
    <row r="1736" spans="1:6" x14ac:dyDescent="0.15">
      <c r="A1736" s="1">
        <v>40634</v>
      </c>
      <c r="B1736" t="s">
        <v>3679</v>
      </c>
      <c r="C1736" s="2" t="str">
        <f>HYPERLINK("http://snap.windin.com/ns/bulletin.php?id=1437633&amp;type=1", "舒泰神:首次公开发行股票并在创业板上市招股说明书")</f>
        <v>舒泰神:首次公开发行股票并在创业板上市招股说明书</v>
      </c>
      <c r="D1736" t="s">
        <v>8101</v>
      </c>
      <c r="E1736" t="s">
        <v>5666</v>
      </c>
      <c r="F1736" t="s">
        <v>455</v>
      </c>
    </row>
    <row r="1737" spans="1:6" x14ac:dyDescent="0.15">
      <c r="A1737" s="1">
        <v>40634</v>
      </c>
      <c r="B1737" t="s">
        <v>3680</v>
      </c>
      <c r="C1737" s="2" t="str">
        <f>HYPERLINK("http://snap.windin.com/ns/bulletin.php?id=819331&amp;type=1", "聚龙股份:首次公开发行股票并在创业板上市招股说明书")</f>
        <v>聚龙股份:首次公开发行股票并在创业板上市招股说明书</v>
      </c>
      <c r="D1737" t="s">
        <v>8102</v>
      </c>
      <c r="E1737" t="s">
        <v>5667</v>
      </c>
      <c r="F1737" t="s">
        <v>455</v>
      </c>
    </row>
    <row r="1738" spans="1:6" x14ac:dyDescent="0.15">
      <c r="A1738" s="1">
        <v>40631</v>
      </c>
      <c r="B1738" t="s">
        <v>3681</v>
      </c>
      <c r="C1738" s="2" t="str">
        <f>HYPERLINK("http://snap.windin.com/ns/bulletin.php?id=111893&amp;type=1", "宁基股份:首次公开发行股票招股说明书")</f>
        <v>宁基股份:首次公开发行股票招股说明书</v>
      </c>
      <c r="D1738" t="s">
        <v>8103</v>
      </c>
      <c r="E1738" t="s">
        <v>5668</v>
      </c>
      <c r="F1738" t="s">
        <v>399</v>
      </c>
    </row>
    <row r="1739" spans="1:6" x14ac:dyDescent="0.15">
      <c r="A1739" s="1">
        <v>40631</v>
      </c>
      <c r="B1739" t="s">
        <v>3682</v>
      </c>
      <c r="C1739" s="2" t="str">
        <f>HYPERLINK("http://snap.windin.com/ns/bulletin.php?id=154927&amp;type=1", "贝因美:首次公开发行股票招股说明书")</f>
        <v>贝因美:首次公开发行股票招股说明书</v>
      </c>
      <c r="D1739" t="s">
        <v>8104</v>
      </c>
      <c r="E1739" t="s">
        <v>5669</v>
      </c>
      <c r="F1739" t="s">
        <v>399</v>
      </c>
    </row>
    <row r="1740" spans="1:6" x14ac:dyDescent="0.15">
      <c r="A1740" s="1">
        <v>40631</v>
      </c>
      <c r="B1740" t="s">
        <v>3683</v>
      </c>
      <c r="C1740" s="2" t="str">
        <f>HYPERLINK("http://snap.windin.com/ns/bulletin.php?id=1178589&amp;type=1", "德力股份:首次公开发行股票招股说明书")</f>
        <v>德力股份:首次公开发行股票招股说明书</v>
      </c>
      <c r="D1740" t="s">
        <v>8105</v>
      </c>
      <c r="E1740" t="s">
        <v>5670</v>
      </c>
      <c r="F1740" t="s">
        <v>399</v>
      </c>
    </row>
    <row r="1741" spans="1:6" x14ac:dyDescent="0.15">
      <c r="A1741" s="1">
        <v>40631</v>
      </c>
      <c r="B1741" t="s">
        <v>362</v>
      </c>
      <c r="C1741" s="2" t="str">
        <f>HYPERLINK("http://snap.windin.com/ns/bulletin.php?id=1332506&amp;type=1", "银禧科技:创业板首发招股说明书（申报稿）")</f>
        <v>银禧科技:创业板首发招股说明书（申报稿）</v>
      </c>
      <c r="D1741" t="s">
        <v>8106</v>
      </c>
      <c r="E1741" t="s">
        <v>855</v>
      </c>
      <c r="F1741" t="s">
        <v>5450</v>
      </c>
    </row>
    <row r="1742" spans="1:6" x14ac:dyDescent="0.15">
      <c r="A1742" s="1">
        <v>40631</v>
      </c>
      <c r="B1742" t="s">
        <v>3684</v>
      </c>
      <c r="C1742" s="2" t="str">
        <f>HYPERLINK("http://snap.windin.com/ns/bulletin.php?id=1101940&amp;type=1", "步森股份:首次公开发行股票招股说明书")</f>
        <v>步森股份:首次公开发行股票招股说明书</v>
      </c>
      <c r="D1742" t="s">
        <v>8107</v>
      </c>
      <c r="E1742" t="s">
        <v>5671</v>
      </c>
      <c r="F1742" t="s">
        <v>399</v>
      </c>
    </row>
    <row r="1743" spans="1:6" x14ac:dyDescent="0.15">
      <c r="A1743" s="1">
        <v>40630</v>
      </c>
      <c r="B1743" t="s">
        <v>368</v>
      </c>
      <c r="C1743" s="2" t="str">
        <f>HYPERLINK("http://snap.windin.com/ns/bulletin.php?id=1557410&amp;type=1", "东方电热:创业板首发招股说明书（申报稿）")</f>
        <v>东方电热:创业板首发招股说明书（申报稿）</v>
      </c>
      <c r="D1743" t="s">
        <v>8108</v>
      </c>
      <c r="E1743" t="s">
        <v>862</v>
      </c>
      <c r="F1743" t="s">
        <v>5450</v>
      </c>
    </row>
    <row r="1744" spans="1:6" x14ac:dyDescent="0.15">
      <c r="A1744" s="1">
        <v>40630</v>
      </c>
      <c r="B1744" t="s">
        <v>363</v>
      </c>
      <c r="C1744" s="2" t="str">
        <f>HYPERLINK("http://snap.windin.com/ns/bulletin.php?id=925667&amp;type=1", "科大智能:上海科大智能科技股份有限公司创业板首发招股说明书（申报稿）")</f>
        <v>科大智能:上海科大智能科技股份有限公司创业板首发招股说明书（申报稿）</v>
      </c>
      <c r="D1744" t="s">
        <v>8109</v>
      </c>
      <c r="E1744" t="s">
        <v>856</v>
      </c>
      <c r="F1744" t="s">
        <v>5672</v>
      </c>
    </row>
    <row r="1745" spans="1:6" x14ac:dyDescent="0.15">
      <c r="A1745" s="1">
        <v>40627</v>
      </c>
      <c r="B1745" t="s">
        <v>3685</v>
      </c>
      <c r="C1745" s="2" t="str">
        <f>HYPERLINK("http://snap.windin.com/ns/bulletin.php?id=1714424&amp;type=1", "海伦哲:首次公开发行股票并在创业板上市招股说明书")</f>
        <v>海伦哲:首次公开发行股票并在创业板上市招股说明书</v>
      </c>
      <c r="D1745" t="s">
        <v>8110</v>
      </c>
      <c r="E1745" t="s">
        <v>5673</v>
      </c>
      <c r="F1745" t="s">
        <v>455</v>
      </c>
    </row>
    <row r="1746" spans="1:6" x14ac:dyDescent="0.15">
      <c r="A1746" s="1">
        <v>40627</v>
      </c>
      <c r="B1746" t="s">
        <v>3686</v>
      </c>
      <c r="C1746" s="2" t="str">
        <f>HYPERLINK("http://snap.windin.com/ns/bulletin.php?id=1619110&amp;type=1", "诚达药业:首次公开发行股票招股说明书（申报稿）")</f>
        <v>诚达药业:首次公开发行股票招股说明书（申报稿）</v>
      </c>
      <c r="D1746" t="s">
        <v>8111</v>
      </c>
      <c r="E1746" t="s">
        <v>5674</v>
      </c>
      <c r="F1746" t="s">
        <v>5452</v>
      </c>
    </row>
    <row r="1747" spans="1:6" x14ac:dyDescent="0.15">
      <c r="A1747" s="1">
        <v>40627</v>
      </c>
      <c r="B1747" t="s">
        <v>289</v>
      </c>
      <c r="C1747" s="2" t="str">
        <f>HYPERLINK("http://snap.windin.com/ns/bulletin.php?id=149468&amp;type=1", "开山股份:创业板首发招股说明书（申报稿）")</f>
        <v>开山股份:创业板首发招股说明书（申报稿）</v>
      </c>
      <c r="D1747" t="s">
        <v>8112</v>
      </c>
      <c r="E1747" t="s">
        <v>776</v>
      </c>
      <c r="F1747" t="s">
        <v>5450</v>
      </c>
    </row>
    <row r="1748" spans="1:6" x14ac:dyDescent="0.15">
      <c r="A1748" s="1">
        <v>40627</v>
      </c>
      <c r="B1748" t="s">
        <v>370</v>
      </c>
      <c r="C1748" s="2" t="str">
        <f>HYPERLINK("http://snap.windin.com/ns/bulletin.php?id=472465&amp;type=1", "鸿利光电:创业板首发招股说明书（申报稿）")</f>
        <v>鸿利光电:创业板首发招股说明书（申报稿）</v>
      </c>
      <c r="D1748" t="s">
        <v>8113</v>
      </c>
      <c r="E1748" t="s">
        <v>866</v>
      </c>
      <c r="F1748" t="s">
        <v>5450</v>
      </c>
    </row>
    <row r="1749" spans="1:6" x14ac:dyDescent="0.15">
      <c r="A1749" s="1">
        <v>40627</v>
      </c>
      <c r="B1749" t="s">
        <v>3687</v>
      </c>
      <c r="C1749" s="2" t="str">
        <f>HYPERLINK("http://snap.windin.com/ns/bulletin.php?id=505159&amp;type=1", "翰宇药业:首次公开发行股票并在创业板上市招股说明书")</f>
        <v>翰宇药业:首次公开发行股票并在创业板上市招股说明书</v>
      </c>
      <c r="D1749" t="s">
        <v>8114</v>
      </c>
      <c r="E1749" t="s">
        <v>5675</v>
      </c>
      <c r="F1749" t="s">
        <v>455</v>
      </c>
    </row>
    <row r="1750" spans="1:6" x14ac:dyDescent="0.15">
      <c r="A1750" s="1">
        <v>40627</v>
      </c>
      <c r="B1750" t="s">
        <v>3688</v>
      </c>
      <c r="C1750" s="2" t="str">
        <f>HYPERLINK("http://snap.windin.com/ns/bulletin.php?id=1867116&amp;type=1", "纳川股份:首次公开发行股票并在创业板上市招股说明书")</f>
        <v>纳川股份:首次公开发行股票并在创业板上市招股说明书</v>
      </c>
      <c r="D1750" t="s">
        <v>8115</v>
      </c>
      <c r="E1750" t="s">
        <v>5676</v>
      </c>
      <c r="F1750" t="s">
        <v>455</v>
      </c>
    </row>
    <row r="1751" spans="1:6" x14ac:dyDescent="0.15">
      <c r="A1751" s="1">
        <v>40627</v>
      </c>
      <c r="B1751" t="s">
        <v>3689</v>
      </c>
      <c r="C1751" s="2" t="str">
        <f>HYPERLINK("http://snap.windin.com/ns/bulletin.php?id=1458063&amp;type=1", "高盟新材:首次公开发行股票并在创业板上市招股说明书")</f>
        <v>高盟新材:首次公开发行股票并在创业板上市招股说明书</v>
      </c>
      <c r="D1751" t="s">
        <v>8116</v>
      </c>
      <c r="E1751" t="s">
        <v>5677</v>
      </c>
      <c r="F1751" t="s">
        <v>455</v>
      </c>
    </row>
    <row r="1752" spans="1:6" x14ac:dyDescent="0.15">
      <c r="A1752" s="1">
        <v>40627</v>
      </c>
      <c r="B1752" t="s">
        <v>301</v>
      </c>
      <c r="C1752" s="2" t="str">
        <f>HYPERLINK("http://snap.windin.com/ns/bulletin.php?id=863055&amp;type=1", "林洋电子:首发招股说明书(申报稿)")</f>
        <v>林洋电子:首发招股说明书(申报稿)</v>
      </c>
      <c r="D1752" t="s">
        <v>8117</v>
      </c>
      <c r="E1752" t="s">
        <v>788</v>
      </c>
      <c r="F1752" t="s">
        <v>5523</v>
      </c>
    </row>
    <row r="1753" spans="1:6" x14ac:dyDescent="0.15">
      <c r="A1753" s="1">
        <v>40627</v>
      </c>
      <c r="B1753" t="s">
        <v>371</v>
      </c>
      <c r="C1753" s="2" t="str">
        <f>HYPERLINK("http://snap.windin.com/ns/bulletin.php?id=804319&amp;type=1", "电科院:创业板首发招股说明书（申报稿）")</f>
        <v>电科院:创业板首发招股说明书（申报稿）</v>
      </c>
      <c r="D1753" t="s">
        <v>8118</v>
      </c>
      <c r="E1753" t="s">
        <v>868</v>
      </c>
      <c r="F1753" t="s">
        <v>5450</v>
      </c>
    </row>
    <row r="1754" spans="1:6" x14ac:dyDescent="0.15">
      <c r="A1754" s="1">
        <v>40627</v>
      </c>
      <c r="B1754" t="s">
        <v>355</v>
      </c>
      <c r="C1754" s="2" t="str">
        <f>HYPERLINK("http://snap.windin.com/ns/bulletin.php?id=846628&amp;type=1", "金力泰:创业板首发招股说明书(申报稿)")</f>
        <v>金力泰:创业板首发招股说明书(申报稿)</v>
      </c>
      <c r="D1754" t="s">
        <v>8119</v>
      </c>
      <c r="E1754" t="s">
        <v>848</v>
      </c>
      <c r="F1754" t="s">
        <v>5462</v>
      </c>
    </row>
    <row r="1755" spans="1:6" x14ac:dyDescent="0.15">
      <c r="A1755" s="1">
        <v>40626</v>
      </c>
      <c r="B1755" t="s">
        <v>365</v>
      </c>
      <c r="C1755" s="2" t="str">
        <f>HYPERLINK("http://snap.windin.com/ns/bulletin.php?id=1142137&amp;type=1", "好想你:首发招股说明书（申报稿）")</f>
        <v>好想你:首发招股说明书（申报稿）</v>
      </c>
      <c r="D1755" t="s">
        <v>8120</v>
      </c>
      <c r="E1755" t="s">
        <v>858</v>
      </c>
      <c r="F1755" t="s">
        <v>5513</v>
      </c>
    </row>
    <row r="1756" spans="1:6" x14ac:dyDescent="0.15">
      <c r="A1756" s="1">
        <v>40626</v>
      </c>
      <c r="B1756" t="s">
        <v>351</v>
      </c>
      <c r="C1756" s="2" t="str">
        <f>HYPERLINK("http://snap.windin.com/ns/bulletin.php?id=794549&amp;type=1", "西陇化工:首发招股说明书（申报稿）")</f>
        <v>西陇化工:首发招股说明书（申报稿）</v>
      </c>
      <c r="D1756" t="s">
        <v>8121</v>
      </c>
      <c r="E1756" t="s">
        <v>844</v>
      </c>
      <c r="F1756" t="s">
        <v>5513</v>
      </c>
    </row>
    <row r="1757" spans="1:6" x14ac:dyDescent="0.15">
      <c r="A1757" s="1">
        <v>40620</v>
      </c>
      <c r="B1757" t="s">
        <v>3440</v>
      </c>
      <c r="C1757" s="2" t="str">
        <f>HYPERLINK("http://snap.windin.com/ns/bulletin.php?id=231836&amp;type=1", "神舟电脑:创业板首发招股说明书（申报稿）")</f>
        <v>神舟电脑:创业板首发招股说明书（申报稿）</v>
      </c>
      <c r="D1757" t="s">
        <v>8122</v>
      </c>
      <c r="E1757" t="s">
        <v>5455</v>
      </c>
      <c r="F1757" t="s">
        <v>5450</v>
      </c>
    </row>
    <row r="1758" spans="1:6" x14ac:dyDescent="0.15">
      <c r="A1758" s="1">
        <v>40620</v>
      </c>
      <c r="B1758" t="s">
        <v>3467</v>
      </c>
      <c r="C1758" s="2" t="str">
        <f>HYPERLINK("http://snap.windin.com/ns/bulletin.php?id=404248&amp;type=1", "宝色股份:创业板首发招股说明书（申报稿）")</f>
        <v>宝色股份:创业板首发招股说明书（申报稿）</v>
      </c>
      <c r="D1758" t="s">
        <v>8123</v>
      </c>
      <c r="E1758" t="s">
        <v>5475</v>
      </c>
      <c r="F1758" t="s">
        <v>5450</v>
      </c>
    </row>
    <row r="1759" spans="1:6" x14ac:dyDescent="0.15">
      <c r="A1759" s="1">
        <v>40620</v>
      </c>
      <c r="B1759" t="s">
        <v>3690</v>
      </c>
      <c r="C1759" s="2" t="str">
        <f>HYPERLINK("http://snap.windin.com/ns/bulletin.php?id=1320508&amp;type=1", "铁汉生态:首次公开发行股票并在创业板上市招股说明书")</f>
        <v>铁汉生态:首次公开发行股票并在创业板上市招股说明书</v>
      </c>
      <c r="D1759" t="s">
        <v>8124</v>
      </c>
      <c r="E1759" t="s">
        <v>5678</v>
      </c>
      <c r="F1759" t="s">
        <v>455</v>
      </c>
    </row>
    <row r="1760" spans="1:6" x14ac:dyDescent="0.15">
      <c r="A1760" s="1">
        <v>40620</v>
      </c>
      <c r="B1760" t="s">
        <v>379</v>
      </c>
      <c r="C1760" s="2" t="str">
        <f>HYPERLINK("http://snap.windin.com/ns/bulletin.php?id=1888281&amp;type=1", "佳讯飞鸿:创业板首发招股说明书（申报稿）")</f>
        <v>佳讯飞鸿:创业板首发招股说明书（申报稿）</v>
      </c>
      <c r="D1760" t="s">
        <v>8125</v>
      </c>
      <c r="E1760" t="s">
        <v>877</v>
      </c>
      <c r="F1760" t="s">
        <v>5450</v>
      </c>
    </row>
    <row r="1761" spans="1:6" x14ac:dyDescent="0.15">
      <c r="A1761" s="1">
        <v>40620</v>
      </c>
      <c r="B1761" t="s">
        <v>3691</v>
      </c>
      <c r="C1761" s="2" t="str">
        <f>HYPERLINK("http://snap.windin.com/ns/bulletin.php?id=1592816&amp;type=1", "长海股份:首次公开发行股票并在创业板上市招股说明书")</f>
        <v>长海股份:首次公开发行股票并在创业板上市招股说明书</v>
      </c>
      <c r="D1761" t="s">
        <v>8126</v>
      </c>
      <c r="E1761" t="s">
        <v>5679</v>
      </c>
      <c r="F1761" t="s">
        <v>455</v>
      </c>
    </row>
    <row r="1762" spans="1:6" x14ac:dyDescent="0.15">
      <c r="A1762" s="1">
        <v>40620</v>
      </c>
      <c r="B1762" t="s">
        <v>3692</v>
      </c>
      <c r="C1762" s="2" t="str">
        <f>HYPERLINK("http://snap.windin.com/ns/bulletin.php?id=1569844&amp;type=1", "长荣股份:首次公开发行股票并在创业板上市招股说明书")</f>
        <v>长荣股份:首次公开发行股票并在创业板上市招股说明书</v>
      </c>
      <c r="D1762" t="s">
        <v>8127</v>
      </c>
      <c r="E1762" t="s">
        <v>5680</v>
      </c>
      <c r="F1762" t="s">
        <v>455</v>
      </c>
    </row>
    <row r="1763" spans="1:6" x14ac:dyDescent="0.15">
      <c r="A1763" s="1">
        <v>40620</v>
      </c>
      <c r="B1763" t="s">
        <v>367</v>
      </c>
      <c r="C1763" s="2" t="str">
        <f>HYPERLINK("http://snap.windin.com/ns/bulletin.php?id=1523340&amp;type=1", "安利股份:创业板首发招股说明书（申报稿）")</f>
        <v>安利股份:创业板首发招股说明书（申报稿）</v>
      </c>
      <c r="D1763" t="s">
        <v>8128</v>
      </c>
      <c r="E1763" t="s">
        <v>860</v>
      </c>
      <c r="F1763" t="s">
        <v>5450</v>
      </c>
    </row>
    <row r="1764" spans="1:6" x14ac:dyDescent="0.15">
      <c r="A1764" s="1">
        <v>40619</v>
      </c>
      <c r="B1764" t="s">
        <v>364</v>
      </c>
      <c r="C1764" s="2" t="str">
        <f>HYPERLINK("http://snap.windin.com/ns/bulletin.php?id=187218&amp;type=1", "东材科技:首发招股说明书（申报稿）")</f>
        <v>东材科技:首发招股说明书（申报稿）</v>
      </c>
      <c r="D1764" t="s">
        <v>8129</v>
      </c>
      <c r="E1764" t="s">
        <v>857</v>
      </c>
      <c r="F1764" t="s">
        <v>5513</v>
      </c>
    </row>
    <row r="1765" spans="1:6" x14ac:dyDescent="0.15">
      <c r="A1765" s="1">
        <v>40619</v>
      </c>
      <c r="B1765" t="s">
        <v>369</v>
      </c>
      <c r="C1765" s="2" t="str">
        <f>HYPERLINK("http://snap.windin.com/ns/bulletin.php?id=1846954&amp;type=1", "桐昆股份:首发招股说明书（申报稿）")</f>
        <v>桐昆股份:首发招股说明书（申报稿）</v>
      </c>
      <c r="D1765" t="s">
        <v>8130</v>
      </c>
      <c r="E1765" t="s">
        <v>864</v>
      </c>
      <c r="F1765" t="s">
        <v>5513</v>
      </c>
    </row>
    <row r="1766" spans="1:6" x14ac:dyDescent="0.15">
      <c r="A1766" s="1">
        <v>40618</v>
      </c>
      <c r="B1766" t="s">
        <v>3693</v>
      </c>
      <c r="C1766" s="2" t="str">
        <f>HYPERLINK("http://snap.windin.com/ns/bulletin.php?id=2012946&amp;type=1", "江南水务:首次公开发行股票招股说明书")</f>
        <v>江南水务:首次公开发行股票招股说明书</v>
      </c>
      <c r="D1766" t="s">
        <v>8131</v>
      </c>
      <c r="E1766" t="s">
        <v>5681</v>
      </c>
      <c r="F1766" t="s">
        <v>399</v>
      </c>
    </row>
    <row r="1767" spans="1:6" x14ac:dyDescent="0.15">
      <c r="A1767" s="1">
        <v>40617</v>
      </c>
      <c r="B1767" t="s">
        <v>3694</v>
      </c>
      <c r="C1767" s="2" t="str">
        <f>HYPERLINK("http://snap.windin.com/ns/bulletin.php?id=100079&amp;type=1", "百润股份:首次公开发行股票招股说明书")</f>
        <v>百润股份:首次公开发行股票招股说明书</v>
      </c>
      <c r="D1767" t="s">
        <v>8132</v>
      </c>
      <c r="E1767" t="s">
        <v>5682</v>
      </c>
      <c r="F1767" t="s">
        <v>399</v>
      </c>
    </row>
    <row r="1768" spans="1:6" x14ac:dyDescent="0.15">
      <c r="A1768" s="1">
        <v>40617</v>
      </c>
      <c r="B1768" t="s">
        <v>3695</v>
      </c>
      <c r="C1768" s="2" t="str">
        <f>HYPERLINK("http://snap.windin.com/ns/bulletin.php?id=2045743&amp;type=1", "唐人神:首次公开发行股票招股说明书")</f>
        <v>唐人神:首次公开发行股票招股说明书</v>
      </c>
      <c r="D1768" t="s">
        <v>8133</v>
      </c>
      <c r="E1768" t="s">
        <v>5683</v>
      </c>
      <c r="F1768" t="s">
        <v>399</v>
      </c>
    </row>
    <row r="1769" spans="1:6" x14ac:dyDescent="0.15">
      <c r="A1769" s="1">
        <v>40616</v>
      </c>
      <c r="B1769" t="s">
        <v>380</v>
      </c>
      <c r="C1769" s="2" t="str">
        <f>HYPERLINK("http://snap.windin.com/ns/bulletin.php?id=1424224&amp;type=1", "易华录:创业板首发招股说明书（申报稿）")</f>
        <v>易华录:创业板首发招股说明书（申报稿）</v>
      </c>
      <c r="D1769" t="s">
        <v>8134</v>
      </c>
      <c r="E1769" t="s">
        <v>878</v>
      </c>
      <c r="F1769" t="s">
        <v>5450</v>
      </c>
    </row>
    <row r="1770" spans="1:6" x14ac:dyDescent="0.15">
      <c r="A1770" s="1">
        <v>40616</v>
      </c>
      <c r="B1770" t="s">
        <v>3466</v>
      </c>
      <c r="C1770" s="2" t="str">
        <f>HYPERLINK("http://snap.windin.com/ns/bulletin.php?id=933662&amp;type=1", "欣泰电气:创业板首发招股说明书（申报稿）")</f>
        <v>欣泰电气:创业板首发招股说明书（申报稿）</v>
      </c>
      <c r="D1770" t="s">
        <v>8135</v>
      </c>
      <c r="E1770" t="s">
        <v>432</v>
      </c>
      <c r="F1770" t="s">
        <v>5450</v>
      </c>
    </row>
    <row r="1771" spans="1:6" x14ac:dyDescent="0.15">
      <c r="A1771" s="1">
        <v>40613</v>
      </c>
      <c r="B1771" t="s">
        <v>3696</v>
      </c>
      <c r="C1771" s="2" t="str">
        <f>HYPERLINK("http://snap.windin.com/ns/bulletin.php?id=100968&amp;type=1", "西林科:创业板首发招股说明书（申报稿）")</f>
        <v>西林科:创业板首发招股说明书（申报稿）</v>
      </c>
      <c r="D1771" t="s">
        <v>8136</v>
      </c>
      <c r="E1771" t="s">
        <v>5684</v>
      </c>
      <c r="F1771" t="s">
        <v>5450</v>
      </c>
    </row>
    <row r="1772" spans="1:6" x14ac:dyDescent="0.15">
      <c r="A1772" s="1">
        <v>40613</v>
      </c>
      <c r="B1772" t="s">
        <v>3697</v>
      </c>
      <c r="C1772" s="2" t="str">
        <f>HYPERLINK("http://snap.windin.com/ns/bulletin.php?id=2084874&amp;type=1", "佳士科技:首次公开发行股票并在创业板上市招股说明书")</f>
        <v>佳士科技:首次公开发行股票并在创业板上市招股说明书</v>
      </c>
      <c r="D1772" t="s">
        <v>8137</v>
      </c>
      <c r="E1772" t="s">
        <v>5685</v>
      </c>
      <c r="F1772" t="s">
        <v>455</v>
      </c>
    </row>
    <row r="1773" spans="1:6" x14ac:dyDescent="0.15">
      <c r="A1773" s="1">
        <v>40613</v>
      </c>
      <c r="B1773" t="s">
        <v>3698</v>
      </c>
      <c r="C1773" s="2" t="str">
        <f>HYPERLINK("http://snap.windin.com/ns/bulletin.php?id=1913371&amp;type=1", "金冠汽车:首发招股说明书（申报稿）")</f>
        <v>金冠汽车:首发招股说明书（申报稿）</v>
      </c>
      <c r="D1773" t="s">
        <v>8138</v>
      </c>
      <c r="E1773" t="s">
        <v>5686</v>
      </c>
      <c r="F1773" t="s">
        <v>5513</v>
      </c>
    </row>
    <row r="1774" spans="1:6" x14ac:dyDescent="0.15">
      <c r="A1774" s="1">
        <v>40613</v>
      </c>
      <c r="B1774" t="s">
        <v>3699</v>
      </c>
      <c r="C1774" s="2" t="str">
        <f>HYPERLINK("http://snap.windin.com/ns/bulletin.php?id=1511119&amp;type=1", "科斯伍德:首次公开发行股票并在创业板上市招股说明书")</f>
        <v>科斯伍德:首次公开发行股票并在创业板上市招股说明书</v>
      </c>
      <c r="D1774" t="s">
        <v>8139</v>
      </c>
      <c r="E1774" t="s">
        <v>5687</v>
      </c>
      <c r="F1774" t="s">
        <v>455</v>
      </c>
    </row>
    <row r="1775" spans="1:6" x14ac:dyDescent="0.15">
      <c r="A1775" s="1">
        <v>40613</v>
      </c>
      <c r="B1775" t="s">
        <v>3660</v>
      </c>
      <c r="C1775" s="2" t="str">
        <f>HYPERLINK("http://snap.windin.com/ns/bulletin.php?id=583024&amp;type=1", "闽发铝业:首发招股说明书（申报稿）")</f>
        <v>闽发铝业:首发招股说明书（申报稿）</v>
      </c>
      <c r="D1775" t="s">
        <v>8140</v>
      </c>
      <c r="E1775" t="s">
        <v>5649</v>
      </c>
      <c r="F1775" t="s">
        <v>5513</v>
      </c>
    </row>
    <row r="1776" spans="1:6" x14ac:dyDescent="0.15">
      <c r="A1776" s="1">
        <v>40613</v>
      </c>
      <c r="B1776" t="s">
        <v>3673</v>
      </c>
      <c r="C1776" s="2" t="str">
        <f>HYPERLINK("http://snap.windin.com/ns/bulletin.php?id=892139&amp;type=1", "欣旺达:创业板首发招股说明书（申报稿）")</f>
        <v>欣旺达:创业板首发招股说明书（申报稿）</v>
      </c>
      <c r="D1776" t="s">
        <v>8141</v>
      </c>
      <c r="E1776" t="s">
        <v>5661</v>
      </c>
      <c r="F1776" t="s">
        <v>5450</v>
      </c>
    </row>
    <row r="1777" spans="1:6" x14ac:dyDescent="0.15">
      <c r="A1777" s="1">
        <v>40613</v>
      </c>
      <c r="B1777" t="s">
        <v>3700</v>
      </c>
      <c r="C1777" s="2" t="str">
        <f>HYPERLINK("http://snap.windin.com/ns/bulletin.php?id=994192&amp;type=1", "福安药业:首次公开发行股票并在创业板上市招股说明书")</f>
        <v>福安药业:首次公开发行股票并在创业板上市招股说明书</v>
      </c>
      <c r="D1777" t="s">
        <v>8142</v>
      </c>
      <c r="E1777" t="s">
        <v>5688</v>
      </c>
      <c r="F1777" t="s">
        <v>455</v>
      </c>
    </row>
    <row r="1778" spans="1:6" x14ac:dyDescent="0.15">
      <c r="A1778" s="1">
        <v>40612</v>
      </c>
      <c r="B1778" t="s">
        <v>358</v>
      </c>
      <c r="C1778" s="2" t="str">
        <f>HYPERLINK("http://snap.windin.com/ns/bulletin.php?id=1794589&amp;type=1", "九牧王:首发招股说明书（申报稿）")</f>
        <v>九牧王:首发招股说明书（申报稿）</v>
      </c>
      <c r="D1778" t="s">
        <v>8143</v>
      </c>
      <c r="E1778" t="s">
        <v>851</v>
      </c>
      <c r="F1778" t="s">
        <v>5513</v>
      </c>
    </row>
    <row r="1779" spans="1:6" x14ac:dyDescent="0.15">
      <c r="A1779" s="1">
        <v>40612</v>
      </c>
      <c r="B1779" t="s">
        <v>376</v>
      </c>
      <c r="C1779" s="2" t="str">
        <f>HYPERLINK("http://snap.windin.com/ns/bulletin.php?id=1416970&amp;type=1", "圣阳股份:首发招股说明书（申报稿）")</f>
        <v>圣阳股份:首发招股说明书（申报稿）</v>
      </c>
      <c r="D1779" t="s">
        <v>8144</v>
      </c>
      <c r="E1779" t="s">
        <v>874</v>
      </c>
      <c r="F1779" t="s">
        <v>5513</v>
      </c>
    </row>
    <row r="1780" spans="1:6" x14ac:dyDescent="0.15">
      <c r="A1780" s="1">
        <v>40612</v>
      </c>
      <c r="B1780" t="s">
        <v>374</v>
      </c>
      <c r="C1780" s="2" t="str">
        <f>HYPERLINK("http://snap.windin.com/ns/bulletin.php?id=1141188&amp;type=1", "华鼎锦纶:首发招股说明书（申报稿）")</f>
        <v>华鼎锦纶:首发招股说明书（申报稿）</v>
      </c>
      <c r="D1780" t="s">
        <v>8145</v>
      </c>
      <c r="E1780" t="s">
        <v>871</v>
      </c>
      <c r="F1780" t="s">
        <v>5513</v>
      </c>
    </row>
    <row r="1781" spans="1:6" x14ac:dyDescent="0.15">
      <c r="A1781" s="1">
        <v>40612</v>
      </c>
      <c r="B1781" t="s">
        <v>3661</v>
      </c>
      <c r="C1781" s="2" t="str">
        <f>HYPERLINK("http://snap.windin.com/ns/bulletin.php?id=461754&amp;type=1", "雷柏科技:首发招股说明书（申报稿）")</f>
        <v>雷柏科技:首发招股说明书（申报稿）</v>
      </c>
      <c r="D1781" t="s">
        <v>8146</v>
      </c>
      <c r="E1781" t="s">
        <v>5650</v>
      </c>
      <c r="F1781" t="s">
        <v>5513</v>
      </c>
    </row>
    <row r="1782" spans="1:6" x14ac:dyDescent="0.15">
      <c r="A1782" s="1">
        <v>40610</v>
      </c>
      <c r="B1782" t="s">
        <v>3701</v>
      </c>
      <c r="C1782" s="2" t="str">
        <f>HYPERLINK("http://snap.windin.com/ns/bulletin.php?id=110950&amp;type=1", "宝泰隆:首次公开发行股票招股说明书")</f>
        <v>宝泰隆:首次公开发行股票招股说明书</v>
      </c>
      <c r="D1782" t="s">
        <v>8147</v>
      </c>
      <c r="E1782" t="s">
        <v>5689</v>
      </c>
      <c r="F1782" t="s">
        <v>399</v>
      </c>
    </row>
    <row r="1783" spans="1:6" x14ac:dyDescent="0.15">
      <c r="A1783" s="1">
        <v>40610</v>
      </c>
      <c r="B1783" t="s">
        <v>3702</v>
      </c>
      <c r="C1783" s="2" t="str">
        <f>HYPERLINK("http://snap.windin.com/ns/bulletin.php?id=1252066&amp;type=1", "益盛药业:首次公开发行股票招股说明书")</f>
        <v>益盛药业:首次公开发行股票招股说明书</v>
      </c>
      <c r="D1783" t="s">
        <v>8148</v>
      </c>
      <c r="E1783" t="s">
        <v>5690</v>
      </c>
      <c r="F1783" t="s">
        <v>399</v>
      </c>
    </row>
    <row r="1784" spans="1:6" x14ac:dyDescent="0.15">
      <c r="A1784" s="1">
        <v>40610</v>
      </c>
      <c r="B1784" t="s">
        <v>3703</v>
      </c>
      <c r="C1784" s="2" t="str">
        <f>HYPERLINK("http://snap.windin.com/ns/bulletin.php?id=515238&amp;type=1", "上海绿新:首次公开发行股票招股说明书")</f>
        <v>上海绿新:首次公开发行股票招股说明书</v>
      </c>
      <c r="D1784" t="s">
        <v>8149</v>
      </c>
      <c r="E1784" t="s">
        <v>5691</v>
      </c>
      <c r="F1784" t="s">
        <v>399</v>
      </c>
    </row>
    <row r="1785" spans="1:6" x14ac:dyDescent="0.15">
      <c r="A1785" s="1">
        <v>40609</v>
      </c>
      <c r="B1785" t="s">
        <v>3670</v>
      </c>
      <c r="C1785" s="2" t="str">
        <f>HYPERLINK("http://snap.windin.com/ns/bulletin.php?id=114852&amp;type=1", "恒顺电气:创业板首发招股说明书（申报稿）")</f>
        <v>恒顺电气:创业板首发招股说明书（申报稿）</v>
      </c>
      <c r="D1785" t="s">
        <v>8150</v>
      </c>
      <c r="E1785" t="s">
        <v>5658</v>
      </c>
      <c r="F1785" t="s">
        <v>5450</v>
      </c>
    </row>
    <row r="1786" spans="1:6" x14ac:dyDescent="0.15">
      <c r="A1786" s="1">
        <v>40609</v>
      </c>
      <c r="B1786" t="s">
        <v>3441</v>
      </c>
      <c r="C1786" s="2" t="str">
        <f>HYPERLINK("http://snap.windin.com/ns/bulletin.php?id=515024&amp;type=1", "华恒焊接:创业板首发招股说明书(申报稿)")</f>
        <v>华恒焊接:创业板首发招股说明书(申报稿)</v>
      </c>
      <c r="D1786" t="s">
        <v>8151</v>
      </c>
      <c r="E1786" t="s">
        <v>5456</v>
      </c>
      <c r="F1786" t="s">
        <v>5462</v>
      </c>
    </row>
    <row r="1787" spans="1:6" x14ac:dyDescent="0.15">
      <c r="A1787" s="1">
        <v>40609</v>
      </c>
      <c r="B1787" t="s">
        <v>3669</v>
      </c>
      <c r="C1787" s="2" t="str">
        <f>HYPERLINK("http://snap.windin.com/ns/bulletin.php?id=80245&amp;type=1", "森远股份:创业板首发招股说明书（申报稿）")</f>
        <v>森远股份:创业板首发招股说明书（申报稿）</v>
      </c>
      <c r="D1787" t="s">
        <v>8152</v>
      </c>
      <c r="E1787" t="s">
        <v>5657</v>
      </c>
      <c r="F1787" t="s">
        <v>5450</v>
      </c>
    </row>
    <row r="1788" spans="1:6" x14ac:dyDescent="0.15">
      <c r="A1788" s="1">
        <v>40609</v>
      </c>
      <c r="B1788" t="s">
        <v>3667</v>
      </c>
      <c r="C1788" s="2" t="str">
        <f>HYPERLINK("http://snap.windin.com/ns/bulletin.php?id=795538&amp;type=1", "天泽信息:江苏天泽信息产业股份有限公司创业板首发招股说明书（申报稿）")</f>
        <v>天泽信息:江苏天泽信息产业股份有限公司创业板首发招股说明书（申报稿）</v>
      </c>
      <c r="D1788" t="s">
        <v>8153</v>
      </c>
      <c r="E1788" t="s">
        <v>5655</v>
      </c>
      <c r="F1788" t="s">
        <v>5692</v>
      </c>
    </row>
    <row r="1789" spans="1:6" x14ac:dyDescent="0.15">
      <c r="A1789" s="1">
        <v>40606</v>
      </c>
      <c r="B1789" t="s">
        <v>3672</v>
      </c>
      <c r="C1789" s="2" t="str">
        <f>HYPERLINK("http://snap.windin.com/ns/bulletin.php?id=1648675&amp;type=1", "群兴玩具:首发招股说明书（申报稿）")</f>
        <v>群兴玩具:首发招股说明书（申报稿）</v>
      </c>
      <c r="D1789" t="s">
        <v>8154</v>
      </c>
      <c r="E1789" t="s">
        <v>5660</v>
      </c>
      <c r="F1789" t="s">
        <v>5513</v>
      </c>
    </row>
    <row r="1790" spans="1:6" x14ac:dyDescent="0.15">
      <c r="A1790" s="1">
        <v>40606</v>
      </c>
      <c r="B1790" t="s">
        <v>3704</v>
      </c>
      <c r="C1790" s="2" t="str">
        <f>HYPERLINK("http://snap.windin.com/ns/bulletin.php?id=1790184&amp;type=1", "潜能恒信:首次公开发行股票并在创业板上市招股说明书")</f>
        <v>潜能恒信:首次公开发行股票并在创业板上市招股说明书</v>
      </c>
      <c r="D1790" t="s">
        <v>8155</v>
      </c>
      <c r="E1790" t="s">
        <v>5693</v>
      </c>
      <c r="F1790" t="s">
        <v>455</v>
      </c>
    </row>
    <row r="1791" spans="1:6" x14ac:dyDescent="0.15">
      <c r="A1791" s="1">
        <v>40606</v>
      </c>
      <c r="B1791" t="s">
        <v>3705</v>
      </c>
      <c r="C1791" s="2" t="str">
        <f>HYPERLINK("http://snap.windin.com/ns/bulletin.php?id=84243&amp;type=1", "维尔利:首次公开发行股票并在创业板上市招股说明书")</f>
        <v>维尔利:首次公开发行股票并在创业板上市招股说明书</v>
      </c>
      <c r="D1791" t="s">
        <v>8156</v>
      </c>
      <c r="E1791" t="s">
        <v>5694</v>
      </c>
      <c r="F1791" t="s">
        <v>455</v>
      </c>
    </row>
    <row r="1792" spans="1:6" x14ac:dyDescent="0.15">
      <c r="A1792" s="1">
        <v>40606</v>
      </c>
      <c r="B1792" t="s">
        <v>3674</v>
      </c>
      <c r="C1792" s="2" t="str">
        <f>HYPERLINK("http://snap.windin.com/ns/bulletin.php?id=1382434&amp;type=1", "理邦仪器:创业板首发招股说明书（申报稿）")</f>
        <v>理邦仪器:创业板首发招股说明书（申报稿）</v>
      </c>
      <c r="D1792" t="s">
        <v>8157</v>
      </c>
      <c r="E1792" t="s">
        <v>5662</v>
      </c>
      <c r="F1792" t="s">
        <v>5450</v>
      </c>
    </row>
    <row r="1793" spans="1:6" x14ac:dyDescent="0.15">
      <c r="A1793" s="1">
        <v>40606</v>
      </c>
      <c r="B1793" t="s">
        <v>3680</v>
      </c>
      <c r="C1793" s="2" t="str">
        <f>HYPERLINK("http://snap.windin.com/ns/bulletin.php?id=513921&amp;type=1", "聚龙股份:创业板首发招股说明书（申报稿）")</f>
        <v>聚龙股份:创业板首发招股说明书（申报稿）</v>
      </c>
      <c r="D1793" t="s">
        <v>8158</v>
      </c>
      <c r="E1793" t="s">
        <v>5667</v>
      </c>
      <c r="F1793" t="s">
        <v>5450</v>
      </c>
    </row>
    <row r="1794" spans="1:6" x14ac:dyDescent="0.15">
      <c r="A1794" s="1">
        <v>40606</v>
      </c>
      <c r="B1794" t="s">
        <v>3706</v>
      </c>
      <c r="C1794" s="2" t="str">
        <f>HYPERLINK("http://snap.windin.com/ns/bulletin.php?id=1803100&amp;type=1", "神农大丰:首次公开发行股票并在创业板上市招股说明书")</f>
        <v>神农大丰:首次公开发行股票并在创业板上市招股说明书</v>
      </c>
      <c r="D1794" t="s">
        <v>8159</v>
      </c>
      <c r="E1794" t="s">
        <v>5695</v>
      </c>
      <c r="F1794" t="s">
        <v>455</v>
      </c>
    </row>
    <row r="1795" spans="1:6" x14ac:dyDescent="0.15">
      <c r="A1795" s="1">
        <v>40606</v>
      </c>
      <c r="B1795" t="s">
        <v>3707</v>
      </c>
      <c r="C1795" s="2" t="str">
        <f>HYPERLINK("http://snap.windin.com/ns/bulletin.php?id=1975539&amp;type=1", "联明机械:首发招股说明书（申报稿）")</f>
        <v>联明机械:首发招股说明书（申报稿）</v>
      </c>
      <c r="D1795" t="s">
        <v>8160</v>
      </c>
      <c r="E1795" t="s">
        <v>5179</v>
      </c>
      <c r="F1795" t="s">
        <v>5513</v>
      </c>
    </row>
    <row r="1796" spans="1:6" x14ac:dyDescent="0.15">
      <c r="A1796" s="1">
        <v>40606</v>
      </c>
      <c r="B1796" t="s">
        <v>3708</v>
      </c>
      <c r="C1796" s="2" t="str">
        <f>HYPERLINK("http://snap.windin.com/ns/bulletin.php?id=719664&amp;type=1", "美亚柏科:首次公开发行股票并在创业板上市招股说明书")</f>
        <v>美亚柏科:首次公开发行股票并在创业板上市招股说明书</v>
      </c>
      <c r="D1796" t="s">
        <v>8161</v>
      </c>
      <c r="E1796" t="s">
        <v>5696</v>
      </c>
      <c r="F1796" t="s">
        <v>455</v>
      </c>
    </row>
    <row r="1797" spans="1:6" x14ac:dyDescent="0.15">
      <c r="A1797" s="1">
        <v>40606</v>
      </c>
      <c r="B1797" t="s">
        <v>214</v>
      </c>
      <c r="C1797" s="2" t="str">
        <f>HYPERLINK("http://snap.windin.com/ns/bulletin.php?id=775366&amp;type=1", "汇冠股份:创业板首发招股说明书（申报稿）")</f>
        <v>汇冠股份:创业板首发招股说明书（申报稿）</v>
      </c>
      <c r="D1797" t="s">
        <v>8162</v>
      </c>
      <c r="E1797" t="s">
        <v>686</v>
      </c>
      <c r="F1797" t="s">
        <v>5450</v>
      </c>
    </row>
    <row r="1798" spans="1:6" x14ac:dyDescent="0.15">
      <c r="A1798" s="1">
        <v>40605</v>
      </c>
      <c r="B1798" t="s">
        <v>3677</v>
      </c>
      <c r="C1798" s="2" t="str">
        <f>HYPERLINK("http://snap.windin.com/ns/bulletin.php?id=106726&amp;type=1", "国电清新:首发招股说明书（申报稿）")</f>
        <v>国电清新:首发招股说明书（申报稿）</v>
      </c>
      <c r="D1798" t="s">
        <v>8163</v>
      </c>
      <c r="E1798" t="s">
        <v>5664</v>
      </c>
      <c r="F1798" t="s">
        <v>5513</v>
      </c>
    </row>
    <row r="1799" spans="1:6" x14ac:dyDescent="0.15">
      <c r="A1799" s="1">
        <v>40605</v>
      </c>
      <c r="B1799" t="s">
        <v>3671</v>
      </c>
      <c r="C1799" s="2" t="str">
        <f>HYPERLINK("http://snap.windin.com/ns/bulletin.php?id=1418734&amp;type=1", "明牌珠宝:首发招股说明书（申报稿）")</f>
        <v>明牌珠宝:首发招股说明书（申报稿）</v>
      </c>
      <c r="D1799" t="s">
        <v>8164</v>
      </c>
      <c r="E1799" t="s">
        <v>5659</v>
      </c>
      <c r="F1799" t="s">
        <v>5513</v>
      </c>
    </row>
    <row r="1800" spans="1:6" x14ac:dyDescent="0.15">
      <c r="A1800" s="1">
        <v>40605</v>
      </c>
      <c r="B1800" t="s">
        <v>3662</v>
      </c>
      <c r="C1800" s="2" t="str">
        <f>HYPERLINK("http://snap.windin.com/ns/bulletin.php?id=1548415&amp;type=1", "通达动力:首发招股说明书（申报稿）")</f>
        <v>通达动力:首发招股说明书（申报稿）</v>
      </c>
      <c r="D1800" t="s">
        <v>8165</v>
      </c>
      <c r="E1800" t="s">
        <v>5651</v>
      </c>
      <c r="F1800" t="s">
        <v>5513</v>
      </c>
    </row>
    <row r="1801" spans="1:6" x14ac:dyDescent="0.15">
      <c r="A1801" s="1">
        <v>40603</v>
      </c>
      <c r="B1801" t="s">
        <v>3709</v>
      </c>
      <c r="C1801" s="2" t="str">
        <f>HYPERLINK("http://snap.windin.com/ns/bulletin.php?id=1697726&amp;type=1", "兄弟科技:首次公开发行股票招股说明书")</f>
        <v>兄弟科技:首次公开发行股票招股说明书</v>
      </c>
      <c r="D1801" t="s">
        <v>8166</v>
      </c>
      <c r="E1801" t="s">
        <v>5697</v>
      </c>
      <c r="F1801" t="s">
        <v>399</v>
      </c>
    </row>
    <row r="1802" spans="1:6" x14ac:dyDescent="0.15">
      <c r="A1802" s="1">
        <v>40603</v>
      </c>
      <c r="B1802" t="s">
        <v>3710</v>
      </c>
      <c r="C1802" s="2" t="str">
        <f>HYPERLINK("http://snap.windin.com/ns/bulletin.php?id=1860666&amp;type=1", "森马服饰:首次公开发行股票（A股）招股说明书")</f>
        <v>森马服饰:首次公开发行股票（A股）招股说明书</v>
      </c>
      <c r="D1802" t="s">
        <v>8167</v>
      </c>
      <c r="E1802" t="s">
        <v>5698</v>
      </c>
      <c r="F1802" t="s">
        <v>661</v>
      </c>
    </row>
    <row r="1803" spans="1:6" x14ac:dyDescent="0.15">
      <c r="A1803" s="1">
        <v>40603</v>
      </c>
      <c r="B1803" t="s">
        <v>3711</v>
      </c>
      <c r="C1803" s="2" t="str">
        <f>HYPERLINK("http://snap.windin.com/ns/bulletin.php?id=1120349&amp;type=1", "张化机:首次公开发行股票招股说明书")</f>
        <v>张化机:首次公开发行股票招股说明书</v>
      </c>
      <c r="D1803" t="s">
        <v>8168</v>
      </c>
      <c r="E1803" t="s">
        <v>5699</v>
      </c>
      <c r="F1803" t="s">
        <v>399</v>
      </c>
    </row>
    <row r="1804" spans="1:6" x14ac:dyDescent="0.15">
      <c r="A1804" s="1">
        <v>40603</v>
      </c>
      <c r="B1804" t="s">
        <v>3712</v>
      </c>
      <c r="C1804" s="2" t="str">
        <f>HYPERLINK("http://snap.windin.com/ns/bulletin.php?id=794605&amp;type=1", "三江购物:首次公开发行A股股票招股说明书")</f>
        <v>三江购物:首次公开发行A股股票招股说明书</v>
      </c>
      <c r="D1804" t="s">
        <v>8169</v>
      </c>
      <c r="E1804" t="s">
        <v>5700</v>
      </c>
      <c r="F1804" t="s">
        <v>462</v>
      </c>
    </row>
    <row r="1805" spans="1:6" x14ac:dyDescent="0.15">
      <c r="A1805" s="1">
        <v>40602</v>
      </c>
      <c r="B1805" t="s">
        <v>378</v>
      </c>
      <c r="C1805" s="2" t="str">
        <f>HYPERLINK("http://snap.windin.com/ns/bulletin.php?id=93512&amp;type=1", "吉鑫科技:首发招股说明书（申报稿）")</f>
        <v>吉鑫科技:首发招股说明书（申报稿）</v>
      </c>
      <c r="D1805" t="s">
        <v>8170</v>
      </c>
      <c r="E1805" t="s">
        <v>876</v>
      </c>
      <c r="F1805" t="s">
        <v>5513</v>
      </c>
    </row>
    <row r="1806" spans="1:6" x14ac:dyDescent="0.15">
      <c r="A1806" s="1">
        <v>40602</v>
      </c>
      <c r="B1806" t="s">
        <v>366</v>
      </c>
      <c r="C1806" s="2" t="str">
        <f>HYPERLINK("http://snap.windin.com/ns/bulletin.php?id=1920353&amp;type=1", "万昌科技:首发招股说明书（申报稿）")</f>
        <v>万昌科技:首发招股说明书（申报稿）</v>
      </c>
      <c r="D1806" t="s">
        <v>8171</v>
      </c>
      <c r="E1806" t="s">
        <v>859</v>
      </c>
      <c r="F1806" t="s">
        <v>5513</v>
      </c>
    </row>
    <row r="1807" spans="1:6" x14ac:dyDescent="0.15">
      <c r="A1807" s="1">
        <v>40602</v>
      </c>
      <c r="B1807" t="s">
        <v>3682</v>
      </c>
      <c r="C1807" s="2" t="str">
        <f>HYPERLINK("http://snap.windin.com/ns/bulletin.php?id=1945585&amp;type=1", "贝因美:首发招股说明书（申报稿）")</f>
        <v>贝因美:首发招股说明书（申报稿）</v>
      </c>
      <c r="D1807" t="s">
        <v>8172</v>
      </c>
      <c r="E1807" t="s">
        <v>5669</v>
      </c>
      <c r="F1807" t="s">
        <v>5513</v>
      </c>
    </row>
    <row r="1808" spans="1:6" x14ac:dyDescent="0.15">
      <c r="A1808" s="1">
        <v>40602</v>
      </c>
      <c r="B1808" t="s">
        <v>3713</v>
      </c>
      <c r="C1808" s="2" t="str">
        <f>HYPERLINK("http://snap.windin.com/ns/bulletin.php?id=1624493&amp;type=1", "金隅股份:首次公开发行A股招股说明书暨换股吸收合并河北太行水泥股份有限公司报告书")</f>
        <v>金隅股份:首次公开发行A股招股说明书暨换股吸收合并河北太行水泥股份有限公司报告书</v>
      </c>
      <c r="D1808" t="s">
        <v>8173</v>
      </c>
      <c r="E1808" t="s">
        <v>5701</v>
      </c>
      <c r="F1808" t="s">
        <v>5702</v>
      </c>
    </row>
    <row r="1809" spans="1:6" x14ac:dyDescent="0.15">
      <c r="A1809" s="1">
        <v>40602</v>
      </c>
      <c r="B1809" t="s">
        <v>3681</v>
      </c>
      <c r="C1809" s="2" t="str">
        <f>HYPERLINK("http://snap.windin.com/ns/bulletin.php?id=1523934&amp;type=1", "索菲亚:广州市宁基装饰实业股份有限公司首发招股说明书（申报稿）")</f>
        <v>索菲亚:广州市宁基装饰实业股份有限公司首发招股说明书（申报稿）</v>
      </c>
      <c r="D1809" t="s">
        <v>8174</v>
      </c>
      <c r="E1809" t="s">
        <v>5703</v>
      </c>
      <c r="F1809" t="s">
        <v>5704</v>
      </c>
    </row>
    <row r="1810" spans="1:6" x14ac:dyDescent="0.15">
      <c r="A1810" s="1">
        <v>40599</v>
      </c>
      <c r="B1810" t="s">
        <v>3706</v>
      </c>
      <c r="C1810" s="2" t="str">
        <f>HYPERLINK("http://snap.windin.com/ns/bulletin.php?id=1241825&amp;type=1", "神农大丰:首次公开发行股票并在创业板上市《招股说明书》的确认函")</f>
        <v>神农大丰:首次公开发行股票并在创业板上市《招股说明书》的确认函</v>
      </c>
      <c r="D1810" t="s">
        <v>8175</v>
      </c>
      <c r="E1810" t="s">
        <v>5695</v>
      </c>
      <c r="F1810" t="s">
        <v>5705</v>
      </c>
    </row>
    <row r="1811" spans="1:6" x14ac:dyDescent="0.15">
      <c r="A1811" s="1">
        <v>40598</v>
      </c>
      <c r="B1811" t="s">
        <v>3714</v>
      </c>
      <c r="C1811" s="2" t="str">
        <f>HYPERLINK("http://snap.windin.com/ns/bulletin.php?id=1664655&amp;type=1", "通裕重工:首次公开发行股票并在创业板上市招股说明书")</f>
        <v>通裕重工:首次公开发行股票并在创业板上市招股说明书</v>
      </c>
      <c r="D1811" t="s">
        <v>8176</v>
      </c>
      <c r="E1811" t="s">
        <v>5706</v>
      </c>
      <c r="F1811" t="s">
        <v>455</v>
      </c>
    </row>
    <row r="1812" spans="1:6" x14ac:dyDescent="0.15">
      <c r="A1812" s="1">
        <v>40598</v>
      </c>
      <c r="B1812" t="s">
        <v>377</v>
      </c>
      <c r="C1812" s="2" t="str">
        <f>HYPERLINK("http://snap.windin.com/ns/bulletin.php?id=126573&amp;type=1", "中京电子:首发招股说明书（申报稿）")</f>
        <v>中京电子:首发招股说明书（申报稿）</v>
      </c>
      <c r="D1812" t="s">
        <v>8177</v>
      </c>
      <c r="E1812" t="s">
        <v>875</v>
      </c>
      <c r="F1812" t="s">
        <v>5513</v>
      </c>
    </row>
    <row r="1813" spans="1:6" x14ac:dyDescent="0.15">
      <c r="A1813" s="1">
        <v>40598</v>
      </c>
      <c r="B1813" t="s">
        <v>3428</v>
      </c>
      <c r="C1813" s="2" t="str">
        <f>HYPERLINK("http://snap.windin.com/ns/bulletin.php?id=683748&amp;type=1", "依顿科技:首发招股说明书（申报稿）")</f>
        <v>依顿科技:首发招股说明书（申报稿）</v>
      </c>
      <c r="D1813" t="s">
        <v>8178</v>
      </c>
      <c r="E1813" t="s">
        <v>5388</v>
      </c>
      <c r="F1813" t="s">
        <v>5513</v>
      </c>
    </row>
    <row r="1814" spans="1:6" x14ac:dyDescent="0.15">
      <c r="A1814" s="1">
        <v>40598</v>
      </c>
      <c r="B1814" t="s">
        <v>3715</v>
      </c>
      <c r="C1814" s="2" t="str">
        <f>HYPERLINK("http://snap.windin.com/ns/bulletin.php?id=1903537&amp;type=1", "恒源股份:首发招股说明书（申报稿）")</f>
        <v>恒源股份:首发招股说明书（申报稿）</v>
      </c>
      <c r="D1814" t="s">
        <v>8179</v>
      </c>
      <c r="E1814" t="s">
        <v>5707</v>
      </c>
      <c r="F1814" t="s">
        <v>5513</v>
      </c>
    </row>
    <row r="1815" spans="1:6" x14ac:dyDescent="0.15">
      <c r="A1815" s="1">
        <v>40598</v>
      </c>
      <c r="B1815" t="s">
        <v>3716</v>
      </c>
      <c r="C1815" s="2" t="str">
        <f>HYPERLINK("http://snap.windin.com/ns/bulletin.php?id=1513599&amp;type=1", "永清环保:首次公开发行股票并在创业板上市招股说明书")</f>
        <v>永清环保:首次公开发行股票并在创业板上市招股说明书</v>
      </c>
      <c r="D1815" t="s">
        <v>8180</v>
      </c>
      <c r="E1815" t="s">
        <v>5708</v>
      </c>
      <c r="F1815" t="s">
        <v>455</v>
      </c>
    </row>
    <row r="1816" spans="1:6" x14ac:dyDescent="0.15">
      <c r="A1816" s="1">
        <v>40598</v>
      </c>
      <c r="B1816" t="s">
        <v>3717</v>
      </c>
      <c r="C1816" s="2" t="str">
        <f>HYPERLINK("http://snap.windin.com/ns/bulletin.php?id=1016217&amp;type=1", "大华农:首次公开发行股票并在创业板上市招股说明书")</f>
        <v>大华农:首次公开发行股票并在创业板上市招股说明书</v>
      </c>
      <c r="D1816" t="s">
        <v>8181</v>
      </c>
      <c r="E1816" t="s">
        <v>5709</v>
      </c>
      <c r="F1816" t="s">
        <v>455</v>
      </c>
    </row>
    <row r="1817" spans="1:6" x14ac:dyDescent="0.15">
      <c r="A1817" s="1">
        <v>40597</v>
      </c>
      <c r="B1817" t="s">
        <v>3464</v>
      </c>
      <c r="C1817" s="2" t="str">
        <f>HYPERLINK("http://snap.windin.com/ns/bulletin.php?id=534431&amp;type=1", "创意技术:创业板首发招股说明书（申报稿）")</f>
        <v>创意技术:创业板首发招股说明书（申报稿）</v>
      </c>
      <c r="D1817" t="s">
        <v>8182</v>
      </c>
      <c r="E1817" t="s">
        <v>5473</v>
      </c>
      <c r="F1817" t="s">
        <v>5450</v>
      </c>
    </row>
    <row r="1818" spans="1:6" x14ac:dyDescent="0.15">
      <c r="A1818" s="1">
        <v>40597</v>
      </c>
      <c r="B1818" t="s">
        <v>3685</v>
      </c>
      <c r="C1818" s="2" t="str">
        <f>HYPERLINK("http://snap.windin.com/ns/bulletin.php?id=1503390&amp;type=1", "海伦哲:创业板首发招股说明书（申报稿）")</f>
        <v>海伦哲:创业板首发招股说明书（申报稿）</v>
      </c>
      <c r="D1818" t="s">
        <v>8183</v>
      </c>
      <c r="E1818" t="s">
        <v>5673</v>
      </c>
      <c r="F1818" t="s">
        <v>5450</v>
      </c>
    </row>
    <row r="1819" spans="1:6" x14ac:dyDescent="0.15">
      <c r="A1819" s="1">
        <v>40596</v>
      </c>
      <c r="B1819" t="s">
        <v>3718</v>
      </c>
      <c r="C1819" s="2" t="str">
        <f>HYPERLINK("http://snap.windin.com/ns/bulletin.php?id=1649643&amp;type=1", "通达股份:首次公开发行股票招股说明书")</f>
        <v>通达股份:首次公开发行股票招股说明书</v>
      </c>
      <c r="D1819" t="s">
        <v>8184</v>
      </c>
      <c r="E1819" t="s">
        <v>5710</v>
      </c>
      <c r="F1819" t="s">
        <v>399</v>
      </c>
    </row>
    <row r="1820" spans="1:6" x14ac:dyDescent="0.15">
      <c r="A1820" s="1">
        <v>40596</v>
      </c>
      <c r="B1820" t="s">
        <v>3719</v>
      </c>
      <c r="C1820" s="2" t="str">
        <f>HYPERLINK("http://snap.windin.com/ns/bulletin.php?id=1602517&amp;type=1", "亚威股份:首次公开发行股票招股说明书")</f>
        <v>亚威股份:首次公开发行股票招股说明书</v>
      </c>
      <c r="D1820" t="s">
        <v>8185</v>
      </c>
      <c r="E1820" t="s">
        <v>5711</v>
      </c>
      <c r="F1820" t="s">
        <v>399</v>
      </c>
    </row>
    <row r="1821" spans="1:6" x14ac:dyDescent="0.15">
      <c r="A1821" s="1">
        <v>40596</v>
      </c>
      <c r="B1821" t="s">
        <v>3720</v>
      </c>
      <c r="C1821" s="2" t="str">
        <f>HYPERLINK("http://snap.windin.com/ns/bulletin.php?id=1597576&amp;type=1", "徐家汇:首次公开发行股票招股说明书")</f>
        <v>徐家汇:首次公开发行股票招股说明书</v>
      </c>
      <c r="D1821" t="s">
        <v>8186</v>
      </c>
      <c r="E1821" t="s">
        <v>5712</v>
      </c>
      <c r="F1821" t="s">
        <v>399</v>
      </c>
    </row>
    <row r="1822" spans="1:6" x14ac:dyDescent="0.15">
      <c r="A1822" s="1">
        <v>40595</v>
      </c>
      <c r="B1822" t="s">
        <v>3721</v>
      </c>
      <c r="C1822" s="2" t="str">
        <f>HYPERLINK("http://snap.windin.com/ns/bulletin.php?id=1788542&amp;type=1", "内蒙君正:首次公开发行股票招股说明书")</f>
        <v>内蒙君正:首次公开发行股票招股说明书</v>
      </c>
      <c r="D1822" t="s">
        <v>8187</v>
      </c>
      <c r="E1822" t="s">
        <v>5713</v>
      </c>
      <c r="F1822" t="s">
        <v>399</v>
      </c>
    </row>
    <row r="1823" spans="1:6" x14ac:dyDescent="0.15">
      <c r="A1823" s="1">
        <v>40592</v>
      </c>
      <c r="B1823" t="s">
        <v>3722</v>
      </c>
      <c r="C1823" s="2" t="str">
        <f>HYPERLINK("http://snap.windin.com/ns/bulletin.php?id=211896&amp;type=1", "辉隆股份:首次公开发行股票招股说明书")</f>
        <v>辉隆股份:首次公开发行股票招股说明书</v>
      </c>
      <c r="D1823" t="s">
        <v>8188</v>
      </c>
      <c r="E1823" t="s">
        <v>5714</v>
      </c>
      <c r="F1823" t="s">
        <v>399</v>
      </c>
    </row>
    <row r="1824" spans="1:6" x14ac:dyDescent="0.15">
      <c r="A1824" s="1">
        <v>40592</v>
      </c>
      <c r="B1824" t="s">
        <v>3723</v>
      </c>
      <c r="C1824" s="2" t="str">
        <f>HYPERLINK("http://snap.windin.com/ns/bulletin.php?id=1365346&amp;type=1", "世纪游轮:首次公开发行股票招股说明书")</f>
        <v>世纪游轮:首次公开发行股票招股说明书</v>
      </c>
      <c r="D1824" t="s">
        <v>8189</v>
      </c>
      <c r="E1824" t="s">
        <v>5715</v>
      </c>
      <c r="F1824" t="s">
        <v>399</v>
      </c>
    </row>
    <row r="1825" spans="1:6" x14ac:dyDescent="0.15">
      <c r="A1825" s="1">
        <v>40592</v>
      </c>
      <c r="B1825" t="s">
        <v>3694</v>
      </c>
      <c r="C1825" s="2" t="str">
        <f>HYPERLINK("http://snap.windin.com/ns/bulletin.php?id=1303145&amp;type=1", "百润股份:首发招股说明书（申报稿）")</f>
        <v>百润股份:首发招股说明书（申报稿）</v>
      </c>
      <c r="D1825" t="s">
        <v>8190</v>
      </c>
      <c r="E1825" t="s">
        <v>5682</v>
      </c>
      <c r="F1825" t="s">
        <v>5513</v>
      </c>
    </row>
    <row r="1826" spans="1:6" x14ac:dyDescent="0.15">
      <c r="A1826" s="1">
        <v>40592</v>
      </c>
      <c r="B1826" t="s">
        <v>3724</v>
      </c>
      <c r="C1826" s="2" t="str">
        <f>HYPERLINK("http://snap.windin.com/ns/bulletin.php?id=1828721&amp;type=1", "洽洽食品:首次公开发行股票招股说明书")</f>
        <v>洽洽食品:首次公开发行股票招股说明书</v>
      </c>
      <c r="D1826" t="s">
        <v>8191</v>
      </c>
      <c r="E1826" t="s">
        <v>5716</v>
      </c>
      <c r="F1826" t="s">
        <v>399</v>
      </c>
    </row>
    <row r="1827" spans="1:6" x14ac:dyDescent="0.15">
      <c r="A1827" s="1">
        <v>40592</v>
      </c>
      <c r="B1827" t="s">
        <v>3725</v>
      </c>
      <c r="C1827" s="2" t="str">
        <f>HYPERLINK("http://snap.windin.com/ns/bulletin.php?id=737459&amp;type=1", "顺荣股份:首次公开发行股票招股说明书")</f>
        <v>顺荣股份:首次公开发行股票招股说明书</v>
      </c>
      <c r="D1827" t="s">
        <v>8192</v>
      </c>
      <c r="E1827" t="s">
        <v>5717</v>
      </c>
      <c r="F1827" t="s">
        <v>399</v>
      </c>
    </row>
    <row r="1828" spans="1:6" x14ac:dyDescent="0.15">
      <c r="A1828" s="1">
        <v>40591</v>
      </c>
      <c r="B1828" t="s">
        <v>3726</v>
      </c>
      <c r="C1828" s="2" t="str">
        <f>HYPERLINK("http://snap.windin.com/ns/bulletin.php?id=462156&amp;type=1", "德勤股份:首发招股说明书（申报稿）")</f>
        <v>德勤股份:首发招股说明书（申报稿）</v>
      </c>
      <c r="D1828" t="s">
        <v>8193</v>
      </c>
      <c r="E1828" t="s">
        <v>5718</v>
      </c>
      <c r="F1828" t="s">
        <v>5513</v>
      </c>
    </row>
    <row r="1829" spans="1:6" x14ac:dyDescent="0.15">
      <c r="A1829" s="1">
        <v>40591</v>
      </c>
      <c r="B1829" t="s">
        <v>3702</v>
      </c>
      <c r="C1829" s="2" t="str">
        <f>HYPERLINK("http://snap.windin.com/ns/bulletin.php?id=1582976&amp;type=1", "益盛药业:首次公开发行股票招股说明书（申报稿）")</f>
        <v>益盛药业:首次公开发行股票招股说明书（申报稿）</v>
      </c>
      <c r="D1829" t="s">
        <v>8194</v>
      </c>
      <c r="E1829" t="s">
        <v>5690</v>
      </c>
      <c r="F1829" t="s">
        <v>5452</v>
      </c>
    </row>
    <row r="1830" spans="1:6" x14ac:dyDescent="0.15">
      <c r="A1830" s="1">
        <v>40589</v>
      </c>
      <c r="B1830" t="s">
        <v>3727</v>
      </c>
      <c r="C1830" s="2" t="str">
        <f>HYPERLINK("http://snap.windin.com/ns/bulletin.php?id=2127804&amp;type=1", "惠博普:首次公开发行股票招股说明书")</f>
        <v>惠博普:首次公开发行股票招股说明书</v>
      </c>
      <c r="D1830" t="s">
        <v>8195</v>
      </c>
      <c r="E1830" t="s">
        <v>5719</v>
      </c>
      <c r="F1830" t="s">
        <v>399</v>
      </c>
    </row>
    <row r="1831" spans="1:6" x14ac:dyDescent="0.15">
      <c r="A1831" s="1">
        <v>40589</v>
      </c>
      <c r="B1831" t="s">
        <v>3728</v>
      </c>
      <c r="C1831" s="2" t="str">
        <f>HYPERLINK("http://snap.windin.com/ns/bulletin.php?id=1364405&amp;type=1", "南方轴承:首次公开发行股票招股说明书")</f>
        <v>南方轴承:首次公开发行股票招股说明书</v>
      </c>
      <c r="D1831" t="s">
        <v>8196</v>
      </c>
      <c r="E1831" t="s">
        <v>5720</v>
      </c>
      <c r="F1831" t="s">
        <v>399</v>
      </c>
    </row>
    <row r="1832" spans="1:6" x14ac:dyDescent="0.15">
      <c r="A1832" s="1">
        <v>40589</v>
      </c>
      <c r="B1832" t="s">
        <v>3729</v>
      </c>
      <c r="C1832" s="2" t="str">
        <f>HYPERLINK("http://snap.windin.com/ns/bulletin.php?id=590190&amp;type=1", "尚荣医疗:首次公开发行股票招股说明书")</f>
        <v>尚荣医疗:首次公开发行股票招股说明书</v>
      </c>
      <c r="D1832" t="s">
        <v>8197</v>
      </c>
      <c r="E1832" t="s">
        <v>5721</v>
      </c>
      <c r="F1832" t="s">
        <v>399</v>
      </c>
    </row>
    <row r="1833" spans="1:6" x14ac:dyDescent="0.15">
      <c r="A1833" s="1">
        <v>40589</v>
      </c>
      <c r="B1833" t="s">
        <v>3730</v>
      </c>
      <c r="C1833" s="2" t="str">
        <f>HYPERLINK("http://snap.windin.com/ns/bulletin.php?id=1150539&amp;type=1", "宝鼎重工:首次公开发行股票招股说明书")</f>
        <v>宝鼎重工:首次公开发行股票招股说明书</v>
      </c>
      <c r="D1833" t="s">
        <v>8198</v>
      </c>
      <c r="E1833" t="s">
        <v>5722</v>
      </c>
      <c r="F1833" t="s">
        <v>399</v>
      </c>
    </row>
    <row r="1834" spans="1:6" x14ac:dyDescent="0.15">
      <c r="A1834" s="1">
        <v>40583</v>
      </c>
      <c r="B1834" t="s">
        <v>3731</v>
      </c>
      <c r="C1834" s="2" t="str">
        <f>HYPERLINK("http://snap.windin.com/ns/bulletin.php?id=1979187&amp;type=1", "捷成股份:首次公开发行股票并在创业板上市招股说明书")</f>
        <v>捷成股份:首次公开发行股票并在创业板上市招股说明书</v>
      </c>
      <c r="D1834" t="s">
        <v>8199</v>
      </c>
      <c r="E1834" t="s">
        <v>5723</v>
      </c>
      <c r="F1834" t="s">
        <v>455</v>
      </c>
    </row>
    <row r="1835" spans="1:6" x14ac:dyDescent="0.15">
      <c r="A1835" s="1">
        <v>40583</v>
      </c>
      <c r="B1835" t="s">
        <v>3732</v>
      </c>
      <c r="C1835" s="2" t="str">
        <f>HYPERLINK("http://snap.windin.com/ns/bulletin.php?id=1551917&amp;type=1", "佐力药业:首次公开发行股票并在创业板上市招股说明书")</f>
        <v>佐力药业:首次公开发行股票并在创业板上市招股说明书</v>
      </c>
      <c r="D1835" t="s">
        <v>8200</v>
      </c>
      <c r="E1835" t="s">
        <v>5724</v>
      </c>
      <c r="F1835" t="s">
        <v>455</v>
      </c>
    </row>
    <row r="1836" spans="1:6" x14ac:dyDescent="0.15">
      <c r="A1836" s="1">
        <v>40583</v>
      </c>
      <c r="B1836" t="s">
        <v>3733</v>
      </c>
      <c r="C1836" s="2" t="str">
        <f>HYPERLINK("http://snap.windin.com/ns/bulletin.php?id=1043699&amp;type=1", "东软载波:首次公开发行股票并在创业板上市招股说明书")</f>
        <v>东软载波:首次公开发行股票并在创业板上市招股说明书</v>
      </c>
      <c r="D1836" t="s">
        <v>8201</v>
      </c>
      <c r="E1836" t="s">
        <v>5725</v>
      </c>
      <c r="F1836" t="s">
        <v>455</v>
      </c>
    </row>
    <row r="1837" spans="1:6" x14ac:dyDescent="0.15">
      <c r="A1837" s="1">
        <v>40583</v>
      </c>
      <c r="B1837" t="s">
        <v>3734</v>
      </c>
      <c r="C1837" s="2" t="str">
        <f>HYPERLINK("http://snap.windin.com/ns/bulletin.php?id=857273&amp;type=1", "力源信息:首次公开发行股票并在创业板上市招股说明书")</f>
        <v>力源信息:首次公开发行股票并在创业板上市招股说明书</v>
      </c>
      <c r="D1837" t="s">
        <v>8202</v>
      </c>
      <c r="E1837" t="s">
        <v>5726</v>
      </c>
      <c r="F1837" t="s">
        <v>455</v>
      </c>
    </row>
    <row r="1838" spans="1:6" x14ac:dyDescent="0.15">
      <c r="A1838" s="1">
        <v>40583</v>
      </c>
      <c r="B1838" t="s">
        <v>3735</v>
      </c>
      <c r="C1838" s="2" t="str">
        <f>HYPERLINK("http://snap.windin.com/ns/bulletin.php?id=962625&amp;type=1", "华峰超纤:首次公开发行股票并在创业板上市招股说明书")</f>
        <v>华峰超纤:首次公开发行股票并在创业板上市招股说明书</v>
      </c>
      <c r="D1838" t="s">
        <v>8203</v>
      </c>
      <c r="E1838" t="s">
        <v>5727</v>
      </c>
      <c r="F1838" t="s">
        <v>455</v>
      </c>
    </row>
    <row r="1839" spans="1:6" x14ac:dyDescent="0.15">
      <c r="A1839" s="1">
        <v>40575</v>
      </c>
      <c r="B1839" t="s">
        <v>3736</v>
      </c>
      <c r="C1839" s="2" t="str">
        <f>HYPERLINK("http://snap.windin.com/ns/bulletin.php?id=1754359&amp;type=1", "金新农:首次公开发行股票招股说明书")</f>
        <v>金新农:首次公开发行股票招股说明书</v>
      </c>
      <c r="D1839" t="s">
        <v>8204</v>
      </c>
      <c r="E1839" t="s">
        <v>5728</v>
      </c>
      <c r="F1839" t="s">
        <v>399</v>
      </c>
    </row>
    <row r="1840" spans="1:6" x14ac:dyDescent="0.15">
      <c r="A1840" s="1">
        <v>40575</v>
      </c>
      <c r="B1840" t="s">
        <v>3737</v>
      </c>
      <c r="C1840" s="2" t="str">
        <f>HYPERLINK("http://snap.windin.com/ns/bulletin.php?id=162256&amp;type=1", "春兴精工:首次公开发行股票招股说明书")</f>
        <v>春兴精工:首次公开发行股票招股说明书</v>
      </c>
      <c r="D1840" t="s">
        <v>8205</v>
      </c>
      <c r="E1840" t="s">
        <v>5729</v>
      </c>
      <c r="F1840" t="s">
        <v>399</v>
      </c>
    </row>
    <row r="1841" spans="1:6" x14ac:dyDescent="0.15">
      <c r="A1841" s="1">
        <v>40575</v>
      </c>
      <c r="B1841" t="s">
        <v>3738</v>
      </c>
      <c r="C1841" s="2" t="str">
        <f>HYPERLINK("http://snap.windin.com/ns/bulletin.php?id=110361&amp;type=1", "凯美特气:首次公开发行股票招股说明书")</f>
        <v>凯美特气:首次公开发行股票招股说明书</v>
      </c>
      <c r="D1841" t="s">
        <v>8206</v>
      </c>
      <c r="E1841" t="s">
        <v>5730</v>
      </c>
      <c r="F1841" t="s">
        <v>399</v>
      </c>
    </row>
    <row r="1842" spans="1:6" x14ac:dyDescent="0.15">
      <c r="A1842" s="1">
        <v>40575</v>
      </c>
      <c r="B1842" t="s">
        <v>3739</v>
      </c>
      <c r="C1842" s="2" t="str">
        <f>HYPERLINK("http://snap.windin.com/ns/bulletin.php?id=230824&amp;type=1", "千红制药:首次公开发行股票招股说明书")</f>
        <v>千红制药:首次公开发行股票招股说明书</v>
      </c>
      <c r="D1842" t="s">
        <v>8207</v>
      </c>
      <c r="E1842" t="s">
        <v>5731</v>
      </c>
      <c r="F1842" t="s">
        <v>399</v>
      </c>
    </row>
    <row r="1843" spans="1:6" x14ac:dyDescent="0.15">
      <c r="A1843" s="1">
        <v>40574</v>
      </c>
      <c r="B1843" t="s">
        <v>3713</v>
      </c>
      <c r="C1843" s="2" t="str">
        <f>HYPERLINK("http://snap.windin.com/ns/bulletin.php?id=1322380&amp;type=1", "金隅股份:首次公开发行A股招股说明书暨换股吸收合并河北太行水泥股份有限公司报告书")</f>
        <v>金隅股份:首次公开发行A股招股说明书暨换股吸收合并河北太行水泥股份有限公司报告书</v>
      </c>
      <c r="D1843" t="s">
        <v>8208</v>
      </c>
      <c r="E1843" t="s">
        <v>5701</v>
      </c>
      <c r="F1843" t="s">
        <v>5702</v>
      </c>
    </row>
    <row r="1844" spans="1:6" x14ac:dyDescent="0.15">
      <c r="A1844" s="1">
        <v>40574</v>
      </c>
      <c r="B1844" t="s">
        <v>3740</v>
      </c>
      <c r="C1844" s="2" t="str">
        <f>HYPERLINK("http://snap.windin.com/ns/bulletin.php?id=471014&amp;type=1", "星宇股份:首次公开发行股票招股说明书")</f>
        <v>星宇股份:首次公开发行股票招股说明书</v>
      </c>
      <c r="D1844" t="s">
        <v>8209</v>
      </c>
      <c r="E1844" t="s">
        <v>5732</v>
      </c>
      <c r="F1844" t="s">
        <v>399</v>
      </c>
    </row>
    <row r="1845" spans="1:6" x14ac:dyDescent="0.15">
      <c r="A1845" s="1">
        <v>40574</v>
      </c>
      <c r="B1845" t="s">
        <v>3713</v>
      </c>
      <c r="C1845" s="2" t="str">
        <f>HYPERLINK("http://snap.windin.com/ns/bulletin.php?id=1922274&amp;type=1", "金隅股份:首次公开发行A股招股说明书暨换股吸收合并河北太行水泥股份有限公司报告书附录三")</f>
        <v>金隅股份:首次公开发行A股招股说明书暨换股吸收合并河北太行水泥股份有限公司报告书附录三</v>
      </c>
      <c r="D1845" t="s">
        <v>8210</v>
      </c>
      <c r="E1845" t="s">
        <v>5701</v>
      </c>
      <c r="F1845" t="s">
        <v>5733</v>
      </c>
    </row>
    <row r="1846" spans="1:6" x14ac:dyDescent="0.15">
      <c r="A1846" s="1">
        <v>40574</v>
      </c>
      <c r="B1846" t="s">
        <v>3741</v>
      </c>
      <c r="C1846" s="2" t="str">
        <f>HYPERLINK("http://snap.windin.com/ns/bulletin.php?id=1900847&amp;type=1", "广电电气:首次公开发行股票招股说明书")</f>
        <v>广电电气:首次公开发行股票招股说明书</v>
      </c>
      <c r="D1846" t="s">
        <v>8211</v>
      </c>
      <c r="E1846" t="s">
        <v>5734</v>
      </c>
      <c r="F1846" t="s">
        <v>399</v>
      </c>
    </row>
    <row r="1847" spans="1:6" x14ac:dyDescent="0.15">
      <c r="A1847" s="1">
        <v>40574</v>
      </c>
      <c r="B1847" t="s">
        <v>3713</v>
      </c>
      <c r="C1847" s="2" t="str">
        <f>HYPERLINK("http://snap.windin.com/ns/bulletin.php?id=574371&amp;type=1", "金隅股份:首次公开发行A股招股说明书暨换股吸收合并河北太行水泥股份有限公司报告书附录二")</f>
        <v>金隅股份:首次公开发行A股招股说明书暨换股吸收合并河北太行水泥股份有限公司报告书附录二</v>
      </c>
      <c r="D1847" t="s">
        <v>8212</v>
      </c>
      <c r="E1847" t="s">
        <v>5701</v>
      </c>
      <c r="F1847" t="s">
        <v>5735</v>
      </c>
    </row>
    <row r="1848" spans="1:6" x14ac:dyDescent="0.15">
      <c r="A1848" s="1">
        <v>40574</v>
      </c>
      <c r="B1848" t="s">
        <v>3713</v>
      </c>
      <c r="C1848" s="2" t="str">
        <f>HYPERLINK("http://snap.windin.com/ns/bulletin.php?id=697665&amp;type=1", "金隅股份:首次公开发行A股招股说明书暨换股吸收合并河北太行水泥股份有限公司报告书附录一")</f>
        <v>金隅股份:首次公开发行A股招股说明书暨换股吸收合并河北太行水泥股份有限公司报告书附录一</v>
      </c>
      <c r="D1848" t="s">
        <v>8213</v>
      </c>
      <c r="E1848" t="s">
        <v>5701</v>
      </c>
      <c r="F1848" t="s">
        <v>5736</v>
      </c>
    </row>
    <row r="1849" spans="1:6" x14ac:dyDescent="0.15">
      <c r="A1849" s="1">
        <v>40570</v>
      </c>
      <c r="B1849" t="s">
        <v>3742</v>
      </c>
      <c r="C1849" s="2" t="str">
        <f>HYPERLINK("http://snap.windin.com/ns/bulletin.php?id=1148836&amp;type=1", "大智慧:首次公开发行股票招股说明书")</f>
        <v>大智慧:首次公开发行股票招股说明书</v>
      </c>
      <c r="D1849" t="s">
        <v>8214</v>
      </c>
      <c r="E1849" t="s">
        <v>5737</v>
      </c>
      <c r="F1849" t="s">
        <v>399</v>
      </c>
    </row>
    <row r="1850" spans="1:6" x14ac:dyDescent="0.15">
      <c r="A1850" s="1">
        <v>40569</v>
      </c>
      <c r="B1850" t="s">
        <v>3743</v>
      </c>
      <c r="C1850" s="2" t="str">
        <f>HYPERLINK("http://snap.windin.com/ns/bulletin.php?id=528933&amp;type=1", "中海达:首次公开发行股票并在创业板上市招股说明书")</f>
        <v>中海达:首次公开发行股票并在创业板上市招股说明书</v>
      </c>
      <c r="D1850" t="s">
        <v>8215</v>
      </c>
      <c r="E1850" t="s">
        <v>5738</v>
      </c>
      <c r="F1850" t="s">
        <v>455</v>
      </c>
    </row>
    <row r="1851" spans="1:6" x14ac:dyDescent="0.15">
      <c r="A1851" s="1">
        <v>40569</v>
      </c>
      <c r="B1851" t="s">
        <v>3744</v>
      </c>
      <c r="C1851" s="2" t="str">
        <f>HYPERLINK("http://snap.windin.com/ns/bulletin.php?id=1861451&amp;type=1", "四方达:首次公开发行股票并在创业板上市招股说明书")</f>
        <v>四方达:首次公开发行股票并在创业板上市招股说明书</v>
      </c>
      <c r="D1851" t="s">
        <v>8216</v>
      </c>
      <c r="E1851" t="s">
        <v>5739</v>
      </c>
      <c r="F1851" t="s">
        <v>455</v>
      </c>
    </row>
    <row r="1852" spans="1:6" x14ac:dyDescent="0.15">
      <c r="A1852" s="1">
        <v>40569</v>
      </c>
      <c r="B1852" t="s">
        <v>3745</v>
      </c>
      <c r="C1852" s="2" t="str">
        <f>HYPERLINK("http://snap.windin.com/ns/bulletin.php?id=1631101&amp;type=1", "腾邦国际:首次公开发行股票并在创业板上市招股说明书")</f>
        <v>腾邦国际:首次公开发行股票并在创业板上市招股说明书</v>
      </c>
      <c r="D1852" t="s">
        <v>8217</v>
      </c>
      <c r="E1852" t="s">
        <v>5740</v>
      </c>
      <c r="F1852" t="s">
        <v>455</v>
      </c>
    </row>
    <row r="1853" spans="1:6" x14ac:dyDescent="0.15">
      <c r="A1853" s="1">
        <v>40569</v>
      </c>
      <c r="B1853" t="s">
        <v>3746</v>
      </c>
      <c r="C1853" s="2" t="str">
        <f>HYPERLINK("http://snap.windin.com/ns/bulletin.php?id=603706&amp;type=1", "博威合金:首次公开发行股票招股说明书")</f>
        <v>博威合金:首次公开发行股票招股说明书</v>
      </c>
      <c r="D1853" t="s">
        <v>8218</v>
      </c>
      <c r="E1853" t="s">
        <v>5741</v>
      </c>
      <c r="F1853" t="s">
        <v>399</v>
      </c>
    </row>
    <row r="1854" spans="1:6" x14ac:dyDescent="0.15">
      <c r="A1854" s="1">
        <v>40569</v>
      </c>
      <c r="B1854" t="s">
        <v>3747</v>
      </c>
      <c r="C1854" s="2" t="str">
        <f>HYPERLINK("http://snap.windin.com/ns/bulletin.php?id=574002&amp;type=1", "鸿特精密:首次公开发行股票并在创业板上市招股说明书")</f>
        <v>鸿特精密:首次公开发行股票并在创业板上市招股说明书</v>
      </c>
      <c r="D1854" t="s">
        <v>8219</v>
      </c>
      <c r="E1854" t="s">
        <v>5742</v>
      </c>
      <c r="F1854" t="s">
        <v>455</v>
      </c>
    </row>
    <row r="1855" spans="1:6" x14ac:dyDescent="0.15">
      <c r="A1855" s="1">
        <v>40569</v>
      </c>
      <c r="B1855" t="s">
        <v>3748</v>
      </c>
      <c r="C1855" s="2" t="str">
        <f>HYPERLINK("http://snap.windin.com/ns/bulletin.php?id=911402&amp;type=1", "朗源股份:首次公开发行股票并在创业板上市招股说明书")</f>
        <v>朗源股份:首次公开发行股票并在创业板上市招股说明书</v>
      </c>
      <c r="D1855" t="s">
        <v>8220</v>
      </c>
      <c r="E1855" t="s">
        <v>5743</v>
      </c>
      <c r="F1855" t="s">
        <v>455</v>
      </c>
    </row>
    <row r="1856" spans="1:6" x14ac:dyDescent="0.15">
      <c r="A1856" s="1">
        <v>40567</v>
      </c>
      <c r="B1856" t="s">
        <v>3749</v>
      </c>
      <c r="C1856" s="2" t="str">
        <f>HYPERLINK("http://snap.windin.com/ns/bulletin.php?id=1809488&amp;type=1", "新联电子:首次公开发行股票招股说明书")</f>
        <v>新联电子:首次公开发行股票招股说明书</v>
      </c>
      <c r="D1856" t="s">
        <v>8221</v>
      </c>
      <c r="E1856" t="s">
        <v>5744</v>
      </c>
      <c r="F1856" t="s">
        <v>399</v>
      </c>
    </row>
    <row r="1857" spans="1:6" x14ac:dyDescent="0.15">
      <c r="A1857" s="1">
        <v>40567</v>
      </c>
      <c r="B1857" t="s">
        <v>3750</v>
      </c>
      <c r="C1857" s="2" t="str">
        <f>HYPERLINK("http://snap.windin.com/ns/bulletin.php?id=1271601&amp;type=1", "东方铁塔:首次公开发行股票招股说明书")</f>
        <v>东方铁塔:首次公开发行股票招股说明书</v>
      </c>
      <c r="D1857" t="s">
        <v>8222</v>
      </c>
      <c r="E1857" t="s">
        <v>5745</v>
      </c>
      <c r="F1857" t="s">
        <v>399</v>
      </c>
    </row>
    <row r="1858" spans="1:6" x14ac:dyDescent="0.15">
      <c r="A1858" s="1">
        <v>40564</v>
      </c>
      <c r="B1858" t="s">
        <v>3751</v>
      </c>
      <c r="C1858" s="2" t="str">
        <f>HYPERLINK("http://snap.windin.com/ns/bulletin.php?id=1718689&amp;type=1", "中电环保:首次公开发行股票并在创业板上市招股说明书")</f>
        <v>中电环保:首次公开发行股票并在创业板上市招股说明书</v>
      </c>
      <c r="D1858" t="s">
        <v>8223</v>
      </c>
      <c r="E1858" t="s">
        <v>5746</v>
      </c>
      <c r="F1858" t="s">
        <v>455</v>
      </c>
    </row>
    <row r="1859" spans="1:6" x14ac:dyDescent="0.15">
      <c r="A1859" s="1">
        <v>40564</v>
      </c>
      <c r="B1859" t="s">
        <v>3752</v>
      </c>
      <c r="C1859" s="2" t="str">
        <f>HYPERLINK("http://snap.windin.com/ns/bulletin.php?id=1683132&amp;type=1", "元力股份:首次公开发行股票并在创业板上市招股说明书")</f>
        <v>元力股份:首次公开发行股票并在创业板上市招股说明书</v>
      </c>
      <c r="D1859" t="s">
        <v>8224</v>
      </c>
      <c r="E1859" t="s">
        <v>5747</v>
      </c>
      <c r="F1859" t="s">
        <v>455</v>
      </c>
    </row>
    <row r="1860" spans="1:6" x14ac:dyDescent="0.15">
      <c r="A1860" s="1">
        <v>40564</v>
      </c>
      <c r="B1860" t="s">
        <v>3709</v>
      </c>
      <c r="C1860" s="2" t="str">
        <f>HYPERLINK("http://snap.windin.com/ns/bulletin.php?id=1690347&amp;type=1", "兄弟科技:首发招股说明书（申报稿）")</f>
        <v>兄弟科技:首发招股说明书（申报稿）</v>
      </c>
      <c r="D1860" t="s">
        <v>8225</v>
      </c>
      <c r="E1860" t="s">
        <v>5697</v>
      </c>
      <c r="F1860" t="s">
        <v>5513</v>
      </c>
    </row>
    <row r="1861" spans="1:6" x14ac:dyDescent="0.15">
      <c r="A1861" s="1">
        <v>40564</v>
      </c>
      <c r="B1861" t="s">
        <v>3711</v>
      </c>
      <c r="C1861" s="2" t="str">
        <f>HYPERLINK("http://snap.windin.com/ns/bulletin.php?id=99862&amp;type=1", "张化机:首发招股说明书（申报稿）")</f>
        <v>张化机:首发招股说明书（申报稿）</v>
      </c>
      <c r="D1861" t="s">
        <v>8226</v>
      </c>
      <c r="E1861" t="s">
        <v>5699</v>
      </c>
      <c r="F1861" t="s">
        <v>5513</v>
      </c>
    </row>
    <row r="1862" spans="1:6" x14ac:dyDescent="0.15">
      <c r="A1862" s="1">
        <v>40564</v>
      </c>
      <c r="B1862" t="s">
        <v>3753</v>
      </c>
      <c r="C1862" s="2" t="str">
        <f>HYPERLINK("http://snap.windin.com/ns/bulletin.php?id=106937&amp;type=1", "东富龙:首次公开发行股票并在创业板上市招股说明书")</f>
        <v>东富龙:首次公开发行股票并在创业板上市招股说明书</v>
      </c>
      <c r="D1862" t="s">
        <v>8227</v>
      </c>
      <c r="E1862" t="s">
        <v>5748</v>
      </c>
      <c r="F1862" t="s">
        <v>455</v>
      </c>
    </row>
    <row r="1863" spans="1:6" x14ac:dyDescent="0.15">
      <c r="A1863" s="1">
        <v>40564</v>
      </c>
      <c r="B1863" t="s">
        <v>3683</v>
      </c>
      <c r="C1863" s="2" t="str">
        <f>HYPERLINK("http://snap.windin.com/ns/bulletin.php?id=227891&amp;type=1", "德力股份:首发招股说明书（申报稿）")</f>
        <v>德力股份:首发招股说明书（申报稿）</v>
      </c>
      <c r="D1863" t="s">
        <v>8228</v>
      </c>
      <c r="E1863" t="s">
        <v>5670</v>
      </c>
      <c r="F1863" t="s">
        <v>5513</v>
      </c>
    </row>
    <row r="1864" spans="1:6" x14ac:dyDescent="0.15">
      <c r="A1864" s="1">
        <v>40564</v>
      </c>
      <c r="B1864" t="s">
        <v>3687</v>
      </c>
      <c r="C1864" s="2" t="str">
        <f>HYPERLINK("http://snap.windin.com/ns/bulletin.php?id=503344&amp;type=1", "翰宇药业:创业板首发招股说明书（申报稿）")</f>
        <v>翰宇药业:创业板首发招股说明书（申报稿）</v>
      </c>
      <c r="D1864" t="s">
        <v>8229</v>
      </c>
      <c r="E1864" t="s">
        <v>5675</v>
      </c>
      <c r="F1864" t="s">
        <v>5450</v>
      </c>
    </row>
    <row r="1865" spans="1:6" x14ac:dyDescent="0.15">
      <c r="A1865" s="1">
        <v>40564</v>
      </c>
      <c r="B1865" t="s">
        <v>3689</v>
      </c>
      <c r="C1865" s="2" t="str">
        <f>HYPERLINK("http://snap.windin.com/ns/bulletin.php?id=756727&amp;type=1", "高盟新材:创业板首发招股说明书（申报稿）")</f>
        <v>高盟新材:创业板首发招股说明书（申报稿）</v>
      </c>
      <c r="D1865" t="s">
        <v>8230</v>
      </c>
      <c r="E1865" t="s">
        <v>5677</v>
      </c>
      <c r="F1865" t="s">
        <v>5450</v>
      </c>
    </row>
    <row r="1866" spans="1:6" x14ac:dyDescent="0.15">
      <c r="A1866" s="1">
        <v>40564</v>
      </c>
      <c r="B1866" t="s">
        <v>3754</v>
      </c>
      <c r="C1866" s="2" t="str">
        <f>HYPERLINK("http://snap.windin.com/ns/bulletin.php?id=1274624&amp;type=1", "汉得信息:首次公开发行股票并在创业板上市招股说明书")</f>
        <v>汉得信息:首次公开发行股票并在创业板上市招股说明书</v>
      </c>
      <c r="D1866" t="s">
        <v>8231</v>
      </c>
      <c r="E1866" t="s">
        <v>5749</v>
      </c>
      <c r="F1866" t="s">
        <v>455</v>
      </c>
    </row>
    <row r="1867" spans="1:6" x14ac:dyDescent="0.15">
      <c r="A1867" s="1">
        <v>40564</v>
      </c>
      <c r="B1867" t="s">
        <v>3755</v>
      </c>
      <c r="C1867" s="2" t="str">
        <f>HYPERLINK("http://snap.windin.com/ns/bulletin.php?id=879349&amp;type=1", "松德股份:首次公开发行股票并在创业板上市招股说明书")</f>
        <v>松德股份:首次公开发行股票并在创业板上市招股说明书</v>
      </c>
      <c r="D1867" t="s">
        <v>8232</v>
      </c>
      <c r="E1867" t="s">
        <v>5750</v>
      </c>
      <c r="F1867" t="s">
        <v>455</v>
      </c>
    </row>
    <row r="1868" spans="1:6" x14ac:dyDescent="0.15">
      <c r="A1868" s="1">
        <v>40563</v>
      </c>
      <c r="B1868" t="s">
        <v>3710</v>
      </c>
      <c r="C1868" s="2" t="str">
        <f>HYPERLINK("http://snap.windin.com/ns/bulletin.php?id=121047&amp;type=1", "森马服饰:首发招股说明书（申报稿）")</f>
        <v>森马服饰:首发招股说明书（申报稿）</v>
      </c>
      <c r="D1868" t="s">
        <v>8233</v>
      </c>
      <c r="E1868" t="s">
        <v>5698</v>
      </c>
      <c r="F1868" t="s">
        <v>5513</v>
      </c>
    </row>
    <row r="1869" spans="1:6" x14ac:dyDescent="0.15">
      <c r="A1869" s="1">
        <v>40563</v>
      </c>
      <c r="B1869" t="s">
        <v>3693</v>
      </c>
      <c r="C1869" s="2" t="str">
        <f>HYPERLINK("http://snap.windin.com/ns/bulletin.php?id=75341&amp;type=1", "江南水务:首发招股说明书（申报稿）")</f>
        <v>江南水务:首发招股说明书（申报稿）</v>
      </c>
      <c r="D1869" t="s">
        <v>8234</v>
      </c>
      <c r="E1869" t="s">
        <v>5681</v>
      </c>
      <c r="F1869" t="s">
        <v>5513</v>
      </c>
    </row>
    <row r="1870" spans="1:6" x14ac:dyDescent="0.15">
      <c r="A1870" s="1">
        <v>40563</v>
      </c>
      <c r="B1870" t="s">
        <v>372</v>
      </c>
      <c r="C1870" s="2" t="str">
        <f>HYPERLINK("http://snap.windin.com/ns/bulletin.php?id=2021416&amp;type=1", "日科化学:创业板首发招股说明书（申报稿）")</f>
        <v>日科化学:创业板首发招股说明书（申报稿）</v>
      </c>
      <c r="D1870" t="s">
        <v>8235</v>
      </c>
      <c r="E1870" t="s">
        <v>869</v>
      </c>
      <c r="F1870" t="s">
        <v>5450</v>
      </c>
    </row>
    <row r="1871" spans="1:6" x14ac:dyDescent="0.15">
      <c r="A1871" s="1">
        <v>40563</v>
      </c>
      <c r="B1871" t="s">
        <v>3679</v>
      </c>
      <c r="C1871" s="2" t="str">
        <f>HYPERLINK("http://snap.windin.com/ns/bulletin.php?id=1815641&amp;type=1", "舒泰神:（北京）生物制药股份有限公司创业板首发招股说明书（申报稿）")</f>
        <v>舒泰神:（北京）生物制药股份有限公司创业板首发招股说明书（申报稿）</v>
      </c>
      <c r="D1871" t="s">
        <v>8236</v>
      </c>
      <c r="E1871" t="s">
        <v>5666</v>
      </c>
      <c r="F1871" t="s">
        <v>5751</v>
      </c>
    </row>
    <row r="1872" spans="1:6" x14ac:dyDescent="0.15">
      <c r="A1872" s="1">
        <v>40561</v>
      </c>
      <c r="B1872" t="s">
        <v>3756</v>
      </c>
      <c r="C1872" s="2" t="str">
        <f>HYPERLINK("http://snap.windin.com/ns/bulletin.php?id=1609099&amp;type=1", "万和电气:首次公开发行股票招股说明书")</f>
        <v>万和电气:首次公开发行股票招股说明书</v>
      </c>
      <c r="D1872" t="s">
        <v>8237</v>
      </c>
      <c r="E1872" t="s">
        <v>5752</v>
      </c>
      <c r="F1872" t="s">
        <v>399</v>
      </c>
    </row>
    <row r="1873" spans="1:6" x14ac:dyDescent="0.15">
      <c r="A1873" s="1">
        <v>40561</v>
      </c>
      <c r="B1873" t="s">
        <v>3757</v>
      </c>
      <c r="C1873" s="2" t="str">
        <f>HYPERLINK("http://snap.windin.com/ns/bulletin.php?id=574972&amp;type=1", "杰赛科技:首次公开发行股票招股说明书")</f>
        <v>杰赛科技:首次公开发行股票招股说明书</v>
      </c>
      <c r="D1873" t="s">
        <v>8238</v>
      </c>
      <c r="E1873" t="s">
        <v>5753</v>
      </c>
      <c r="F1873" t="s">
        <v>399</v>
      </c>
    </row>
    <row r="1874" spans="1:6" x14ac:dyDescent="0.15">
      <c r="A1874" s="1">
        <v>40561</v>
      </c>
      <c r="B1874" t="s">
        <v>3758</v>
      </c>
      <c r="C1874" s="2" t="str">
        <f>HYPERLINK("http://snap.windin.com/ns/bulletin.php?id=918754&amp;type=1", "中化岩土:首次公开发行股票招股说明书")</f>
        <v>中化岩土:首次公开发行股票招股说明书</v>
      </c>
      <c r="D1874" t="s">
        <v>8239</v>
      </c>
      <c r="E1874" t="s">
        <v>5754</v>
      </c>
      <c r="F1874" t="s">
        <v>399</v>
      </c>
    </row>
    <row r="1875" spans="1:6" x14ac:dyDescent="0.15">
      <c r="A1875" s="1">
        <v>40560</v>
      </c>
      <c r="B1875" t="s">
        <v>3713</v>
      </c>
      <c r="C1875" s="2" t="str">
        <f>HYPERLINK("http://snap.windin.com/ns/bulletin.php?id=161542&amp;type=1", "金隅股份:首次公开发行A股招股说明书暨换股吸收合并河北太行水泥股份有限公司报告书（申报稿）")</f>
        <v>金隅股份:首次公开发行A股招股说明书暨换股吸收合并河北太行水泥股份有限公司报告书（申报稿）</v>
      </c>
      <c r="D1875" t="s">
        <v>8240</v>
      </c>
      <c r="E1875" t="s">
        <v>5701</v>
      </c>
      <c r="F1875" t="s">
        <v>5755</v>
      </c>
    </row>
    <row r="1876" spans="1:6" x14ac:dyDescent="0.15">
      <c r="A1876" s="1">
        <v>40560</v>
      </c>
      <c r="B1876" t="s">
        <v>3759</v>
      </c>
      <c r="C1876" s="2" t="str">
        <f>HYPERLINK("http://snap.windin.com/ns/bulletin.php?id=629551&amp;type=1", "风范股份:首次公开发行股票招股说明书")</f>
        <v>风范股份:首次公开发行股票招股说明书</v>
      </c>
      <c r="D1876" t="s">
        <v>8241</v>
      </c>
      <c r="E1876" t="s">
        <v>5756</v>
      </c>
      <c r="F1876" t="s">
        <v>399</v>
      </c>
    </row>
    <row r="1877" spans="1:6" x14ac:dyDescent="0.15">
      <c r="A1877" s="1">
        <v>40557</v>
      </c>
      <c r="B1877" t="s">
        <v>3474</v>
      </c>
      <c r="C1877" s="2" t="str">
        <f>HYPERLINK("http://snap.windin.com/ns/bulletin.php?id=1770418&amp;type=1", "鹏翎胶管:创业板首发招股说明书（申报稿）")</f>
        <v>鹏翎胶管:创业板首发招股说明书（申报稿）</v>
      </c>
      <c r="D1877" t="s">
        <v>8242</v>
      </c>
      <c r="E1877" t="s">
        <v>5480</v>
      </c>
      <c r="F1877" t="s">
        <v>5450</v>
      </c>
    </row>
    <row r="1878" spans="1:6" x14ac:dyDescent="0.15">
      <c r="A1878" s="1">
        <v>40557</v>
      </c>
      <c r="B1878" t="s">
        <v>381</v>
      </c>
      <c r="C1878" s="2" t="str">
        <f>HYPERLINK("http://snap.windin.com/ns/bulletin.php?id=1357967&amp;type=1", "亿通科技:创业板首发招股说明书（申报稿）")</f>
        <v>亿通科技:创业板首发招股说明书（申报稿）</v>
      </c>
      <c r="D1878" t="s">
        <v>8243</v>
      </c>
      <c r="E1878" t="s">
        <v>879</v>
      </c>
      <c r="F1878" t="s">
        <v>5450</v>
      </c>
    </row>
    <row r="1879" spans="1:6" x14ac:dyDescent="0.15">
      <c r="A1879" s="1">
        <v>40557</v>
      </c>
      <c r="B1879" t="s">
        <v>3699</v>
      </c>
      <c r="C1879" s="2" t="str">
        <f>HYPERLINK("http://snap.windin.com/ns/bulletin.php?id=1249129&amp;type=1", "科斯伍德:创业板首发招股说明书（申报稿）")</f>
        <v>科斯伍德:创业板首发招股说明书（申报稿）</v>
      </c>
      <c r="D1879" t="s">
        <v>8244</v>
      </c>
      <c r="E1879" t="s">
        <v>5687</v>
      </c>
      <c r="F1879" t="s">
        <v>5450</v>
      </c>
    </row>
    <row r="1880" spans="1:6" x14ac:dyDescent="0.15">
      <c r="A1880" s="1">
        <v>40557</v>
      </c>
      <c r="B1880" t="s">
        <v>3706</v>
      </c>
      <c r="C1880" s="2" t="str">
        <f>HYPERLINK("http://snap.windin.com/ns/bulletin.php?id=1251553&amp;type=1", "神农大丰:创业板首发招股说明书（申报稿）")</f>
        <v>神农大丰:创业板首发招股说明书（申报稿）</v>
      </c>
      <c r="D1880" t="s">
        <v>8245</v>
      </c>
      <c r="E1880" t="s">
        <v>5695</v>
      </c>
      <c r="F1880" t="s">
        <v>5450</v>
      </c>
    </row>
    <row r="1881" spans="1:6" x14ac:dyDescent="0.15">
      <c r="A1881" s="1">
        <v>40556</v>
      </c>
      <c r="B1881" t="s">
        <v>3760</v>
      </c>
      <c r="C1881" s="2" t="str">
        <f>HYPERLINK("http://snap.windin.com/ns/bulletin.php?id=198121&amp;type=1", "东方国信:首次公开发行股票并在创业板上市招股说明书")</f>
        <v>东方国信:首次公开发行股票并在创业板上市招股说明书</v>
      </c>
      <c r="D1881" t="s">
        <v>8246</v>
      </c>
      <c r="E1881" t="s">
        <v>5757</v>
      </c>
      <c r="F1881" t="s">
        <v>455</v>
      </c>
    </row>
    <row r="1882" spans="1:6" x14ac:dyDescent="0.15">
      <c r="A1882" s="1">
        <v>40556</v>
      </c>
      <c r="B1882" t="s">
        <v>3761</v>
      </c>
      <c r="C1882" s="2" t="str">
        <f>HYPERLINK("http://snap.windin.com/ns/bulletin.php?id=179483&amp;type=1", "万达信息:首次公开发行股票并在创业板上市招股说明书")</f>
        <v>万达信息:首次公开发行股票并在创业板上市招股说明书</v>
      </c>
      <c r="D1882" t="s">
        <v>8247</v>
      </c>
      <c r="E1882" t="s">
        <v>5758</v>
      </c>
      <c r="F1882" t="s">
        <v>455</v>
      </c>
    </row>
    <row r="1883" spans="1:6" x14ac:dyDescent="0.15">
      <c r="A1883" s="1">
        <v>40556</v>
      </c>
      <c r="B1883" t="s">
        <v>3762</v>
      </c>
      <c r="C1883" s="2" t="str">
        <f>HYPERLINK("http://snap.windin.com/ns/bulletin.php?id=1413004&amp;type=1", "迪威视讯:首次公开发行股票并在创业板上市招股说明书")</f>
        <v>迪威视讯:首次公开发行股票并在创业板上市招股说明书</v>
      </c>
      <c r="D1883" t="s">
        <v>8248</v>
      </c>
      <c r="E1883" t="s">
        <v>5759</v>
      </c>
      <c r="F1883" t="s">
        <v>455</v>
      </c>
    </row>
    <row r="1884" spans="1:6" x14ac:dyDescent="0.15">
      <c r="A1884" s="1">
        <v>40556</v>
      </c>
      <c r="B1884" t="s">
        <v>3763</v>
      </c>
      <c r="C1884" s="2" t="str">
        <f>HYPERLINK("http://snap.windin.com/ns/bulletin.php?id=2025377&amp;type=1", "天晟新材:首次公开发行股票并在创业板上市招股说明书")</f>
        <v>天晟新材:首次公开发行股票并在创业板上市招股说明书</v>
      </c>
      <c r="D1884" t="s">
        <v>8249</v>
      </c>
      <c r="E1884" t="s">
        <v>5760</v>
      </c>
      <c r="F1884" t="s">
        <v>455</v>
      </c>
    </row>
    <row r="1885" spans="1:6" x14ac:dyDescent="0.15">
      <c r="A1885" s="1">
        <v>40556</v>
      </c>
      <c r="B1885" t="s">
        <v>3661</v>
      </c>
      <c r="C1885" s="2" t="str">
        <f>HYPERLINK("http://snap.windin.com/ns/bulletin.php?id=1877949&amp;type=1", "雷柏科技:首次公开发行股票招股说明书 (申报稿)")</f>
        <v>雷柏科技:首次公开发行股票招股说明书 (申报稿)</v>
      </c>
      <c r="D1885" t="s">
        <v>8250</v>
      </c>
      <c r="E1885" t="s">
        <v>5650</v>
      </c>
      <c r="F1885" t="s">
        <v>5761</v>
      </c>
    </row>
    <row r="1886" spans="1:6" x14ac:dyDescent="0.15">
      <c r="A1886" s="1">
        <v>40556</v>
      </c>
      <c r="B1886" t="s">
        <v>3764</v>
      </c>
      <c r="C1886" s="2" t="str">
        <f>HYPERLINK("http://snap.windin.com/ns/bulletin.php?id=1070402&amp;type=1", "天瑞仪器:首次公开发行股票并在创业板上市招股说明书")</f>
        <v>天瑞仪器:首次公开发行股票并在创业板上市招股说明书</v>
      </c>
      <c r="D1886" t="s">
        <v>8251</v>
      </c>
      <c r="E1886" t="s">
        <v>5762</v>
      </c>
      <c r="F1886" t="s">
        <v>455</v>
      </c>
    </row>
    <row r="1887" spans="1:6" x14ac:dyDescent="0.15">
      <c r="A1887" s="1">
        <v>40556</v>
      </c>
      <c r="B1887" t="s">
        <v>3703</v>
      </c>
      <c r="C1887" s="2" t="str">
        <f>HYPERLINK("http://snap.windin.com/ns/bulletin.php?id=1129868&amp;type=1", "上海绿新:首发招股说明书（申报稿）")</f>
        <v>上海绿新:首发招股说明书（申报稿）</v>
      </c>
      <c r="D1887" t="s">
        <v>8252</v>
      </c>
      <c r="E1887" t="s">
        <v>5691</v>
      </c>
      <c r="F1887" t="s">
        <v>5513</v>
      </c>
    </row>
    <row r="1888" spans="1:6" x14ac:dyDescent="0.15">
      <c r="A1888" s="1">
        <v>40555</v>
      </c>
      <c r="B1888" t="s">
        <v>3765</v>
      </c>
      <c r="C1888" s="2" t="str">
        <f>HYPERLINK("http://snap.windin.com/ns/bulletin.php?id=2038665&amp;type=1", "华锐风电:首次公开发行A股股票招股说明书")</f>
        <v>华锐风电:首次公开发行A股股票招股说明书</v>
      </c>
      <c r="D1888" t="s">
        <v>8253</v>
      </c>
      <c r="E1888" t="s">
        <v>5763</v>
      </c>
      <c r="F1888" t="s">
        <v>462</v>
      </c>
    </row>
    <row r="1889" spans="1:6" x14ac:dyDescent="0.15">
      <c r="A1889" s="1">
        <v>40553</v>
      </c>
      <c r="B1889" t="s">
        <v>3718</v>
      </c>
      <c r="C1889" s="2" t="str">
        <f>HYPERLINK("http://snap.windin.com/ns/bulletin.php?id=1827957&amp;type=1", "通达股份:首次公开发行股票招股说明书（申报稿）")</f>
        <v>通达股份:首次公开发行股票招股说明书（申报稿）</v>
      </c>
      <c r="D1889" t="s">
        <v>8254</v>
      </c>
      <c r="E1889" t="s">
        <v>5710</v>
      </c>
      <c r="F1889" t="s">
        <v>5452</v>
      </c>
    </row>
    <row r="1890" spans="1:6" x14ac:dyDescent="0.15">
      <c r="A1890" s="1">
        <v>40553</v>
      </c>
      <c r="B1890" t="s">
        <v>3656</v>
      </c>
      <c r="C1890" s="2" t="str">
        <f>HYPERLINK("http://snap.windin.com/ns/bulletin.php?id=608002&amp;type=1", "庞大集团:首发招股说明书（申报稿）.PDF")</f>
        <v>庞大集团:首发招股说明书（申报稿）.PDF</v>
      </c>
      <c r="D1890" t="s">
        <v>8255</v>
      </c>
      <c r="E1890" t="s">
        <v>5645</v>
      </c>
      <c r="F1890" t="s">
        <v>5764</v>
      </c>
    </row>
    <row r="1891" spans="1:6" x14ac:dyDescent="0.15">
      <c r="A1891" s="1">
        <v>40553</v>
      </c>
      <c r="B1891" t="s">
        <v>3506</v>
      </c>
      <c r="C1891" s="2" t="str">
        <f>HYPERLINK("http://snap.windin.com/ns/bulletin.php?id=780980&amp;type=1", "中技股份:首次公开发行股票招股说明书（申报稿）")</f>
        <v>中技股份:首次公开发行股票招股说明书（申报稿）</v>
      </c>
      <c r="D1891" t="s">
        <v>8256</v>
      </c>
      <c r="E1891" t="s">
        <v>5502</v>
      </c>
      <c r="F1891" t="s">
        <v>5452</v>
      </c>
    </row>
    <row r="1892" spans="1:6" x14ac:dyDescent="0.15">
      <c r="A1892" s="1">
        <v>40549</v>
      </c>
      <c r="B1892" t="s">
        <v>3766</v>
      </c>
      <c r="C1892" s="2" t="str">
        <f>HYPERLINK("http://snap.windin.com/ns/bulletin.php?id=1827735&amp;type=1", "海南橡胶:首次公开发行A股股票招股说明书")</f>
        <v>海南橡胶:首次公开发行A股股票招股说明书</v>
      </c>
      <c r="D1892" t="s">
        <v>8257</v>
      </c>
      <c r="E1892" t="s">
        <v>5765</v>
      </c>
      <c r="F1892" t="s">
        <v>462</v>
      </c>
    </row>
    <row r="1893" spans="1:6" x14ac:dyDescent="0.15">
      <c r="A1893" s="1">
        <v>40549</v>
      </c>
      <c r="B1893" t="s">
        <v>3701</v>
      </c>
      <c r="C1893" s="2" t="str">
        <f>HYPERLINK("http://snap.windin.com/ns/bulletin.php?id=1811956&amp;type=1", "宝泰隆:首发招股说明书（申报稿）")</f>
        <v>宝泰隆:首发招股说明书（申报稿）</v>
      </c>
      <c r="D1893" t="s">
        <v>8258</v>
      </c>
      <c r="E1893" t="s">
        <v>5689</v>
      </c>
      <c r="F1893" t="s">
        <v>5513</v>
      </c>
    </row>
    <row r="1894" spans="1:6" x14ac:dyDescent="0.15">
      <c r="A1894" s="1">
        <v>40548</v>
      </c>
      <c r="B1894" t="s">
        <v>3767</v>
      </c>
      <c r="C1894" s="2" t="str">
        <f>HYPERLINK("http://snap.windin.com/ns/bulletin.php?id=1718512&amp;type=1", "亚太科技:首次公开发行股票招股说明书")</f>
        <v>亚太科技:首次公开发行股票招股说明书</v>
      </c>
      <c r="D1894" t="s">
        <v>8259</v>
      </c>
      <c r="E1894" t="s">
        <v>5766</v>
      </c>
      <c r="F1894" t="s">
        <v>399</v>
      </c>
    </row>
    <row r="1895" spans="1:6" x14ac:dyDescent="0.15">
      <c r="A1895" s="1">
        <v>40548</v>
      </c>
      <c r="B1895" t="s">
        <v>3768</v>
      </c>
      <c r="C1895" s="2" t="str">
        <f>HYPERLINK("http://snap.windin.com/ns/bulletin.php?id=2103751&amp;type=1", "鸿路钢构:首次公开发行股票招股说明书")</f>
        <v>鸿路钢构:首次公开发行股票招股说明书</v>
      </c>
      <c r="D1895" t="s">
        <v>8260</v>
      </c>
      <c r="E1895" t="s">
        <v>5767</v>
      </c>
      <c r="F1895" t="s">
        <v>399</v>
      </c>
    </row>
    <row r="1896" spans="1:6" x14ac:dyDescent="0.15">
      <c r="A1896" s="1">
        <v>40548</v>
      </c>
      <c r="B1896" t="s">
        <v>3769</v>
      </c>
      <c r="C1896" s="2" t="str">
        <f>HYPERLINK("http://snap.windin.com/ns/bulletin.php?id=2057198&amp;type=1", "新都化工:首次公开发行股票招股说明书")</f>
        <v>新都化工:首次公开发行股票招股说明书</v>
      </c>
      <c r="D1896" t="s">
        <v>8261</v>
      </c>
      <c r="E1896" t="s">
        <v>5768</v>
      </c>
      <c r="F1896" t="s">
        <v>399</v>
      </c>
    </row>
    <row r="1897" spans="1:6" x14ac:dyDescent="0.15">
      <c r="A1897" s="1">
        <v>40548</v>
      </c>
      <c r="B1897" t="s">
        <v>3770</v>
      </c>
      <c r="C1897" s="2" t="str">
        <f>HYPERLINK("http://snap.windin.com/ns/bulletin.php?id=1088678&amp;type=1", "司尔特:首次公开发行股票招股说明书")</f>
        <v>司尔特:首次公开发行股票招股说明书</v>
      </c>
      <c r="D1897" t="s">
        <v>8262</v>
      </c>
      <c r="E1897" t="s">
        <v>5769</v>
      </c>
      <c r="F1897" t="s">
        <v>399</v>
      </c>
    </row>
    <row r="1898" spans="1:6" x14ac:dyDescent="0.15">
      <c r="A1898" s="1">
        <v>40543</v>
      </c>
      <c r="B1898" t="s">
        <v>3705</v>
      </c>
      <c r="C1898" s="2" t="str">
        <f>HYPERLINK("http://snap.windin.com/ns/bulletin.php?id=1214783&amp;type=1", "维尔利:创业板首发招股说明书（申报稿）")</f>
        <v>维尔利:创业板首发招股说明书（申报稿）</v>
      </c>
      <c r="D1898" t="s">
        <v>8263</v>
      </c>
      <c r="E1898" t="s">
        <v>5694</v>
      </c>
      <c r="F1898" t="s">
        <v>5450</v>
      </c>
    </row>
    <row r="1899" spans="1:6" x14ac:dyDescent="0.15">
      <c r="A1899" s="1">
        <v>40543</v>
      </c>
      <c r="B1899" t="s">
        <v>3771</v>
      </c>
      <c r="C1899" s="2" t="str">
        <f>HYPERLINK("http://snap.windin.com/ns/bulletin.php?id=430155&amp;type=1", "华中数控:首次公开发行股票并在创业板上市招股说明书")</f>
        <v>华中数控:首次公开发行股票并在创业板上市招股说明书</v>
      </c>
      <c r="D1899" t="s">
        <v>8264</v>
      </c>
      <c r="E1899" t="s">
        <v>5770</v>
      </c>
      <c r="F1899" t="s">
        <v>455</v>
      </c>
    </row>
    <row r="1900" spans="1:6" x14ac:dyDescent="0.15">
      <c r="A1900" s="1">
        <v>40543</v>
      </c>
      <c r="B1900" t="s">
        <v>3772</v>
      </c>
      <c r="C1900" s="2" t="str">
        <f>HYPERLINK("http://snap.windin.com/ns/bulletin.php?id=2038670&amp;type=1", "雷曼光电:首次公开发行股票并在创业板上市招股说明书")</f>
        <v>雷曼光电:首次公开发行股票并在创业板上市招股说明书</v>
      </c>
      <c r="D1900" t="s">
        <v>8265</v>
      </c>
      <c r="E1900" t="s">
        <v>5771</v>
      </c>
      <c r="F1900" t="s">
        <v>455</v>
      </c>
    </row>
    <row r="1901" spans="1:6" x14ac:dyDescent="0.15">
      <c r="A1901" s="1">
        <v>40543</v>
      </c>
      <c r="B1901" t="s">
        <v>3773</v>
      </c>
      <c r="C1901" s="2" t="str">
        <f>HYPERLINK("http://snap.windin.com/ns/bulletin.php?id=1916845&amp;type=1", "秀强股份:首次公开发行股票并在创业板上市招股说明书")</f>
        <v>秀强股份:首次公开发行股票并在创业板上市招股说明书</v>
      </c>
      <c r="D1901" t="s">
        <v>8266</v>
      </c>
      <c r="E1901" t="s">
        <v>5772</v>
      </c>
      <c r="F1901" t="s">
        <v>455</v>
      </c>
    </row>
    <row r="1902" spans="1:6" x14ac:dyDescent="0.15">
      <c r="A1902" s="1">
        <v>40543</v>
      </c>
      <c r="B1902" t="s">
        <v>3774</v>
      </c>
      <c r="C1902" s="2" t="str">
        <f>HYPERLINK("http://snap.windin.com/ns/bulletin.php?id=1554186&amp;type=1", "通源石油:首次公开发行股票并在创业板上市招股说明书")</f>
        <v>通源石油:首次公开发行股票并在创业板上市招股说明书</v>
      </c>
      <c r="D1902" t="s">
        <v>8267</v>
      </c>
      <c r="E1902" t="s">
        <v>5773</v>
      </c>
      <c r="F1902" t="s">
        <v>455</v>
      </c>
    </row>
    <row r="1903" spans="1:6" x14ac:dyDescent="0.15">
      <c r="A1903" s="1">
        <v>40543</v>
      </c>
      <c r="B1903" t="s">
        <v>3775</v>
      </c>
      <c r="C1903" s="2" t="str">
        <f>HYPERLINK("http://snap.windin.com/ns/bulletin.php?id=1472630&amp;type=1", "先锋新材:首次公开发行股票并在创业板上市招股说明书")</f>
        <v>先锋新材:首次公开发行股票并在创业板上市招股说明书</v>
      </c>
      <c r="D1903" t="s">
        <v>8268</v>
      </c>
      <c r="E1903" t="s">
        <v>5774</v>
      </c>
      <c r="F1903" t="s">
        <v>455</v>
      </c>
    </row>
    <row r="1904" spans="1:6" x14ac:dyDescent="0.15">
      <c r="A1904" s="1">
        <v>40542</v>
      </c>
      <c r="B1904" t="s">
        <v>3776</v>
      </c>
      <c r="C1904" s="2" t="str">
        <f>HYPERLINK("http://snap.windin.com/ns/bulletin.php?id=1259329&amp;type=1", "四方股份:首次公开发行股票招股说明书")</f>
        <v>四方股份:首次公开发行股票招股说明书</v>
      </c>
      <c r="D1904" t="s">
        <v>8269</v>
      </c>
      <c r="E1904" t="s">
        <v>5775</v>
      </c>
      <c r="F1904" t="s">
        <v>399</v>
      </c>
    </row>
    <row r="1905" spans="1:6" x14ac:dyDescent="0.15">
      <c r="A1905" s="1">
        <v>40540</v>
      </c>
      <c r="B1905" t="s">
        <v>3777</v>
      </c>
      <c r="C1905" s="2" t="str">
        <f>HYPERLINK("http://snap.windin.com/ns/bulletin.php?id=226594&amp;type=1", "西泵股份:首次公开发行股票招股说明书")</f>
        <v>西泵股份:首次公开发行股票招股说明书</v>
      </c>
      <c r="D1905" t="s">
        <v>8270</v>
      </c>
      <c r="E1905" t="s">
        <v>5776</v>
      </c>
      <c r="F1905" t="s">
        <v>399</v>
      </c>
    </row>
    <row r="1906" spans="1:6" x14ac:dyDescent="0.15">
      <c r="A1906" s="1">
        <v>40540</v>
      </c>
      <c r="B1906" t="s">
        <v>3778</v>
      </c>
      <c r="C1906" s="2" t="str">
        <f>HYPERLINK("http://snap.windin.com/ns/bulletin.php?id=236349&amp;type=1", "海立美达:首次公开发行股票招股说明书")</f>
        <v>海立美达:首次公开发行股票招股说明书</v>
      </c>
      <c r="D1906" t="s">
        <v>8271</v>
      </c>
      <c r="E1906" t="s">
        <v>5777</v>
      </c>
      <c r="F1906" t="s">
        <v>399</v>
      </c>
    </row>
    <row r="1907" spans="1:6" x14ac:dyDescent="0.15">
      <c r="A1907" s="1">
        <v>40540</v>
      </c>
      <c r="B1907" t="s">
        <v>3779</v>
      </c>
      <c r="C1907" s="2" t="str">
        <f>HYPERLINK("http://snap.windin.com/ns/bulletin.php?id=681578&amp;type=1", "林州重机:首次公开发行股票招股说明书")</f>
        <v>林州重机:首次公开发行股票招股说明书</v>
      </c>
      <c r="D1907" t="s">
        <v>8272</v>
      </c>
      <c r="E1907" t="s">
        <v>5778</v>
      </c>
      <c r="F1907" t="s">
        <v>399</v>
      </c>
    </row>
    <row r="1908" spans="1:6" x14ac:dyDescent="0.15">
      <c r="A1908" s="1">
        <v>40540</v>
      </c>
      <c r="B1908" t="s">
        <v>3780</v>
      </c>
      <c r="C1908" s="2" t="str">
        <f>HYPERLINK("http://snap.windin.com/ns/bulletin.php?id=1501517&amp;type=1", "杭锅股份:首次公开发行股票招股说明书")</f>
        <v>杭锅股份:首次公开发行股票招股说明书</v>
      </c>
      <c r="D1908" t="s">
        <v>8273</v>
      </c>
      <c r="E1908" t="s">
        <v>5779</v>
      </c>
      <c r="F1908" t="s">
        <v>399</v>
      </c>
    </row>
    <row r="1909" spans="1:6" x14ac:dyDescent="0.15">
      <c r="A1909" s="1">
        <v>40539</v>
      </c>
      <c r="B1909" t="s">
        <v>3781</v>
      </c>
      <c r="C1909" s="2" t="str">
        <f>HYPERLINK("http://snap.windin.com/ns/bulletin.php?id=1774019&amp;type=1", "亚星锚链:首次公开发行股票招股说明书")</f>
        <v>亚星锚链:首次公开发行股票招股说明书</v>
      </c>
      <c r="D1909" t="s">
        <v>8274</v>
      </c>
      <c r="E1909" t="s">
        <v>5780</v>
      </c>
      <c r="F1909" t="s">
        <v>399</v>
      </c>
    </row>
    <row r="1910" spans="1:6" x14ac:dyDescent="0.15">
      <c r="A1910" s="1">
        <v>40539</v>
      </c>
      <c r="B1910" t="s">
        <v>3716</v>
      </c>
      <c r="C1910" s="2" t="str">
        <f>HYPERLINK("http://snap.windin.com/ns/bulletin.php?id=511996&amp;type=1", "永清环保:创业板首发招股说明书(申报稿)")</f>
        <v>永清环保:创业板首发招股说明书(申报稿)</v>
      </c>
      <c r="D1910" t="s">
        <v>8275</v>
      </c>
      <c r="E1910" t="s">
        <v>5708</v>
      </c>
      <c r="F1910" t="s">
        <v>5462</v>
      </c>
    </row>
    <row r="1911" spans="1:6" x14ac:dyDescent="0.15">
      <c r="A1911" s="1">
        <v>40539</v>
      </c>
      <c r="B1911" t="s">
        <v>3722</v>
      </c>
      <c r="C1911" s="2" t="str">
        <f>HYPERLINK("http://snap.windin.com/ns/bulletin.php?id=2031722&amp;type=1", "辉隆股份:首发招股说明书（申报稿）")</f>
        <v>辉隆股份:首发招股说明书（申报稿）</v>
      </c>
      <c r="D1911" t="s">
        <v>8276</v>
      </c>
      <c r="E1911" t="s">
        <v>5714</v>
      </c>
      <c r="F1911" t="s">
        <v>5513</v>
      </c>
    </row>
    <row r="1912" spans="1:6" x14ac:dyDescent="0.15">
      <c r="A1912" s="1">
        <v>40539</v>
      </c>
      <c r="B1912" t="s">
        <v>3714</v>
      </c>
      <c r="C1912" s="2" t="str">
        <f>HYPERLINK("http://snap.windin.com/ns/bulletin.php?id=1010562&amp;type=1", "通裕重工:创业板首发招股说明书(申报稿)")</f>
        <v>通裕重工:创业板首发招股说明书(申报稿)</v>
      </c>
      <c r="D1912" t="s">
        <v>8277</v>
      </c>
      <c r="E1912" t="s">
        <v>5706</v>
      </c>
      <c r="F1912" t="s">
        <v>5462</v>
      </c>
    </row>
    <row r="1913" spans="1:6" x14ac:dyDescent="0.15">
      <c r="A1913" s="1">
        <v>40539</v>
      </c>
      <c r="B1913" t="s">
        <v>85</v>
      </c>
      <c r="C1913" s="2" t="str">
        <f>HYPERLINK("http://snap.windin.com/ns/bulletin.php?id=968549&amp;type=1", "红宇新材:创业板首发招股说明书(申报稿)")</f>
        <v>红宇新材:创业板首发招股说明书(申报稿)</v>
      </c>
      <c r="D1913" t="s">
        <v>8278</v>
      </c>
      <c r="E1913" t="s">
        <v>517</v>
      </c>
      <c r="F1913" t="s">
        <v>5462</v>
      </c>
    </row>
    <row r="1914" spans="1:6" x14ac:dyDescent="0.15">
      <c r="A1914" s="1">
        <v>40539</v>
      </c>
      <c r="B1914" t="s">
        <v>3691</v>
      </c>
      <c r="C1914" s="2" t="str">
        <f>HYPERLINK("http://snap.windin.com/ns/bulletin.php?id=967808&amp;type=1", "长海股份:创业板首发招股说明书(申报稿)")</f>
        <v>长海股份:创业板首发招股说明书(申报稿)</v>
      </c>
      <c r="D1914" t="s">
        <v>8279</v>
      </c>
      <c r="E1914" t="s">
        <v>5679</v>
      </c>
      <c r="F1914" t="s">
        <v>5462</v>
      </c>
    </row>
    <row r="1915" spans="1:6" x14ac:dyDescent="0.15">
      <c r="A1915" s="1">
        <v>40536</v>
      </c>
      <c r="B1915" t="s">
        <v>3688</v>
      </c>
      <c r="C1915" s="2" t="str">
        <f>HYPERLINK("http://snap.windin.com/ns/bulletin.php?id=1646260&amp;type=1", "纳川股份:创业板首发招股说明书(申报稿)")</f>
        <v>纳川股份:创业板首发招股说明书(申报稿)</v>
      </c>
      <c r="D1915" t="s">
        <v>8280</v>
      </c>
      <c r="E1915" t="s">
        <v>5676</v>
      </c>
      <c r="F1915" t="s">
        <v>5462</v>
      </c>
    </row>
    <row r="1916" spans="1:6" x14ac:dyDescent="0.15">
      <c r="A1916" s="1">
        <v>40536</v>
      </c>
      <c r="B1916" t="s">
        <v>3782</v>
      </c>
      <c r="C1916" s="2" t="str">
        <f>HYPERLINK("http://snap.windin.com/ns/bulletin.php?id=1752216&amp;type=1", "恒泰艾普:首次公开发行股票并在创业板上市招股说明书")</f>
        <v>恒泰艾普:首次公开发行股票并在创业板上市招股说明书</v>
      </c>
      <c r="D1916" t="s">
        <v>8281</v>
      </c>
      <c r="E1916" t="s">
        <v>5781</v>
      </c>
      <c r="F1916" t="s">
        <v>455</v>
      </c>
    </row>
    <row r="1917" spans="1:6" x14ac:dyDescent="0.15">
      <c r="A1917" s="1">
        <v>40536</v>
      </c>
      <c r="B1917" t="s">
        <v>3783</v>
      </c>
      <c r="C1917" s="2" t="str">
        <f>HYPERLINK("http://snap.windin.com/ns/bulletin.php?id=1990228&amp;type=1", "新研股份:首次公开发行股票并在创业板上市招股说明书")</f>
        <v>新研股份:首次公开发行股票并在创业板上市招股说明书</v>
      </c>
      <c r="D1917" t="s">
        <v>8282</v>
      </c>
      <c r="E1917" t="s">
        <v>5782</v>
      </c>
      <c r="F1917" t="s">
        <v>455</v>
      </c>
    </row>
    <row r="1918" spans="1:6" x14ac:dyDescent="0.15">
      <c r="A1918" s="1">
        <v>40536</v>
      </c>
      <c r="B1918" t="s">
        <v>3692</v>
      </c>
      <c r="C1918" s="2" t="str">
        <f>HYPERLINK("http://snap.windin.com/ns/bulletin.php?id=2100192&amp;type=1", "长荣股份:创业板首发招股说明书(申报稿)")</f>
        <v>长荣股份:创业板首发招股说明书(申报稿)</v>
      </c>
      <c r="D1918" t="s">
        <v>8283</v>
      </c>
      <c r="E1918" t="s">
        <v>5680</v>
      </c>
      <c r="F1918" t="s">
        <v>5462</v>
      </c>
    </row>
    <row r="1919" spans="1:6" x14ac:dyDescent="0.15">
      <c r="A1919" s="1">
        <v>40536</v>
      </c>
      <c r="B1919" t="s">
        <v>3708</v>
      </c>
      <c r="C1919" s="2" t="str">
        <f>HYPERLINK("http://snap.windin.com/ns/bulletin.php?id=173130&amp;type=1", "美亚柏科:创业板首发招股说明书(申报稿)")</f>
        <v>美亚柏科:创业板首发招股说明书(申报稿)</v>
      </c>
      <c r="D1919" t="s">
        <v>8284</v>
      </c>
      <c r="E1919" t="s">
        <v>5696</v>
      </c>
      <c r="F1919" t="s">
        <v>5462</v>
      </c>
    </row>
    <row r="1920" spans="1:6" x14ac:dyDescent="0.15">
      <c r="A1920" s="1">
        <v>40536</v>
      </c>
      <c r="B1920" t="s">
        <v>361</v>
      </c>
      <c r="C1920" s="2" t="str">
        <f>HYPERLINK("http://snap.windin.com/ns/bulletin.php?id=1243360&amp;type=1", "金运激光:创业板首发招股说明书(申报稿)")</f>
        <v>金运激光:创业板首发招股说明书(申报稿)</v>
      </c>
      <c r="D1920" t="s">
        <v>8285</v>
      </c>
      <c r="E1920" t="s">
        <v>854</v>
      </c>
      <c r="F1920" t="s">
        <v>5462</v>
      </c>
    </row>
    <row r="1921" spans="1:6" x14ac:dyDescent="0.15">
      <c r="A1921" s="1">
        <v>40536</v>
      </c>
      <c r="B1921" t="s">
        <v>3784</v>
      </c>
      <c r="C1921" s="2" t="str">
        <f>HYPERLINK("http://snap.windin.com/ns/bulletin.php?id=468763&amp;type=1", "振东制药:首次公开发行股票并在创业板上市招股说明书")</f>
        <v>振东制药:首次公开发行股票并在创业板上市招股说明书</v>
      </c>
      <c r="D1921" t="s">
        <v>8286</v>
      </c>
      <c r="E1921" t="s">
        <v>5783</v>
      </c>
      <c r="F1921" t="s">
        <v>455</v>
      </c>
    </row>
    <row r="1922" spans="1:6" x14ac:dyDescent="0.15">
      <c r="A1922" s="1">
        <v>40536</v>
      </c>
      <c r="B1922" t="s">
        <v>3717</v>
      </c>
      <c r="C1922" s="2" t="str">
        <f>HYPERLINK("http://snap.windin.com/ns/bulletin.php?id=675397&amp;type=1", "大华农:创业板首发招股说明书（申报稿）")</f>
        <v>大华农:创业板首发招股说明书（申报稿）</v>
      </c>
      <c r="D1922" t="s">
        <v>8287</v>
      </c>
      <c r="E1922" t="s">
        <v>5709</v>
      </c>
      <c r="F1922" t="s">
        <v>5450</v>
      </c>
    </row>
    <row r="1923" spans="1:6" x14ac:dyDescent="0.15">
      <c r="A1923" s="1">
        <v>40536</v>
      </c>
      <c r="B1923" t="s">
        <v>3785</v>
      </c>
      <c r="C1923" s="2" t="str">
        <f>HYPERLINK("http://snap.windin.com/ns/bulletin.php?id=1888122&amp;type=1", "天立环保:首次公开发行股票并在创业板上市招股说明书")</f>
        <v>天立环保:首次公开发行股票并在创业板上市招股说明书</v>
      </c>
      <c r="D1923" t="s">
        <v>8288</v>
      </c>
      <c r="E1923" t="s">
        <v>5784</v>
      </c>
      <c r="F1923" t="s">
        <v>455</v>
      </c>
    </row>
    <row r="1924" spans="1:6" x14ac:dyDescent="0.15">
      <c r="A1924" s="1">
        <v>40536</v>
      </c>
      <c r="B1924" t="s">
        <v>3728</v>
      </c>
      <c r="C1924" s="2" t="str">
        <f>HYPERLINK("http://snap.windin.com/ns/bulletin.php?id=626685&amp;type=1", "南方轴承:首次公开发行股票招股说明书（申报稿）")</f>
        <v>南方轴承:首次公开发行股票招股说明书（申报稿）</v>
      </c>
      <c r="D1924" t="s">
        <v>8289</v>
      </c>
      <c r="E1924" t="s">
        <v>5720</v>
      </c>
      <c r="F1924" t="s">
        <v>5452</v>
      </c>
    </row>
    <row r="1925" spans="1:6" x14ac:dyDescent="0.15">
      <c r="A1925" s="1">
        <v>40536</v>
      </c>
      <c r="B1925" t="s">
        <v>3675</v>
      </c>
      <c r="C1925" s="2" t="str">
        <f>HYPERLINK("http://snap.windin.com/ns/bulletin.php?id=731823&amp;type=1", "天喻信息:创业板首发招股说明书(申报稿)")</f>
        <v>天喻信息:创业板首发招股说明书(申报稿)</v>
      </c>
      <c r="D1925" t="s">
        <v>8290</v>
      </c>
      <c r="E1925" t="s">
        <v>5663</v>
      </c>
      <c r="F1925" t="s">
        <v>5462</v>
      </c>
    </row>
    <row r="1926" spans="1:6" x14ac:dyDescent="0.15">
      <c r="A1926" s="1">
        <v>40536</v>
      </c>
      <c r="B1926" t="s">
        <v>3786</v>
      </c>
      <c r="C1926" s="2" t="str">
        <f>HYPERLINK("http://snap.windin.com/ns/bulletin.php?id=814716&amp;type=1", "安居宝:首次公开发行股票并在创业板上市招股说明书")</f>
        <v>安居宝:首次公开发行股票并在创业板上市招股说明书</v>
      </c>
      <c r="D1926" t="s">
        <v>8291</v>
      </c>
      <c r="E1926" t="s">
        <v>5785</v>
      </c>
      <c r="F1926" t="s">
        <v>455</v>
      </c>
    </row>
    <row r="1927" spans="1:6" x14ac:dyDescent="0.15">
      <c r="A1927" s="1">
        <v>40535</v>
      </c>
      <c r="B1927" t="s">
        <v>3721</v>
      </c>
      <c r="C1927" s="2" t="str">
        <f>HYPERLINK("http://snap.windin.com/ns/bulletin.php?id=1401277&amp;type=1", "君正股份:首发招股说明书（申报稿）")</f>
        <v>君正股份:首发招股说明书（申报稿）</v>
      </c>
      <c r="D1927" t="s">
        <v>8292</v>
      </c>
      <c r="E1927" t="s">
        <v>5786</v>
      </c>
      <c r="F1927" t="s">
        <v>5513</v>
      </c>
    </row>
    <row r="1928" spans="1:6" x14ac:dyDescent="0.15">
      <c r="A1928" s="1">
        <v>40535</v>
      </c>
      <c r="B1928" t="s">
        <v>294</v>
      </c>
      <c r="C1928" s="2" t="str">
        <f>HYPERLINK("http://snap.windin.com/ns/bulletin.php?id=985978&amp;type=1", "宁波建工:首发招股说明书(申报稿)")</f>
        <v>宁波建工:首发招股说明书(申报稿)</v>
      </c>
      <c r="D1928" t="s">
        <v>8293</v>
      </c>
      <c r="E1928" t="s">
        <v>781</v>
      </c>
      <c r="F1928" t="s">
        <v>5523</v>
      </c>
    </row>
    <row r="1929" spans="1:6" x14ac:dyDescent="0.15">
      <c r="A1929" s="1">
        <v>40533</v>
      </c>
      <c r="B1929" t="s">
        <v>3787</v>
      </c>
      <c r="C1929" s="2" t="str">
        <f>HYPERLINK("http://snap.windin.com/ns/bulletin.php?id=1346471&amp;type=1", "天顺风能:首次公开发行A股股票招股说明书")</f>
        <v>天顺风能:首次公开发行A股股票招股说明书</v>
      </c>
      <c r="D1929" t="s">
        <v>8294</v>
      </c>
      <c r="E1929" t="s">
        <v>5787</v>
      </c>
      <c r="F1929" t="s">
        <v>462</v>
      </c>
    </row>
    <row r="1930" spans="1:6" x14ac:dyDescent="0.15">
      <c r="A1930" s="1">
        <v>40533</v>
      </c>
      <c r="B1930" t="s">
        <v>3788</v>
      </c>
      <c r="C1930" s="2" t="str">
        <f>HYPERLINK("http://snap.windin.com/ns/bulletin.php?id=1164356&amp;type=1", "新界泵业:首次公开发行股票招股说明书")</f>
        <v>新界泵业:首次公开发行股票招股说明书</v>
      </c>
      <c r="D1930" t="s">
        <v>8295</v>
      </c>
      <c r="E1930" t="s">
        <v>5788</v>
      </c>
      <c r="F1930" t="s">
        <v>399</v>
      </c>
    </row>
    <row r="1931" spans="1:6" x14ac:dyDescent="0.15">
      <c r="A1931" s="1">
        <v>40533</v>
      </c>
      <c r="B1931" t="s">
        <v>3789</v>
      </c>
      <c r="C1931" s="2" t="str">
        <f>HYPERLINK("http://snap.windin.com/ns/bulletin.php?id=531190&amp;type=1", "金杯电工:首次公开发行股票招股说明书")</f>
        <v>金杯电工:首次公开发行股票招股说明书</v>
      </c>
      <c r="D1931" t="s">
        <v>8296</v>
      </c>
      <c r="E1931" t="s">
        <v>5789</v>
      </c>
      <c r="F1931" t="s">
        <v>399</v>
      </c>
    </row>
    <row r="1932" spans="1:6" x14ac:dyDescent="0.15">
      <c r="A1932" s="1">
        <v>40533</v>
      </c>
      <c r="B1932" t="s">
        <v>3790</v>
      </c>
      <c r="C1932" s="2" t="str">
        <f>HYPERLINK("http://snap.windin.com/ns/bulletin.php?id=1569164&amp;type=1", "丰东股份:首次公开发行股票招股说明书")</f>
        <v>丰东股份:首次公开发行股票招股说明书</v>
      </c>
      <c r="D1932" t="s">
        <v>8297</v>
      </c>
      <c r="E1932" t="s">
        <v>5790</v>
      </c>
      <c r="F1932" t="s">
        <v>399</v>
      </c>
    </row>
    <row r="1933" spans="1:6" x14ac:dyDescent="0.15">
      <c r="A1933" s="1">
        <v>40532</v>
      </c>
      <c r="B1933" t="s">
        <v>3719</v>
      </c>
      <c r="C1933" s="2" t="str">
        <f>HYPERLINK("http://snap.windin.com/ns/bulletin.php?id=487602&amp;type=1", "亚威机床:首次公开发行股票招股说明书（申报稿）")</f>
        <v>亚威机床:首次公开发行股票招股说明书（申报稿）</v>
      </c>
      <c r="D1933" t="s">
        <v>8298</v>
      </c>
      <c r="E1933" t="s">
        <v>5791</v>
      </c>
      <c r="F1933" t="s">
        <v>5452</v>
      </c>
    </row>
    <row r="1934" spans="1:6" x14ac:dyDescent="0.15">
      <c r="A1934" s="1">
        <v>40532</v>
      </c>
      <c r="B1934" t="s">
        <v>3727</v>
      </c>
      <c r="C1934" s="2" t="str">
        <f>HYPERLINK("http://snap.windin.com/ns/bulletin.php?id=1452328&amp;type=1", "惠博普:首发招股说明书（申报稿）")</f>
        <v>惠博普:首发招股说明书（申报稿）</v>
      </c>
      <c r="D1934" t="s">
        <v>8299</v>
      </c>
      <c r="E1934" t="s">
        <v>5719</v>
      </c>
      <c r="F1934" t="s">
        <v>5513</v>
      </c>
    </row>
    <row r="1935" spans="1:6" x14ac:dyDescent="0.15">
      <c r="A1935" s="1">
        <v>40532</v>
      </c>
      <c r="B1935" t="s">
        <v>3531</v>
      </c>
      <c r="C1935" s="2" t="str">
        <f>HYPERLINK("http://snap.windin.com/ns/bulletin.php?id=723898&amp;type=1", "良信电器:首发招股说明书（申报稿）")</f>
        <v>良信电器:首发招股说明书（申报稿）</v>
      </c>
      <c r="D1935" t="s">
        <v>8300</v>
      </c>
      <c r="E1935" t="s">
        <v>458</v>
      </c>
      <c r="F1935" t="s">
        <v>5513</v>
      </c>
    </row>
    <row r="1936" spans="1:6" x14ac:dyDescent="0.15">
      <c r="A1936" s="1">
        <v>40532</v>
      </c>
      <c r="B1936" t="s">
        <v>3791</v>
      </c>
      <c r="C1936" s="2" t="str">
        <f>HYPERLINK("http://snap.windin.com/ns/bulletin.php?id=1116680&amp;type=1", "冠宏股份:首次公开发行股票招股说明书（申报稿）")</f>
        <v>冠宏股份:首次公开发行股票招股说明书（申报稿）</v>
      </c>
      <c r="D1936" t="s">
        <v>8301</v>
      </c>
      <c r="E1936" t="s">
        <v>5792</v>
      </c>
      <c r="F1936" t="s">
        <v>5452</v>
      </c>
    </row>
    <row r="1937" spans="1:6" x14ac:dyDescent="0.15">
      <c r="A1937" s="1">
        <v>40532</v>
      </c>
      <c r="B1937" t="s">
        <v>339</v>
      </c>
      <c r="C1937" s="2" t="str">
        <f>HYPERLINK("http://snap.windin.com/ns/bulletin.php?id=715362&amp;type=1", "拓尔思:创业板首发招股说明书（申报稿）")</f>
        <v>拓尔思:创业板首发招股说明书（申报稿）</v>
      </c>
      <c r="D1937" t="s">
        <v>8302</v>
      </c>
      <c r="E1937" t="s">
        <v>832</v>
      </c>
      <c r="F1937" t="s">
        <v>5450</v>
      </c>
    </row>
    <row r="1938" spans="1:6" x14ac:dyDescent="0.15">
      <c r="A1938" s="1">
        <v>40529</v>
      </c>
      <c r="B1938" t="s">
        <v>3725</v>
      </c>
      <c r="C1938" s="2" t="str">
        <f>HYPERLINK("http://snap.windin.com/ns/bulletin.php?id=1729286&amp;type=1", "顺荣股份:首发招股说明书（申报稿）")</f>
        <v>顺荣股份:首发招股说明书（申报稿）</v>
      </c>
      <c r="D1938" t="s">
        <v>8303</v>
      </c>
      <c r="E1938" t="s">
        <v>5717</v>
      </c>
      <c r="F1938" t="s">
        <v>5513</v>
      </c>
    </row>
    <row r="1939" spans="1:6" x14ac:dyDescent="0.15">
      <c r="A1939" s="1">
        <v>40529</v>
      </c>
      <c r="B1939" t="s">
        <v>91</v>
      </c>
      <c r="C1939" s="2" t="str">
        <f>HYPERLINK("http://snap.windin.com/ns/bulletin.php?id=1711338&amp;type=1", "科恒股份:创业板招股说明书（申报稿）")</f>
        <v>科恒股份:创业板招股说明书（申报稿）</v>
      </c>
      <c r="D1939" t="s">
        <v>8304</v>
      </c>
      <c r="E1939" t="s">
        <v>527</v>
      </c>
      <c r="F1939" t="s">
        <v>5597</v>
      </c>
    </row>
    <row r="1940" spans="1:6" x14ac:dyDescent="0.15">
      <c r="A1940" s="1">
        <v>40529</v>
      </c>
      <c r="B1940" t="s">
        <v>3678</v>
      </c>
      <c r="C1940" s="2" t="str">
        <f>HYPERLINK("http://snap.windin.com/ns/bulletin.php?id=173682&amp;type=1", "聚光科技:（杭州）股份有限公司创业板首发招股说明书（申报稿）")</f>
        <v>聚光科技:（杭州）股份有限公司创业板首发招股说明书（申报稿）</v>
      </c>
      <c r="D1940" t="s">
        <v>8305</v>
      </c>
      <c r="E1940" t="s">
        <v>5665</v>
      </c>
      <c r="F1940" t="s">
        <v>5793</v>
      </c>
    </row>
    <row r="1941" spans="1:6" x14ac:dyDescent="0.15">
      <c r="A1941" s="1">
        <v>40529</v>
      </c>
      <c r="B1941" t="s">
        <v>3792</v>
      </c>
      <c r="C1941" s="2" t="str">
        <f>HYPERLINK("http://snap.windin.com/ns/bulletin.php?id=1231931&amp;type=1", "燃控科技:首次公开发行股票并在创业板上市招股说明书")</f>
        <v>燃控科技:首次公开发行股票并在创业板上市招股说明书</v>
      </c>
      <c r="D1941" t="s">
        <v>8306</v>
      </c>
      <c r="E1941" t="s">
        <v>5794</v>
      </c>
      <c r="F1941" t="s">
        <v>455</v>
      </c>
    </row>
    <row r="1942" spans="1:6" x14ac:dyDescent="0.15">
      <c r="A1942" s="1">
        <v>40529</v>
      </c>
      <c r="B1942" t="s">
        <v>3793</v>
      </c>
      <c r="C1942" s="2" t="str">
        <f>HYPERLINK("http://snap.windin.com/ns/bulletin.php?id=1447406&amp;type=1", "科泰电源:首次公开发行股票并在创业板上市招股说明书")</f>
        <v>科泰电源:首次公开发行股票并在创业板上市招股说明书</v>
      </c>
      <c r="D1942" t="s">
        <v>8307</v>
      </c>
      <c r="E1942" t="s">
        <v>5795</v>
      </c>
      <c r="F1942" t="s">
        <v>455</v>
      </c>
    </row>
    <row r="1943" spans="1:6" x14ac:dyDescent="0.15">
      <c r="A1943" s="1">
        <v>40529</v>
      </c>
      <c r="B1943" t="s">
        <v>3723</v>
      </c>
      <c r="C1943" s="2" t="str">
        <f>HYPERLINK("http://snap.windin.com/ns/bulletin.php?id=624153&amp;type=1", "世纪游轮:首发招股说明书（申报稿）")</f>
        <v>世纪游轮:首发招股说明书（申报稿）</v>
      </c>
      <c r="D1943" t="s">
        <v>8308</v>
      </c>
      <c r="E1943" t="s">
        <v>5715</v>
      </c>
      <c r="F1943" t="s">
        <v>5513</v>
      </c>
    </row>
    <row r="1944" spans="1:6" x14ac:dyDescent="0.15">
      <c r="A1944" s="1">
        <v>40529</v>
      </c>
      <c r="B1944" t="s">
        <v>3794</v>
      </c>
      <c r="C1944" s="2" t="str">
        <f>HYPERLINK("http://snap.windin.com/ns/bulletin.php?id=589380&amp;type=1", "荣联科技:首发招股说明书（申报稿）")</f>
        <v>荣联科技:首发招股说明书（申报稿）</v>
      </c>
      <c r="D1944" t="s">
        <v>8309</v>
      </c>
      <c r="E1944" t="s">
        <v>5796</v>
      </c>
      <c r="F1944" t="s">
        <v>5513</v>
      </c>
    </row>
    <row r="1945" spans="1:6" x14ac:dyDescent="0.15">
      <c r="A1945" s="1">
        <v>40529</v>
      </c>
      <c r="B1945" t="s">
        <v>3736</v>
      </c>
      <c r="C1945" s="2" t="str">
        <f>HYPERLINK("http://snap.windin.com/ns/bulletin.php?id=1272967&amp;type=1", "金新农:首发招股说明书（申报稿）")</f>
        <v>金新农:首发招股说明书（申报稿）</v>
      </c>
      <c r="D1945" t="s">
        <v>8310</v>
      </c>
      <c r="E1945" t="s">
        <v>5728</v>
      </c>
      <c r="F1945" t="s">
        <v>5513</v>
      </c>
    </row>
    <row r="1946" spans="1:6" x14ac:dyDescent="0.15">
      <c r="A1946" s="1">
        <v>40529</v>
      </c>
      <c r="B1946" t="s">
        <v>3795</v>
      </c>
      <c r="C1946" s="2" t="str">
        <f>HYPERLINK("http://snap.windin.com/ns/bulletin.php?id=896609&amp;type=1", "瑞凌股份:首次公开发行股票并在创业板上市招股说明书")</f>
        <v>瑞凌股份:首次公开发行股票并在创业板上市招股说明书</v>
      </c>
      <c r="D1946" t="s">
        <v>8311</v>
      </c>
      <c r="E1946" t="s">
        <v>5797</v>
      </c>
      <c r="F1946" t="s">
        <v>455</v>
      </c>
    </row>
    <row r="1947" spans="1:6" x14ac:dyDescent="0.15">
      <c r="A1947" s="1">
        <v>40528</v>
      </c>
      <c r="B1947" t="s">
        <v>3741</v>
      </c>
      <c r="C1947" s="2" t="str">
        <f>HYPERLINK("http://snap.windin.com/ns/bulletin.php?id=1734577&amp;type=1", "广电电气:上海广电电气（集团）股份有限公司首发招股说明书（申报稿）")</f>
        <v>广电电气:上海广电电气（集团）股份有限公司首发招股说明书（申报稿）</v>
      </c>
      <c r="D1947" t="s">
        <v>8312</v>
      </c>
      <c r="E1947" t="s">
        <v>5734</v>
      </c>
      <c r="F1947" t="s">
        <v>5798</v>
      </c>
    </row>
    <row r="1948" spans="1:6" x14ac:dyDescent="0.15">
      <c r="A1948" s="1">
        <v>40528</v>
      </c>
      <c r="B1948" t="s">
        <v>3796</v>
      </c>
      <c r="C1948" s="2" t="str">
        <f>HYPERLINK("http://snap.windin.com/ns/bulletin.php?id=703716&amp;type=1", "普路通:首发招股说明书（申报稿）")</f>
        <v>普路通:首发招股说明书（申报稿）</v>
      </c>
      <c r="D1948" t="s">
        <v>8313</v>
      </c>
      <c r="E1948" t="s">
        <v>5188</v>
      </c>
      <c r="F1948" t="s">
        <v>5513</v>
      </c>
    </row>
    <row r="1949" spans="1:6" x14ac:dyDescent="0.15">
      <c r="A1949" s="1">
        <v>40526</v>
      </c>
      <c r="B1949" t="s">
        <v>62</v>
      </c>
      <c r="C1949" s="2" t="str">
        <f>HYPERLINK("http://snap.windin.com/ns/bulletin.php?id=1668743&amp;type=1", "东土科技:创业板首发招股说明书（申报稿）")</f>
        <v>东土科技:创业板首发招股说明书（申报稿）</v>
      </c>
      <c r="D1949" t="s">
        <v>8314</v>
      </c>
      <c r="E1949" t="s">
        <v>490</v>
      </c>
      <c r="F1949" t="s">
        <v>5450</v>
      </c>
    </row>
    <row r="1950" spans="1:6" x14ac:dyDescent="0.15">
      <c r="A1950" s="1">
        <v>40526</v>
      </c>
      <c r="B1950" t="s">
        <v>3734</v>
      </c>
      <c r="C1950" s="2" t="str">
        <f>HYPERLINK("http://snap.windin.com/ns/bulletin.php?id=128477&amp;type=1", "力源信息:创业板首发招股说明书(申报稿)")</f>
        <v>力源信息:创业板首发招股说明书(申报稿)</v>
      </c>
      <c r="D1950" t="s">
        <v>8315</v>
      </c>
      <c r="E1950" t="s">
        <v>5726</v>
      </c>
      <c r="F1950" t="s">
        <v>5462</v>
      </c>
    </row>
    <row r="1951" spans="1:6" x14ac:dyDescent="0.15">
      <c r="A1951" s="1">
        <v>40526</v>
      </c>
      <c r="B1951" t="s">
        <v>3797</v>
      </c>
      <c r="C1951" s="2" t="str">
        <f>HYPERLINK("http://snap.windin.com/ns/bulletin.php?id=239695&amp;type=1", "海源机械:首次公开发行股票招股说明书")</f>
        <v>海源机械:首次公开发行股票招股说明书</v>
      </c>
      <c r="D1951" t="s">
        <v>8316</v>
      </c>
      <c r="E1951" t="s">
        <v>5799</v>
      </c>
      <c r="F1951" t="s">
        <v>399</v>
      </c>
    </row>
    <row r="1952" spans="1:6" x14ac:dyDescent="0.15">
      <c r="A1952" s="1">
        <v>40526</v>
      </c>
      <c r="B1952" t="s">
        <v>3749</v>
      </c>
      <c r="C1952" s="2" t="str">
        <f>HYPERLINK("http://snap.windin.com/ns/bulletin.php?id=1208481&amp;type=1", "新联电子:首发招股说明书（申报稿）")</f>
        <v>新联电子:首发招股说明书（申报稿）</v>
      </c>
      <c r="D1952" t="s">
        <v>8317</v>
      </c>
      <c r="E1952" t="s">
        <v>5744</v>
      </c>
      <c r="F1952" t="s">
        <v>5513</v>
      </c>
    </row>
    <row r="1953" spans="1:6" x14ac:dyDescent="0.15">
      <c r="A1953" s="1">
        <v>40526</v>
      </c>
      <c r="B1953" t="s">
        <v>3798</v>
      </c>
      <c r="C1953" s="2" t="str">
        <f>HYPERLINK("http://snap.windin.com/ns/bulletin.php?id=409800&amp;type=1", "新时达:首次公开发行股票招股说明书")</f>
        <v>新时达:首次公开发行股票招股说明书</v>
      </c>
      <c r="D1953" t="s">
        <v>8318</v>
      </c>
      <c r="E1953" t="s">
        <v>5800</v>
      </c>
      <c r="F1953" t="s">
        <v>399</v>
      </c>
    </row>
    <row r="1954" spans="1:6" x14ac:dyDescent="0.15">
      <c r="A1954" s="1">
        <v>40526</v>
      </c>
      <c r="B1954" t="s">
        <v>3740</v>
      </c>
      <c r="C1954" s="2" t="str">
        <f>HYPERLINK("http://snap.windin.com/ns/bulletin.php?id=1855684&amp;type=1", "星宇股份:首次公开发行股票招股说明书（申报稿）")</f>
        <v>星宇股份:首次公开发行股票招股说明书（申报稿）</v>
      </c>
      <c r="D1954" t="s">
        <v>8319</v>
      </c>
      <c r="E1954" t="s">
        <v>5732</v>
      </c>
      <c r="F1954" t="s">
        <v>5452</v>
      </c>
    </row>
    <row r="1955" spans="1:6" x14ac:dyDescent="0.15">
      <c r="A1955" s="1">
        <v>40526</v>
      </c>
      <c r="B1955" t="s">
        <v>3799</v>
      </c>
      <c r="C1955" s="2" t="str">
        <f>HYPERLINK("http://snap.windin.com/ns/bulletin.php?id=1461791&amp;type=1", "英飞拓:首次公开发行股票招股说明书")</f>
        <v>英飞拓:首次公开发行股票招股说明书</v>
      </c>
      <c r="D1955" t="s">
        <v>8320</v>
      </c>
      <c r="E1955" t="s">
        <v>5801</v>
      </c>
      <c r="F1955" t="s">
        <v>399</v>
      </c>
    </row>
    <row r="1956" spans="1:6" x14ac:dyDescent="0.15">
      <c r="A1956" s="1">
        <v>40526</v>
      </c>
      <c r="B1956" t="s">
        <v>3731</v>
      </c>
      <c r="C1956" s="2" t="str">
        <f>HYPERLINK("http://snap.windin.com/ns/bulletin.php?id=607988&amp;type=1", "捷成股份:创业板首发招股说明书（申报稿）")</f>
        <v>捷成股份:创业板首发招股说明书（申报稿）</v>
      </c>
      <c r="D1956" t="s">
        <v>8321</v>
      </c>
      <c r="E1956" t="s">
        <v>5723</v>
      </c>
      <c r="F1956" t="s">
        <v>5450</v>
      </c>
    </row>
    <row r="1957" spans="1:6" x14ac:dyDescent="0.15">
      <c r="A1957" s="1">
        <v>40526</v>
      </c>
      <c r="B1957" t="s">
        <v>3800</v>
      </c>
      <c r="C1957" s="2" t="str">
        <f>HYPERLINK("http://snap.windin.com/ns/bulletin.php?id=935662&amp;type=1", "永辉超市:首次公开发行股票（A股）招股说明书")</f>
        <v>永辉超市:首次公开发行股票（A股）招股说明书</v>
      </c>
      <c r="D1957" t="s">
        <v>8322</v>
      </c>
      <c r="E1957" t="s">
        <v>5802</v>
      </c>
      <c r="F1957" t="s">
        <v>661</v>
      </c>
    </row>
    <row r="1958" spans="1:6" x14ac:dyDescent="0.15">
      <c r="A1958" s="1">
        <v>40525</v>
      </c>
      <c r="B1958" t="s">
        <v>3801</v>
      </c>
      <c r="C1958" s="2" t="str">
        <f>HYPERLINK("http://snap.windin.com/ns/bulletin.php?id=19324370&amp;type=1", "中联重科:刊发H股招股说明书、H股发行价格区间及H股香港公开发售等相关事宜")</f>
        <v>中联重科:刊发H股招股说明书、H股发行价格区间及H股香港公开发售等相关事宜</v>
      </c>
      <c r="D1958" t="s">
        <v>8323</v>
      </c>
      <c r="E1958" t="s">
        <v>5803</v>
      </c>
      <c r="F1958" t="s">
        <v>5804</v>
      </c>
    </row>
    <row r="1959" spans="1:6" x14ac:dyDescent="0.15">
      <c r="A1959" s="1">
        <v>40525</v>
      </c>
      <c r="B1959" t="s">
        <v>3801</v>
      </c>
      <c r="C1959" s="2" t="str">
        <f>HYPERLINK("http://snap.windin.com/ns/bulletin.php?id=1592740&amp;type=1", "中联重科:关于刊发H股招股说明书、H股发行价格区间及H股香港公开发售等相关事宜的公告")</f>
        <v>中联重科:关于刊发H股招股说明书、H股发行价格区间及H股香港公开发售等相关事宜的公告</v>
      </c>
      <c r="D1959" t="s">
        <v>8324</v>
      </c>
      <c r="E1959" t="s">
        <v>5803</v>
      </c>
      <c r="F1959" t="s">
        <v>873</v>
      </c>
    </row>
    <row r="1960" spans="1:6" x14ac:dyDescent="0.15">
      <c r="A1960" s="1">
        <v>40523</v>
      </c>
      <c r="B1960" t="s">
        <v>373</v>
      </c>
      <c r="C1960" s="2" t="str">
        <f>HYPERLINK("http://snap.windin.com/ns/bulletin.php?id=164629&amp;type=1", "千山药机:创业板首发招股说明书（申报稿）")</f>
        <v>千山药机:创业板首发招股说明书（申报稿）</v>
      </c>
      <c r="D1960" t="s">
        <v>8325</v>
      </c>
      <c r="E1960" t="s">
        <v>870</v>
      </c>
      <c r="F1960" t="s">
        <v>5450</v>
      </c>
    </row>
    <row r="1961" spans="1:6" x14ac:dyDescent="0.15">
      <c r="A1961" s="1">
        <v>40523</v>
      </c>
      <c r="B1961" t="s">
        <v>3733</v>
      </c>
      <c r="C1961" s="2" t="str">
        <f>HYPERLINK("http://snap.windin.com/ns/bulletin.php?id=1343745&amp;type=1", "东软载波:创业板首发招股说明书（申报稿）")</f>
        <v>东软载波:创业板首发招股说明书（申报稿）</v>
      </c>
      <c r="D1961" t="s">
        <v>8326</v>
      </c>
      <c r="E1961" t="s">
        <v>5725</v>
      </c>
      <c r="F1961" t="s">
        <v>5450</v>
      </c>
    </row>
    <row r="1962" spans="1:6" x14ac:dyDescent="0.15">
      <c r="A1962" s="1">
        <v>40523</v>
      </c>
      <c r="B1962" t="s">
        <v>3697</v>
      </c>
      <c r="C1962" s="2" t="str">
        <f>HYPERLINK("http://snap.windin.com/ns/bulletin.php?id=1561331&amp;type=1", "佳士科技:创业板首发招股说明书（申报稿）")</f>
        <v>佳士科技:创业板首发招股说明书（申报稿）</v>
      </c>
      <c r="D1962" t="s">
        <v>8327</v>
      </c>
      <c r="E1962" t="s">
        <v>5685</v>
      </c>
      <c r="F1962" t="s">
        <v>5450</v>
      </c>
    </row>
    <row r="1963" spans="1:6" x14ac:dyDescent="0.15">
      <c r="A1963" s="1">
        <v>40523</v>
      </c>
      <c r="B1963" t="s">
        <v>3742</v>
      </c>
      <c r="C1963" s="2" t="str">
        <f>HYPERLINK("http://snap.windin.com/ns/bulletin.php?id=1513344&amp;type=1", "大智慧:首发招股说明书（申报稿）")</f>
        <v>大智慧:首发招股说明书（申报稿）</v>
      </c>
      <c r="D1963" t="s">
        <v>8328</v>
      </c>
      <c r="E1963" t="s">
        <v>5737</v>
      </c>
      <c r="F1963" t="s">
        <v>5513</v>
      </c>
    </row>
    <row r="1964" spans="1:6" x14ac:dyDescent="0.15">
      <c r="A1964" s="1">
        <v>40523</v>
      </c>
      <c r="B1964" t="s">
        <v>3756</v>
      </c>
      <c r="C1964" s="2" t="str">
        <f>HYPERLINK("http://snap.windin.com/ns/bulletin.php?id=579433&amp;type=1", "万和电气:首发招股说明书（申报稿）")</f>
        <v>万和电气:首发招股说明书（申报稿）</v>
      </c>
      <c r="D1964" t="s">
        <v>8329</v>
      </c>
      <c r="E1964" t="s">
        <v>5752</v>
      </c>
      <c r="F1964" t="s">
        <v>5513</v>
      </c>
    </row>
    <row r="1965" spans="1:6" x14ac:dyDescent="0.15">
      <c r="A1965" s="1">
        <v>40523</v>
      </c>
      <c r="B1965" t="s">
        <v>3802</v>
      </c>
      <c r="C1965" s="2" t="str">
        <f>HYPERLINK("http://snap.windin.com/ns/bulletin.php?id=708653&amp;type=1", "新中环保:首发招股说明书（申报稿）")</f>
        <v>新中环保:首发招股说明书（申报稿）</v>
      </c>
      <c r="D1965" t="s">
        <v>8330</v>
      </c>
      <c r="E1965" t="s">
        <v>5805</v>
      </c>
      <c r="F1965" t="s">
        <v>5513</v>
      </c>
    </row>
    <row r="1966" spans="1:6" x14ac:dyDescent="0.15">
      <c r="A1966" s="1">
        <v>40523</v>
      </c>
      <c r="B1966" t="s">
        <v>3690</v>
      </c>
      <c r="C1966" s="2" t="str">
        <f>HYPERLINK("http://snap.windin.com/ns/bulletin.php?id=773121&amp;type=1", "铁汉生态:创业板首发招股说明书（申报稿）")</f>
        <v>铁汉生态:创业板首发招股说明书（申报稿）</v>
      </c>
      <c r="D1966" t="s">
        <v>8331</v>
      </c>
      <c r="E1966" t="s">
        <v>5678</v>
      </c>
      <c r="F1966" t="s">
        <v>5450</v>
      </c>
    </row>
    <row r="1967" spans="1:6" x14ac:dyDescent="0.15">
      <c r="A1967" s="1">
        <v>40523</v>
      </c>
      <c r="B1967" t="s">
        <v>3730</v>
      </c>
      <c r="C1967" s="2" t="str">
        <f>HYPERLINK("http://snap.windin.com/ns/bulletin.php?id=795961&amp;type=1", "宝鼎重工:首次公开发行股票招股说明书（申报稿）")</f>
        <v>宝鼎重工:首次公开发行股票招股说明书（申报稿）</v>
      </c>
      <c r="D1967" t="s">
        <v>8332</v>
      </c>
      <c r="E1967" t="s">
        <v>5722</v>
      </c>
      <c r="F1967" t="s">
        <v>5452</v>
      </c>
    </row>
    <row r="1968" spans="1:6" x14ac:dyDescent="0.15">
      <c r="A1968" s="1">
        <v>40522</v>
      </c>
      <c r="B1968" t="s">
        <v>3746</v>
      </c>
      <c r="C1968" s="2" t="str">
        <f>HYPERLINK("http://snap.windin.com/ns/bulletin.php?id=1828197&amp;type=1", "博威合金:首发招股说明书（申报稿）")</f>
        <v>博威合金:首发招股说明书（申报稿）</v>
      </c>
      <c r="D1968" t="s">
        <v>8333</v>
      </c>
      <c r="E1968" t="s">
        <v>5741</v>
      </c>
      <c r="F1968" t="s">
        <v>5513</v>
      </c>
    </row>
    <row r="1969" spans="1:6" x14ac:dyDescent="0.15">
      <c r="A1969" s="1">
        <v>40522</v>
      </c>
      <c r="B1969" t="s">
        <v>3759</v>
      </c>
      <c r="C1969" s="2" t="str">
        <f>HYPERLINK("http://snap.windin.com/ns/bulletin.php?id=1548298&amp;type=1", "风范股份:首发招股说明书(申报稿)")</f>
        <v>风范股份:首发招股说明书(申报稿)</v>
      </c>
      <c r="D1969" t="s">
        <v>8334</v>
      </c>
      <c r="E1969" t="s">
        <v>5756</v>
      </c>
      <c r="F1969" t="s">
        <v>5523</v>
      </c>
    </row>
    <row r="1970" spans="1:6" x14ac:dyDescent="0.15">
      <c r="A1970" s="1">
        <v>40522</v>
      </c>
      <c r="B1970" t="s">
        <v>3803</v>
      </c>
      <c r="C1970" s="2" t="str">
        <f>HYPERLINK("http://snap.windin.com/ns/bulletin.php?id=739036&amp;type=1", "世纪瑞尔:首次公开发行股票并在创业板上市招股说明书")</f>
        <v>世纪瑞尔:首次公开发行股票并在创业板上市招股说明书</v>
      </c>
      <c r="D1970" t="s">
        <v>8335</v>
      </c>
      <c r="E1970" t="s">
        <v>5806</v>
      </c>
      <c r="F1970" t="s">
        <v>455</v>
      </c>
    </row>
    <row r="1971" spans="1:6" x14ac:dyDescent="0.15">
      <c r="A1971" s="1">
        <v>40522</v>
      </c>
      <c r="B1971" t="s">
        <v>3804</v>
      </c>
      <c r="C1971" s="2" t="str">
        <f>HYPERLINK("http://snap.windin.com/ns/bulletin.php?id=1057582&amp;type=1", "量子高科:首次公开发行股票并在创业板上市招股说明书")</f>
        <v>量子高科:首次公开发行股票并在创业板上市招股说明书</v>
      </c>
      <c r="D1971" t="s">
        <v>8336</v>
      </c>
      <c r="E1971" t="s">
        <v>5807</v>
      </c>
      <c r="F1971" t="s">
        <v>455</v>
      </c>
    </row>
    <row r="1972" spans="1:6" x14ac:dyDescent="0.15">
      <c r="A1972" s="1">
        <v>40522</v>
      </c>
      <c r="B1972" t="s">
        <v>3805</v>
      </c>
      <c r="C1972" s="2" t="str">
        <f>HYPERLINK("http://snap.windin.com/ns/bulletin.php?id=824564&amp;type=1", "昌红科技:首次公开发行股票并在创业板上市招股说明书")</f>
        <v>昌红科技:首次公开发行股票并在创业板上市招股说明书</v>
      </c>
      <c r="D1972" t="s">
        <v>8337</v>
      </c>
      <c r="E1972" t="s">
        <v>5808</v>
      </c>
      <c r="F1972" t="s">
        <v>455</v>
      </c>
    </row>
    <row r="1973" spans="1:6" x14ac:dyDescent="0.15">
      <c r="A1973" s="1">
        <v>40519</v>
      </c>
      <c r="B1973" t="s">
        <v>3732</v>
      </c>
      <c r="C1973" s="2" t="str">
        <f>HYPERLINK("http://snap.windin.com/ns/bulletin.php?id=242158&amp;type=1", "佐力药业:创业板首发招股说明书（申报稿）")</f>
        <v>佐力药业:创业板首发招股说明书（申报稿）</v>
      </c>
      <c r="D1973" t="s">
        <v>8338</v>
      </c>
      <c r="E1973" t="s">
        <v>5724</v>
      </c>
      <c r="F1973" t="s">
        <v>5450</v>
      </c>
    </row>
    <row r="1974" spans="1:6" x14ac:dyDescent="0.15">
      <c r="A1974" s="1">
        <v>40519</v>
      </c>
      <c r="B1974" t="s">
        <v>3806</v>
      </c>
      <c r="C1974" s="2" t="str">
        <f>HYPERLINK("http://snap.windin.com/ns/bulletin.php?id=2065783&amp;type=1", "光正钢构:首次公开发行股票并上市招股说明书")</f>
        <v>光正钢构:首次公开发行股票并上市招股说明书</v>
      </c>
      <c r="D1974" t="s">
        <v>8339</v>
      </c>
      <c r="E1974" t="s">
        <v>5809</v>
      </c>
      <c r="F1974" t="s">
        <v>469</v>
      </c>
    </row>
    <row r="1975" spans="1:6" x14ac:dyDescent="0.15">
      <c r="A1975" s="1">
        <v>40519</v>
      </c>
      <c r="B1975" t="s">
        <v>3758</v>
      </c>
      <c r="C1975" s="2" t="str">
        <f>HYPERLINK("http://snap.windin.com/ns/bulletin.php?id=1874541&amp;type=1", "中化岩土:首发招股说明书（申报稿）")</f>
        <v>中化岩土:首发招股说明书（申报稿）</v>
      </c>
      <c r="D1975" t="s">
        <v>8340</v>
      </c>
      <c r="E1975" t="s">
        <v>5754</v>
      </c>
      <c r="F1975" t="s">
        <v>5513</v>
      </c>
    </row>
    <row r="1976" spans="1:6" x14ac:dyDescent="0.15">
      <c r="A1976" s="1">
        <v>40519</v>
      </c>
      <c r="B1976" t="s">
        <v>3765</v>
      </c>
      <c r="C1976" s="2" t="str">
        <f>HYPERLINK("http://snap.windin.com/ns/bulletin.php?id=1810715&amp;type=1", "华锐风电:科技（集团）股份有限公司首发招股说明书（申报稿）")</f>
        <v>华锐风电:科技（集团）股份有限公司首发招股说明书（申报稿）</v>
      </c>
      <c r="D1976" t="s">
        <v>8341</v>
      </c>
      <c r="E1976" t="s">
        <v>5763</v>
      </c>
      <c r="F1976" t="s">
        <v>5810</v>
      </c>
    </row>
    <row r="1977" spans="1:6" x14ac:dyDescent="0.15">
      <c r="A1977" s="1">
        <v>40519</v>
      </c>
      <c r="B1977" t="s">
        <v>3766</v>
      </c>
      <c r="C1977" s="2" t="str">
        <f>HYPERLINK("http://snap.windin.com/ns/bulletin.php?id=1944008&amp;type=1", "海南橡胶:首发招股说明书（申报稿）")</f>
        <v>海南橡胶:首发招股说明书（申报稿）</v>
      </c>
      <c r="D1977" t="s">
        <v>8342</v>
      </c>
      <c r="E1977" t="s">
        <v>5765</v>
      </c>
      <c r="F1977" t="s">
        <v>5513</v>
      </c>
    </row>
    <row r="1978" spans="1:6" x14ac:dyDescent="0.15">
      <c r="A1978" s="1">
        <v>40519</v>
      </c>
      <c r="B1978" t="s">
        <v>3807</v>
      </c>
      <c r="C1978" s="2" t="str">
        <f>HYPERLINK("http://snap.windin.com/ns/bulletin.php?id=1559668&amp;type=1", "山东矿机:首次公开发行股票招股说明书")</f>
        <v>山东矿机:首次公开发行股票招股说明书</v>
      </c>
      <c r="D1978" t="s">
        <v>8343</v>
      </c>
      <c r="E1978" t="s">
        <v>5811</v>
      </c>
      <c r="F1978" t="s">
        <v>399</v>
      </c>
    </row>
    <row r="1979" spans="1:6" x14ac:dyDescent="0.15">
      <c r="A1979" s="1">
        <v>40519</v>
      </c>
      <c r="B1979" t="s">
        <v>3808</v>
      </c>
      <c r="C1979" s="2" t="str">
        <f>HYPERLINK("http://snap.windin.com/ns/bulletin.php?id=765806&amp;type=1", "胜景山河:首次公开发行股票招股说明书")</f>
        <v>胜景山河:首次公开发行股票招股说明书</v>
      </c>
      <c r="D1979" t="s">
        <v>8344</v>
      </c>
      <c r="E1979" t="s">
        <v>5812</v>
      </c>
      <c r="F1979" t="s">
        <v>399</v>
      </c>
    </row>
    <row r="1980" spans="1:6" x14ac:dyDescent="0.15">
      <c r="A1980" s="1">
        <v>40516</v>
      </c>
      <c r="B1980" t="s">
        <v>3747</v>
      </c>
      <c r="C1980" s="2" t="str">
        <f>HYPERLINK("http://snap.windin.com/ns/bulletin.php?id=1739415&amp;type=1", "鸿特精密:创业板首发招股说明书（申报稿）")</f>
        <v>鸿特精密:创业板首发招股说明书（申报稿）</v>
      </c>
      <c r="D1980" t="s">
        <v>8345</v>
      </c>
      <c r="E1980" t="s">
        <v>5742</v>
      </c>
      <c r="F1980" t="s">
        <v>5450</v>
      </c>
    </row>
    <row r="1981" spans="1:6" x14ac:dyDescent="0.15">
      <c r="A1981" s="1">
        <v>40516</v>
      </c>
      <c r="B1981" t="s">
        <v>3745</v>
      </c>
      <c r="C1981" s="2" t="str">
        <f>HYPERLINK("http://snap.windin.com/ns/bulletin.php?id=479253&amp;type=1", "腾邦国际:创业板首发招股说明书（申报稿）")</f>
        <v>腾邦国际:创业板首发招股说明书（申报稿）</v>
      </c>
      <c r="D1981" t="s">
        <v>8346</v>
      </c>
      <c r="E1981" t="s">
        <v>5740</v>
      </c>
      <c r="F1981" t="s">
        <v>5450</v>
      </c>
    </row>
    <row r="1982" spans="1:6" x14ac:dyDescent="0.15">
      <c r="A1982" s="1">
        <v>40516</v>
      </c>
      <c r="B1982" t="s">
        <v>3738</v>
      </c>
      <c r="C1982" s="2" t="str">
        <f>HYPERLINK("http://snap.windin.com/ns/bulletin.php?id=1901939&amp;type=1", "凯美特气:首次公开发行股票招股说明书（申报稿）")</f>
        <v>凯美特气:首次公开发行股票招股说明书（申报稿）</v>
      </c>
      <c r="D1982" t="s">
        <v>8347</v>
      </c>
      <c r="E1982" t="s">
        <v>5730</v>
      </c>
      <c r="F1982" t="s">
        <v>5452</v>
      </c>
    </row>
    <row r="1983" spans="1:6" x14ac:dyDescent="0.15">
      <c r="A1983" s="1">
        <v>40516</v>
      </c>
      <c r="B1983" t="s">
        <v>3729</v>
      </c>
      <c r="C1983" s="2" t="str">
        <f>HYPERLINK("http://snap.windin.com/ns/bulletin.php?id=870640&amp;type=1", "尚荣医疗:首发招股说明书（申报稿）")</f>
        <v>尚荣医疗:首发招股说明书（申报稿）</v>
      </c>
      <c r="D1983" t="s">
        <v>8348</v>
      </c>
      <c r="E1983" t="s">
        <v>5721</v>
      </c>
      <c r="F1983" t="s">
        <v>5513</v>
      </c>
    </row>
    <row r="1984" spans="1:6" x14ac:dyDescent="0.15">
      <c r="A1984" s="1">
        <v>40516</v>
      </c>
      <c r="B1984" t="s">
        <v>3743</v>
      </c>
      <c r="C1984" s="2" t="str">
        <f>HYPERLINK("http://snap.windin.com/ns/bulletin.php?id=920069&amp;type=1", "中海达:创业板首发招股说明书（申报稿）")</f>
        <v>中海达:创业板首发招股说明书（申报稿）</v>
      </c>
      <c r="D1984" t="s">
        <v>8349</v>
      </c>
      <c r="E1984" t="s">
        <v>5738</v>
      </c>
      <c r="F1984" t="s">
        <v>5450</v>
      </c>
    </row>
    <row r="1985" spans="1:6" x14ac:dyDescent="0.15">
      <c r="A1985" s="1">
        <v>40515</v>
      </c>
      <c r="B1985" t="s">
        <v>3682</v>
      </c>
      <c r="C1985" s="2" t="str">
        <f>HYPERLINK("http://snap.windin.com/ns/bulletin.php?id=1776547&amp;type=1", "贝因美:首发招股说明书（申报稿）")</f>
        <v>贝因美:首发招股说明书（申报稿）</v>
      </c>
      <c r="D1985" t="s">
        <v>8350</v>
      </c>
      <c r="E1985" t="s">
        <v>5669</v>
      </c>
      <c r="F1985" t="s">
        <v>5513</v>
      </c>
    </row>
    <row r="1986" spans="1:6" x14ac:dyDescent="0.15">
      <c r="A1986" s="1">
        <v>40515</v>
      </c>
      <c r="B1986" t="s">
        <v>3712</v>
      </c>
      <c r="C1986" s="2" t="str">
        <f>HYPERLINK("http://snap.windin.com/ns/bulletin.php?id=130026&amp;type=1", "三江购物:首发招股说明书（申报稿）")</f>
        <v>三江购物:首发招股说明书（申报稿）</v>
      </c>
      <c r="D1986" t="s">
        <v>8351</v>
      </c>
      <c r="E1986" t="s">
        <v>5700</v>
      </c>
      <c r="F1986" t="s">
        <v>5513</v>
      </c>
    </row>
    <row r="1987" spans="1:6" x14ac:dyDescent="0.15">
      <c r="A1987" s="1">
        <v>40515</v>
      </c>
      <c r="B1987" t="s">
        <v>3776</v>
      </c>
      <c r="C1987" s="2" t="str">
        <f>HYPERLINK("http://snap.windin.com/ns/bulletin.php?id=117245&amp;type=1", "四方股份:首发招股说明书（申报稿）")</f>
        <v>四方股份:首发招股说明书（申报稿）</v>
      </c>
      <c r="D1987" t="s">
        <v>8352</v>
      </c>
      <c r="E1987" t="s">
        <v>5775</v>
      </c>
      <c r="F1987" t="s">
        <v>5513</v>
      </c>
    </row>
    <row r="1988" spans="1:6" x14ac:dyDescent="0.15">
      <c r="A1988" s="1">
        <v>40515</v>
      </c>
      <c r="B1988" t="s">
        <v>3809</v>
      </c>
      <c r="C1988" s="2" t="str">
        <f>HYPERLINK("http://snap.windin.com/ns/bulletin.php?id=1884893&amp;type=1", "香雪制药:首次公开发行股票并在创业板上市招股说明书")</f>
        <v>香雪制药:首次公开发行股票并在创业板上市招股说明书</v>
      </c>
      <c r="D1988" t="s">
        <v>8353</v>
      </c>
      <c r="E1988" t="s">
        <v>5813</v>
      </c>
      <c r="F1988" t="s">
        <v>455</v>
      </c>
    </row>
    <row r="1989" spans="1:6" x14ac:dyDescent="0.15">
      <c r="A1989" s="1">
        <v>40515</v>
      </c>
      <c r="B1989" t="s">
        <v>3768</v>
      </c>
      <c r="C1989" s="2" t="str">
        <f>HYPERLINK("http://snap.windin.com/ns/bulletin.php?id=1641471&amp;type=1", "鸿路钢构:首发招股说明书（申报稿）")</f>
        <v>鸿路钢构:首发招股说明书（申报稿）</v>
      </c>
      <c r="D1989" t="s">
        <v>8354</v>
      </c>
      <c r="E1989" t="s">
        <v>5767</v>
      </c>
      <c r="F1989" t="s">
        <v>5513</v>
      </c>
    </row>
    <row r="1990" spans="1:6" x14ac:dyDescent="0.15">
      <c r="A1990" s="1">
        <v>40515</v>
      </c>
      <c r="B1990" t="s">
        <v>3810</v>
      </c>
      <c r="C1990" s="2" t="str">
        <f>HYPERLINK("http://snap.windin.com/ns/bulletin.php?id=1458328&amp;type=1", "天舟文化:首次公开发行股票并在创业板上市招股说明书")</f>
        <v>天舟文化:首次公开发行股票并在创业板上市招股说明书</v>
      </c>
      <c r="D1990" t="s">
        <v>8355</v>
      </c>
      <c r="E1990" t="s">
        <v>5814</v>
      </c>
      <c r="F1990" t="s">
        <v>455</v>
      </c>
    </row>
    <row r="1991" spans="1:6" x14ac:dyDescent="0.15">
      <c r="A1991" s="1">
        <v>40515</v>
      </c>
      <c r="B1991" t="s">
        <v>3811</v>
      </c>
      <c r="C1991" s="2" t="str">
        <f>HYPERLINK("http://snap.windin.com/ns/bulletin.php?id=1567698&amp;type=1", "汤臣倍健:首次公开发行股票并在创业板上市招股说明书")</f>
        <v>汤臣倍健:首次公开发行股票并在创业板上市招股说明书</v>
      </c>
      <c r="D1991" t="s">
        <v>8356</v>
      </c>
      <c r="E1991" t="s">
        <v>5815</v>
      </c>
      <c r="F1991" t="s">
        <v>455</v>
      </c>
    </row>
    <row r="1992" spans="1:6" x14ac:dyDescent="0.15">
      <c r="A1992" s="1">
        <v>40515</v>
      </c>
      <c r="B1992" t="s">
        <v>3812</v>
      </c>
      <c r="C1992" s="2" t="str">
        <f>HYPERLINK("http://snap.windin.com/ns/bulletin.php?id=723411&amp;type=1", "大连港:首次公开发行A股股票招股说明书")</f>
        <v>大连港:首次公开发行A股股票招股说明书</v>
      </c>
      <c r="D1992" t="s">
        <v>8357</v>
      </c>
      <c r="E1992" t="s">
        <v>5816</v>
      </c>
      <c r="F1992" t="s">
        <v>462</v>
      </c>
    </row>
    <row r="1993" spans="1:6" x14ac:dyDescent="0.15">
      <c r="A1993" s="1">
        <v>40512</v>
      </c>
      <c r="B1993" t="s">
        <v>3813</v>
      </c>
      <c r="C1993" s="2" t="str">
        <f>HYPERLINK("http://snap.windin.com/ns/bulletin.php?id=1682647&amp;type=1", "日发数码:首次公开发行股票招股说明书")</f>
        <v>日发数码:首次公开发行股票招股说明书</v>
      </c>
      <c r="D1993" t="s">
        <v>8358</v>
      </c>
      <c r="E1993" t="s">
        <v>5817</v>
      </c>
      <c r="F1993" t="s">
        <v>399</v>
      </c>
    </row>
    <row r="1994" spans="1:6" x14ac:dyDescent="0.15">
      <c r="A1994" s="1">
        <v>40512</v>
      </c>
      <c r="B1994" t="s">
        <v>3814</v>
      </c>
      <c r="C1994" s="2" t="str">
        <f>HYPERLINK("http://snap.windin.com/ns/bulletin.php?id=1659191&amp;type=1", "浙江众成:首次公开发行股票招股说明书")</f>
        <v>浙江众成:首次公开发行股票招股说明书</v>
      </c>
      <c r="D1994" t="s">
        <v>8359</v>
      </c>
      <c r="E1994" t="s">
        <v>5818</v>
      </c>
      <c r="F1994" t="s">
        <v>399</v>
      </c>
    </row>
    <row r="1995" spans="1:6" x14ac:dyDescent="0.15">
      <c r="A1995" s="1">
        <v>40512</v>
      </c>
      <c r="B1995" t="s">
        <v>3739</v>
      </c>
      <c r="C1995" s="2" t="str">
        <f>HYPERLINK("http://snap.windin.com/ns/bulletin.php?id=81313&amp;type=1", "千红制药:首发招股说明书(申报稿)")</f>
        <v>千红制药:首发招股说明书(申报稿)</v>
      </c>
      <c r="D1995" t="s">
        <v>8360</v>
      </c>
      <c r="E1995" t="s">
        <v>5731</v>
      </c>
      <c r="F1995" t="s">
        <v>5523</v>
      </c>
    </row>
    <row r="1996" spans="1:6" x14ac:dyDescent="0.15">
      <c r="A1996" s="1">
        <v>40512</v>
      </c>
      <c r="B1996" t="s">
        <v>3815</v>
      </c>
      <c r="C1996" s="2" t="str">
        <f>HYPERLINK("http://snap.windin.com/ns/bulletin.php?id=1259224&amp;type=1", "天桥起重:首次公开发行股票招股说明书")</f>
        <v>天桥起重:首次公开发行股票招股说明书</v>
      </c>
      <c r="D1996" t="s">
        <v>8361</v>
      </c>
      <c r="E1996" t="s">
        <v>5819</v>
      </c>
      <c r="F1996" t="s">
        <v>399</v>
      </c>
    </row>
    <row r="1997" spans="1:6" x14ac:dyDescent="0.15">
      <c r="A1997" s="1">
        <v>40512</v>
      </c>
      <c r="B1997" t="s">
        <v>3816</v>
      </c>
      <c r="C1997" s="2" t="str">
        <f>HYPERLINK("http://snap.windin.com/ns/bulletin.php?id=586035&amp;type=1", "齐峰股份:首次公开发行股票招股说明书")</f>
        <v>齐峰股份:首次公开发行股票招股说明书</v>
      </c>
      <c r="D1997" t="s">
        <v>8362</v>
      </c>
      <c r="E1997" t="s">
        <v>5820</v>
      </c>
      <c r="F1997" t="s">
        <v>399</v>
      </c>
    </row>
    <row r="1998" spans="1:6" x14ac:dyDescent="0.15">
      <c r="A1998" s="1">
        <v>40512</v>
      </c>
      <c r="B1998" t="s">
        <v>3757</v>
      </c>
      <c r="C1998" s="2" t="str">
        <f>HYPERLINK("http://snap.windin.com/ns/bulletin.php?id=848931&amp;type=1", "杰赛科技:首发招股说明书（申报稿）")</f>
        <v>杰赛科技:首发招股说明书（申报稿）</v>
      </c>
      <c r="D1998" t="s">
        <v>8363</v>
      </c>
      <c r="E1998" t="s">
        <v>5753</v>
      </c>
      <c r="F1998" t="s">
        <v>5513</v>
      </c>
    </row>
    <row r="1999" spans="1:6" x14ac:dyDescent="0.15">
      <c r="A1999" s="1">
        <v>40508</v>
      </c>
      <c r="B1999" t="s">
        <v>3817</v>
      </c>
      <c r="C1999" s="2" t="str">
        <f>HYPERLINK("http://snap.windin.com/ns/bulletin.php?id=1415203&amp;type=1", "星河生物:首次公开发行股票并在创业板上市招股说明书")</f>
        <v>星河生物:首次公开发行股票并在创业板上市招股说明书</v>
      </c>
      <c r="D1999" t="s">
        <v>8364</v>
      </c>
      <c r="E1999" t="s">
        <v>5821</v>
      </c>
      <c r="F1999" t="s">
        <v>455</v>
      </c>
    </row>
    <row r="2000" spans="1:6" x14ac:dyDescent="0.15">
      <c r="A2000" s="1">
        <v>40508</v>
      </c>
      <c r="B2000" t="s">
        <v>3818</v>
      </c>
      <c r="C2000" s="2" t="str">
        <f>HYPERLINK("http://snap.windin.com/ns/bulletin.php?id=1829778&amp;type=1", "宋城股份:首次公开发行股票并在创业板上市招股说明书")</f>
        <v>宋城股份:首次公开发行股票并在创业板上市招股说明书</v>
      </c>
      <c r="D2000" t="s">
        <v>8365</v>
      </c>
      <c r="E2000" t="s">
        <v>5822</v>
      </c>
      <c r="F2000" t="s">
        <v>455</v>
      </c>
    </row>
    <row r="2001" spans="1:6" x14ac:dyDescent="0.15">
      <c r="A2001" s="1">
        <v>40508</v>
      </c>
      <c r="B2001" t="s">
        <v>3750</v>
      </c>
      <c r="C2001" s="2" t="str">
        <f>HYPERLINK("http://snap.windin.com/ns/bulletin.php?id=1902021&amp;type=1", "东方铁塔:首次公开发行股票招股说明书（申报稿）")</f>
        <v>东方铁塔:首次公开发行股票招股说明书（申报稿）</v>
      </c>
      <c r="D2001" t="s">
        <v>8366</v>
      </c>
      <c r="E2001" t="s">
        <v>5745</v>
      </c>
      <c r="F2001" t="s">
        <v>5452</v>
      </c>
    </row>
    <row r="2002" spans="1:6" x14ac:dyDescent="0.15">
      <c r="A2002" s="1">
        <v>40508</v>
      </c>
      <c r="B2002" t="s">
        <v>3770</v>
      </c>
      <c r="C2002" s="2" t="str">
        <f>HYPERLINK("http://snap.windin.com/ns/bulletin.php?id=1911649&amp;type=1", "司尔特:（首次公开发行股票招股说明书(申报稿）")</f>
        <v>司尔特:（首次公开发行股票招股说明书(申报稿）</v>
      </c>
      <c r="D2002" t="s">
        <v>8367</v>
      </c>
      <c r="E2002" t="s">
        <v>5769</v>
      </c>
      <c r="F2002" t="s">
        <v>5823</v>
      </c>
    </row>
    <row r="2003" spans="1:6" x14ac:dyDescent="0.15">
      <c r="A2003" s="1">
        <v>40508</v>
      </c>
      <c r="B2003" t="s">
        <v>3819</v>
      </c>
      <c r="C2003" s="2" t="str">
        <f>HYPERLINK("http://snap.windin.com/ns/bulletin.php?id=934171&amp;type=1", "南方泵业:首次公开发行股票并在创业板上市招股说明书")</f>
        <v>南方泵业:首次公开发行股票并在创业板上市招股说明书</v>
      </c>
      <c r="D2003" t="s">
        <v>8368</v>
      </c>
      <c r="E2003" t="s">
        <v>5824</v>
      </c>
      <c r="F2003" t="s">
        <v>455</v>
      </c>
    </row>
    <row r="2004" spans="1:6" x14ac:dyDescent="0.15">
      <c r="A2004" s="1">
        <v>40506</v>
      </c>
      <c r="B2004" t="s">
        <v>3820</v>
      </c>
      <c r="C2004" s="2" t="str">
        <f>HYPERLINK("http://snap.windin.com/ns/bulletin.php?id=78398&amp;type=1", "力帆股份:首次公开发行股票招股说明书")</f>
        <v>力帆股份:首次公开发行股票招股说明书</v>
      </c>
      <c r="D2004" t="s">
        <v>8369</v>
      </c>
      <c r="E2004" t="s">
        <v>5825</v>
      </c>
      <c r="F2004" t="s">
        <v>399</v>
      </c>
    </row>
    <row r="2005" spans="1:6" x14ac:dyDescent="0.15">
      <c r="A2005" s="1">
        <v>40505</v>
      </c>
      <c r="B2005" t="s">
        <v>3735</v>
      </c>
      <c r="C2005" s="2" t="str">
        <f>HYPERLINK("http://snap.windin.com/ns/bulletin.php?id=2004954&amp;type=1", "华峰超纤:创业板首发招股说明书（申报稿）")</f>
        <v>华峰超纤:创业板首发招股说明书（申报稿）</v>
      </c>
      <c r="D2005" t="s">
        <v>8370</v>
      </c>
      <c r="E2005" t="s">
        <v>5727</v>
      </c>
      <c r="F2005" t="s">
        <v>5450</v>
      </c>
    </row>
    <row r="2006" spans="1:6" x14ac:dyDescent="0.15">
      <c r="A2006" s="1">
        <v>40505</v>
      </c>
      <c r="B2006" t="s">
        <v>3753</v>
      </c>
      <c r="C2006" s="2" t="str">
        <f>HYPERLINK("http://snap.windin.com/ns/bulletin.php?id=193767&amp;type=1", "东富龙:创业板首发招股说明书（申报稿）")</f>
        <v>东富龙:创业板首发招股说明书（申报稿）</v>
      </c>
      <c r="D2006" t="s">
        <v>8371</v>
      </c>
      <c r="E2006" t="s">
        <v>5748</v>
      </c>
      <c r="F2006" t="s">
        <v>5450</v>
      </c>
    </row>
    <row r="2007" spans="1:6" x14ac:dyDescent="0.15">
      <c r="A2007" s="1">
        <v>40505</v>
      </c>
      <c r="B2007" t="s">
        <v>3821</v>
      </c>
      <c r="C2007" s="2" t="str">
        <f>HYPERLINK("http://snap.windin.com/ns/bulletin.php?id=540540&amp;type=1", "科士达:首次公开发行股票招股说明书")</f>
        <v>科士达:首次公开发行股票招股说明书</v>
      </c>
      <c r="D2007" t="s">
        <v>8372</v>
      </c>
      <c r="E2007" t="s">
        <v>5826</v>
      </c>
      <c r="F2007" t="s">
        <v>399</v>
      </c>
    </row>
    <row r="2008" spans="1:6" x14ac:dyDescent="0.15">
      <c r="A2008" s="1">
        <v>40505</v>
      </c>
      <c r="B2008" t="s">
        <v>3822</v>
      </c>
      <c r="C2008" s="2" t="str">
        <f>HYPERLINK("http://snap.windin.com/ns/bulletin.php?id=2072954&amp;type=1", "江苏旷达:首次公开发行股票招股说明书")</f>
        <v>江苏旷达:首次公开发行股票招股说明书</v>
      </c>
      <c r="D2008" t="s">
        <v>8373</v>
      </c>
      <c r="E2008" t="s">
        <v>5827</v>
      </c>
      <c r="F2008" t="s">
        <v>399</v>
      </c>
    </row>
    <row r="2009" spans="1:6" x14ac:dyDescent="0.15">
      <c r="A2009" s="1">
        <v>40505</v>
      </c>
      <c r="B2009" t="s">
        <v>3748</v>
      </c>
      <c r="C2009" s="2" t="str">
        <f>HYPERLINK("http://snap.windin.com/ns/bulletin.php?id=1906922&amp;type=1", "朗源股份:创业板首发招股说明书（申报稿）")</f>
        <v>朗源股份:创业板首发招股说明书（申报稿）</v>
      </c>
      <c r="D2009" t="s">
        <v>8374</v>
      </c>
      <c r="E2009" t="s">
        <v>5743</v>
      </c>
      <c r="F2009" t="s">
        <v>5450</v>
      </c>
    </row>
    <row r="2010" spans="1:6" x14ac:dyDescent="0.15">
      <c r="A2010" s="1">
        <v>40505</v>
      </c>
      <c r="B2010" t="s">
        <v>3823</v>
      </c>
      <c r="C2010" s="2" t="str">
        <f>HYPERLINK("http://snap.windin.com/ns/bulletin.php?id=1446852&amp;type=1", "泰亚股份:首次公开发行股票招股说明书")</f>
        <v>泰亚股份:首次公开发行股票招股说明书</v>
      </c>
      <c r="D2010" t="s">
        <v>8375</v>
      </c>
      <c r="E2010" t="s">
        <v>5828</v>
      </c>
      <c r="F2010" t="s">
        <v>399</v>
      </c>
    </row>
    <row r="2011" spans="1:6" x14ac:dyDescent="0.15">
      <c r="A2011" s="1">
        <v>40505</v>
      </c>
      <c r="B2011" t="s">
        <v>3700</v>
      </c>
      <c r="C2011" s="2" t="str">
        <f>HYPERLINK("http://snap.windin.com/ns/bulletin.php?id=1629203&amp;type=1", "福安药业:重庆福安药业（集团）股份有限公司创业板首发招股说明书（申报稿）")</f>
        <v>福安药业:重庆福安药业（集团）股份有限公司创业板首发招股说明书（申报稿）</v>
      </c>
      <c r="D2011" t="s">
        <v>8376</v>
      </c>
      <c r="E2011" t="s">
        <v>5688</v>
      </c>
      <c r="F2011" t="s">
        <v>5829</v>
      </c>
    </row>
    <row r="2012" spans="1:6" x14ac:dyDescent="0.15">
      <c r="A2012" s="1">
        <v>40505</v>
      </c>
      <c r="B2012" t="s">
        <v>3824</v>
      </c>
      <c r="C2012" s="2" t="str">
        <f>HYPERLINK("http://snap.windin.com/ns/bulletin.php?id=593381&amp;type=1", "银河电子:首次公开发行股票招股说明书")</f>
        <v>银河电子:首次公开发行股票招股说明书</v>
      </c>
      <c r="D2012" t="s">
        <v>8377</v>
      </c>
      <c r="E2012" t="s">
        <v>5830</v>
      </c>
      <c r="F2012" t="s">
        <v>399</v>
      </c>
    </row>
    <row r="2013" spans="1:6" x14ac:dyDescent="0.15">
      <c r="A2013" s="1">
        <v>40505</v>
      </c>
      <c r="B2013" t="s">
        <v>3825</v>
      </c>
      <c r="C2013" s="2" t="str">
        <f>HYPERLINK("http://snap.windin.com/ns/bulletin.php?id=941428&amp;type=1", "*ST环保:南京中电联环保股份有限公司创业板首发招股说明书（申报稿）")</f>
        <v>*ST环保:南京中电联环保股份有限公司创业板首发招股说明书（申报稿）</v>
      </c>
      <c r="D2013" t="s">
        <v>8378</v>
      </c>
      <c r="E2013" t="s">
        <v>5831</v>
      </c>
      <c r="F2013" t="s">
        <v>5832</v>
      </c>
    </row>
    <row r="2014" spans="1:6" x14ac:dyDescent="0.15">
      <c r="A2014" s="1">
        <v>40502</v>
      </c>
      <c r="B2014" t="s">
        <v>3424</v>
      </c>
      <c r="C2014" s="2" t="str">
        <f>HYPERLINK("http://snap.windin.com/ns/bulletin.php?id=438726&amp;type=1", "博浩生物:创业板首发招股说明书（申报稿）")</f>
        <v>博浩生物:创业板首发招股说明书（申报稿）</v>
      </c>
      <c r="D2014" t="s">
        <v>8379</v>
      </c>
      <c r="E2014" t="s">
        <v>5449</v>
      </c>
      <c r="F2014" t="s">
        <v>5450</v>
      </c>
    </row>
    <row r="2015" spans="1:6" x14ac:dyDescent="0.15">
      <c r="A2015" s="1">
        <v>40502</v>
      </c>
      <c r="B2015" t="s">
        <v>3755</v>
      </c>
      <c r="C2015" s="2" t="str">
        <f>HYPERLINK("http://snap.windin.com/ns/bulletin.php?id=2010629&amp;type=1", "松德股份:中山市松德包装机械股份有限公司创业板首发招股说明书（申报稿）")</f>
        <v>松德股份:中山市松德包装机械股份有限公司创业板首发招股说明书（申报稿）</v>
      </c>
      <c r="D2015" t="s">
        <v>8380</v>
      </c>
      <c r="E2015" t="s">
        <v>5750</v>
      </c>
      <c r="F2015" t="s">
        <v>5833</v>
      </c>
    </row>
    <row r="2016" spans="1:6" x14ac:dyDescent="0.15">
      <c r="A2016" s="1">
        <v>40502</v>
      </c>
      <c r="B2016" t="s">
        <v>3752</v>
      </c>
      <c r="C2016" s="2" t="str">
        <f>HYPERLINK("http://snap.windin.com/ns/bulletin.php?id=1521418&amp;type=1", "元力股份:创业板首发招股说明书（申报稿）")</f>
        <v>元力股份:创业板首发招股说明书（申报稿）</v>
      </c>
      <c r="D2016" t="s">
        <v>8381</v>
      </c>
      <c r="E2016" t="s">
        <v>5747</v>
      </c>
      <c r="F2016" t="s">
        <v>5450</v>
      </c>
    </row>
    <row r="2017" spans="1:6" x14ac:dyDescent="0.15">
      <c r="A2017" s="1">
        <v>40502</v>
      </c>
      <c r="B2017" t="s">
        <v>3762</v>
      </c>
      <c r="C2017" s="2" t="str">
        <f>HYPERLINK("http://snap.windin.com/ns/bulletin.php?id=572085&amp;type=1", "迪威视讯:创业板首发招股说明书（申报稿）")</f>
        <v>迪威视讯:创业板首发招股说明书（申报稿）</v>
      </c>
      <c r="D2017" t="s">
        <v>8382</v>
      </c>
      <c r="E2017" t="s">
        <v>5759</v>
      </c>
      <c r="F2017" t="s">
        <v>5450</v>
      </c>
    </row>
    <row r="2018" spans="1:6" x14ac:dyDescent="0.15">
      <c r="A2018" s="1">
        <v>40502</v>
      </c>
      <c r="B2018" t="s">
        <v>3754</v>
      </c>
      <c r="C2018" s="2" t="str">
        <f>HYPERLINK("http://snap.windin.com/ns/bulletin.php?id=760812&amp;type=1", "汉得信息:创业板首发招股说明书（申报稿）")</f>
        <v>汉得信息:创业板首发招股说明书（申报稿）</v>
      </c>
      <c r="D2018" t="s">
        <v>8383</v>
      </c>
      <c r="E2018" t="s">
        <v>5749</v>
      </c>
      <c r="F2018" t="s">
        <v>5450</v>
      </c>
    </row>
    <row r="2019" spans="1:6" x14ac:dyDescent="0.15">
      <c r="A2019" s="1">
        <v>40502</v>
      </c>
      <c r="B2019" t="s">
        <v>3760</v>
      </c>
      <c r="C2019" s="2" t="str">
        <f>HYPERLINK("http://snap.windin.com/ns/bulletin.php?id=1341363&amp;type=1", "东方国信:创业板首发招股说明书(申报稿)")</f>
        <v>东方国信:创业板首发招股说明书(申报稿)</v>
      </c>
      <c r="D2019" t="s">
        <v>8384</v>
      </c>
      <c r="E2019" t="s">
        <v>5757</v>
      </c>
      <c r="F2019" t="s">
        <v>5462</v>
      </c>
    </row>
    <row r="2020" spans="1:6" x14ac:dyDescent="0.15">
      <c r="A2020" s="1">
        <v>40502</v>
      </c>
      <c r="B2020" t="s">
        <v>3778</v>
      </c>
      <c r="C2020" s="2" t="str">
        <f>HYPERLINK("http://snap.windin.com/ns/bulletin.php?id=852902&amp;type=1", "海立美达:首发招股说明书（申报稿）")</f>
        <v>海立美达:首发招股说明书（申报稿）</v>
      </c>
      <c r="D2020" t="s">
        <v>8385</v>
      </c>
      <c r="E2020" t="s">
        <v>5777</v>
      </c>
      <c r="F2020" t="s">
        <v>5513</v>
      </c>
    </row>
    <row r="2021" spans="1:6" x14ac:dyDescent="0.15">
      <c r="A2021" s="1">
        <v>40501</v>
      </c>
      <c r="B2021" t="s">
        <v>3789</v>
      </c>
      <c r="C2021" s="2" t="str">
        <f>HYPERLINK("http://snap.windin.com/ns/bulletin.php?id=1250376&amp;type=1", "金杯电工:首发招股说明书（申报稿）")</f>
        <v>金杯电工:首发招股说明书（申报稿）</v>
      </c>
      <c r="D2021" t="s">
        <v>8386</v>
      </c>
      <c r="E2021" t="s">
        <v>5789</v>
      </c>
      <c r="F2021" t="s">
        <v>5513</v>
      </c>
    </row>
    <row r="2022" spans="1:6" x14ac:dyDescent="0.15">
      <c r="A2022" s="1">
        <v>40501</v>
      </c>
      <c r="B2022" t="s">
        <v>3826</v>
      </c>
      <c r="C2022" s="2" t="str">
        <f>HYPERLINK("http://snap.windin.com/ns/bulletin.php?id=1883713&amp;type=1", "达华智能:首次公开发行股票招股说明书")</f>
        <v>达华智能:首次公开发行股票招股说明书</v>
      </c>
      <c r="D2022" t="s">
        <v>8387</v>
      </c>
      <c r="E2022" t="s">
        <v>5834</v>
      </c>
      <c r="F2022" t="s">
        <v>399</v>
      </c>
    </row>
    <row r="2023" spans="1:6" x14ac:dyDescent="0.15">
      <c r="A2023" s="1">
        <v>40501</v>
      </c>
      <c r="B2023" t="s">
        <v>3827</v>
      </c>
      <c r="C2023" s="2" t="str">
        <f>HYPERLINK("http://snap.windin.com/ns/bulletin.php?id=1786009&amp;type=1", "蓝丰生化:首次公开发行股票招股说明书")</f>
        <v>蓝丰生化:首次公开发行股票招股说明书</v>
      </c>
      <c r="D2023" t="s">
        <v>8388</v>
      </c>
      <c r="E2023" t="s">
        <v>5835</v>
      </c>
      <c r="F2023" t="s">
        <v>399</v>
      </c>
    </row>
    <row r="2024" spans="1:6" x14ac:dyDescent="0.15">
      <c r="A2024" s="1">
        <v>40501</v>
      </c>
      <c r="B2024" t="s">
        <v>3781</v>
      </c>
      <c r="C2024" s="2" t="str">
        <f>HYPERLINK("http://snap.windin.com/ns/bulletin.php?id=1587582&amp;type=1", "亚星锚链:首发招股说明书（申报稿）")</f>
        <v>亚星锚链:首发招股说明书（申报稿）</v>
      </c>
      <c r="D2024" t="s">
        <v>8389</v>
      </c>
      <c r="E2024" t="s">
        <v>5780</v>
      </c>
      <c r="F2024" t="s">
        <v>5513</v>
      </c>
    </row>
    <row r="2025" spans="1:6" x14ac:dyDescent="0.15">
      <c r="A2025" s="1">
        <v>40501</v>
      </c>
      <c r="B2025" t="s">
        <v>3769</v>
      </c>
      <c r="C2025" s="2" t="str">
        <f>HYPERLINK("http://snap.windin.com/ns/bulletin.php?id=1087962&amp;type=1", "新都化工:首发招股说明书（申报稿）")</f>
        <v>新都化工:首发招股说明书（申报稿）</v>
      </c>
      <c r="D2025" t="s">
        <v>8390</v>
      </c>
      <c r="E2025" t="s">
        <v>5768</v>
      </c>
      <c r="F2025" t="s">
        <v>5513</v>
      </c>
    </row>
    <row r="2026" spans="1:6" x14ac:dyDescent="0.15">
      <c r="A2026" s="1">
        <v>40501</v>
      </c>
      <c r="B2026" t="s">
        <v>3828</v>
      </c>
      <c r="C2026" s="2" t="str">
        <f>HYPERLINK("http://snap.windin.com/ns/bulletin.php?id=788461&amp;type=1", "宝馨科技:首次公开发行股票招股说明书")</f>
        <v>宝馨科技:首次公开发行股票招股说明书</v>
      </c>
      <c r="D2026" t="s">
        <v>8391</v>
      </c>
      <c r="E2026" t="s">
        <v>5836</v>
      </c>
      <c r="F2026" t="s">
        <v>399</v>
      </c>
    </row>
    <row r="2027" spans="1:6" x14ac:dyDescent="0.15">
      <c r="A2027" s="1">
        <v>40501</v>
      </c>
      <c r="B2027" t="s">
        <v>3829</v>
      </c>
      <c r="C2027" s="2" t="str">
        <f>HYPERLINK("http://snap.windin.com/ns/bulletin.php?id=1039290&amp;type=1", "金字火腿:首次公开发行股票招股说明书")</f>
        <v>金字火腿:首次公开发行股票招股说明书</v>
      </c>
      <c r="D2027" t="s">
        <v>8392</v>
      </c>
      <c r="E2027" t="s">
        <v>5837</v>
      </c>
      <c r="F2027" t="s">
        <v>399</v>
      </c>
    </row>
    <row r="2028" spans="1:6" x14ac:dyDescent="0.15">
      <c r="A2028" s="1">
        <v>40498</v>
      </c>
      <c r="B2028" t="s">
        <v>3774</v>
      </c>
      <c r="C2028" s="2" t="str">
        <f>HYPERLINK("http://snap.windin.com/ns/bulletin.php?id=1711797&amp;type=1", "通源石油:创业板首发招股说明书（申报稿）")</f>
        <v>通源石油:创业板首发招股说明书（申报稿）</v>
      </c>
      <c r="D2028" t="s">
        <v>8393</v>
      </c>
      <c r="E2028" t="s">
        <v>5773</v>
      </c>
      <c r="F2028" t="s">
        <v>5450</v>
      </c>
    </row>
    <row r="2029" spans="1:6" x14ac:dyDescent="0.15">
      <c r="A2029" s="1">
        <v>40498</v>
      </c>
      <c r="B2029" t="s">
        <v>3775</v>
      </c>
      <c r="C2029" s="2" t="str">
        <f>HYPERLINK("http://snap.windin.com/ns/bulletin.php?id=85722&amp;type=1", "先锋新材:创业板首发招股说明书（申报稿）")</f>
        <v>先锋新材:创业板首发招股说明书（申报稿）</v>
      </c>
      <c r="D2029" t="s">
        <v>8394</v>
      </c>
      <c r="E2029" t="s">
        <v>5774</v>
      </c>
      <c r="F2029" t="s">
        <v>5450</v>
      </c>
    </row>
    <row r="2030" spans="1:6" x14ac:dyDescent="0.15">
      <c r="A2030" s="1">
        <v>40498</v>
      </c>
      <c r="B2030" t="s">
        <v>3773</v>
      </c>
      <c r="C2030" s="2" t="str">
        <f>HYPERLINK("http://snap.windin.com/ns/bulletin.php?id=71949&amp;type=1", "秀强股份:创业板首发招股说明书（申报稿）")</f>
        <v>秀强股份:创业板首发招股说明书（申报稿）</v>
      </c>
      <c r="D2030" t="s">
        <v>8395</v>
      </c>
      <c r="E2030" t="s">
        <v>5772</v>
      </c>
      <c r="F2030" t="s">
        <v>5450</v>
      </c>
    </row>
    <row r="2031" spans="1:6" x14ac:dyDescent="0.15">
      <c r="A2031" s="1">
        <v>40498</v>
      </c>
      <c r="B2031" t="s">
        <v>3724</v>
      </c>
      <c r="C2031" s="2" t="str">
        <f>HYPERLINK("http://snap.windin.com/ns/bulletin.php?id=1428603&amp;type=1", "洽洽食品:首发招股说明书（申报稿）")</f>
        <v>洽洽食品:首发招股说明书（申报稿）</v>
      </c>
      <c r="D2031" t="s">
        <v>8396</v>
      </c>
      <c r="E2031" t="s">
        <v>5716</v>
      </c>
      <c r="F2031" t="s">
        <v>5513</v>
      </c>
    </row>
    <row r="2032" spans="1:6" x14ac:dyDescent="0.15">
      <c r="A2032" s="1">
        <v>40498</v>
      </c>
      <c r="B2032" t="s">
        <v>3777</v>
      </c>
      <c r="C2032" s="2" t="str">
        <f>HYPERLINK("http://snap.windin.com/ns/bulletin.php?id=759965&amp;type=1", "西泵股份:首发招股说明书（申报稿）")</f>
        <v>西泵股份:首发招股说明书（申报稿）</v>
      </c>
      <c r="D2032" t="s">
        <v>8397</v>
      </c>
      <c r="E2032" t="s">
        <v>5776</v>
      </c>
      <c r="F2032" t="s">
        <v>5513</v>
      </c>
    </row>
    <row r="2033" spans="1:6" x14ac:dyDescent="0.15">
      <c r="A2033" s="1">
        <v>40495</v>
      </c>
      <c r="B2033" t="s">
        <v>3783</v>
      </c>
      <c r="C2033" s="2" t="str">
        <f>HYPERLINK("http://snap.windin.com/ns/bulletin.php?id=1164071&amp;type=1", "新研股份:创业板首发招股说明书（申报稿）")</f>
        <v>新研股份:创业板首发招股说明书（申报稿）</v>
      </c>
      <c r="D2033" t="s">
        <v>8398</v>
      </c>
      <c r="E2033" t="s">
        <v>5782</v>
      </c>
      <c r="F2033" t="s">
        <v>5450</v>
      </c>
    </row>
    <row r="2034" spans="1:6" x14ac:dyDescent="0.15">
      <c r="A2034" s="1">
        <v>40495</v>
      </c>
      <c r="B2034" t="s">
        <v>3779</v>
      </c>
      <c r="C2034" s="2" t="str">
        <f>HYPERLINK("http://snap.windin.com/ns/bulletin.php?id=1220035&amp;type=1", "林州重机:首发招股说明书（申报稿）")</f>
        <v>林州重机:首发招股说明书（申报稿）</v>
      </c>
      <c r="D2034" t="s">
        <v>8399</v>
      </c>
      <c r="E2034" t="s">
        <v>5778</v>
      </c>
      <c r="F2034" t="s">
        <v>5513</v>
      </c>
    </row>
    <row r="2035" spans="1:6" x14ac:dyDescent="0.15">
      <c r="A2035" s="1">
        <v>40495</v>
      </c>
      <c r="B2035" t="s">
        <v>356</v>
      </c>
      <c r="C2035" s="2" t="str">
        <f>HYPERLINK("http://snap.windin.com/ns/bulletin.php?id=1970417&amp;type=1", "北京君正:创业板首发招股说明书（申报稿）")</f>
        <v>北京君正:创业板首发招股说明书（申报稿）</v>
      </c>
      <c r="D2035" t="s">
        <v>8400</v>
      </c>
      <c r="E2035" t="s">
        <v>849</v>
      </c>
      <c r="F2035" t="s">
        <v>5450</v>
      </c>
    </row>
    <row r="2036" spans="1:6" x14ac:dyDescent="0.15">
      <c r="A2036" s="1">
        <v>40495</v>
      </c>
      <c r="B2036" t="s">
        <v>3704</v>
      </c>
      <c r="C2036" s="2" t="str">
        <f>HYPERLINK("http://snap.windin.com/ns/bulletin.php?id=1831844&amp;type=1", "潜能恒信:创业板首发招股说明书(申报稿)")</f>
        <v>潜能恒信:创业板首发招股说明书(申报稿)</v>
      </c>
      <c r="D2036" t="s">
        <v>8401</v>
      </c>
      <c r="E2036" t="s">
        <v>5693</v>
      </c>
      <c r="F2036" t="s">
        <v>5462</v>
      </c>
    </row>
    <row r="2037" spans="1:6" x14ac:dyDescent="0.15">
      <c r="A2037" s="1">
        <v>40495</v>
      </c>
      <c r="B2037" t="s">
        <v>3764</v>
      </c>
      <c r="C2037" s="2" t="str">
        <f>HYPERLINK("http://snap.windin.com/ns/bulletin.php?id=1902457&amp;type=1", "天瑞仪器:创业板首发招股说明书（申报稿）")</f>
        <v>天瑞仪器:创业板首发招股说明书（申报稿）</v>
      </c>
      <c r="D2037" t="s">
        <v>8402</v>
      </c>
      <c r="E2037" t="s">
        <v>5762</v>
      </c>
      <c r="F2037" t="s">
        <v>5450</v>
      </c>
    </row>
    <row r="2038" spans="1:6" x14ac:dyDescent="0.15">
      <c r="A2038" s="1">
        <v>40495</v>
      </c>
      <c r="B2038" t="s">
        <v>295</v>
      </c>
      <c r="C2038" s="2" t="str">
        <f>HYPERLINK("http://snap.windin.com/ns/bulletin.php?id=918621&amp;type=1", "捷顺科技:首次公开发行股票招股说明书（申报稿）")</f>
        <v>捷顺科技:首次公开发行股票招股说明书（申报稿）</v>
      </c>
      <c r="D2038" t="s">
        <v>8403</v>
      </c>
      <c r="E2038" t="s">
        <v>782</v>
      </c>
      <c r="F2038" t="s">
        <v>5452</v>
      </c>
    </row>
    <row r="2039" spans="1:6" x14ac:dyDescent="0.15">
      <c r="A2039" s="1">
        <v>40494</v>
      </c>
      <c r="B2039" t="s">
        <v>58</v>
      </c>
      <c r="C2039" s="2" t="str">
        <f>HYPERLINK("http://snap.windin.com/ns/bulletin.php?id=415114&amp;type=1", "腾新食品:首次公开发行股票招股说明书（申报稿）")</f>
        <v>腾新食品:首次公开发行股票招股说明书（申报稿）</v>
      </c>
      <c r="D2039" t="s">
        <v>8404</v>
      </c>
      <c r="E2039" t="s">
        <v>486</v>
      </c>
      <c r="F2039" t="s">
        <v>5452</v>
      </c>
    </row>
    <row r="2040" spans="1:6" x14ac:dyDescent="0.15">
      <c r="A2040" s="1">
        <v>40494</v>
      </c>
      <c r="B2040" t="s">
        <v>3800</v>
      </c>
      <c r="C2040" s="2" t="str">
        <f>HYPERLINK("http://snap.windin.com/ns/bulletin.php?id=1323460&amp;type=1", "永辉超市:首次公开发行股票招股说明书（申报稿）")</f>
        <v>永辉超市:首次公开发行股票招股说明书（申报稿）</v>
      </c>
      <c r="D2040" t="s">
        <v>8405</v>
      </c>
      <c r="E2040" t="s">
        <v>5802</v>
      </c>
      <c r="F2040" t="s">
        <v>5452</v>
      </c>
    </row>
    <row r="2041" spans="1:6" x14ac:dyDescent="0.15">
      <c r="A2041" s="1">
        <v>40494</v>
      </c>
      <c r="B2041" t="s">
        <v>3830</v>
      </c>
      <c r="C2041" s="2" t="str">
        <f>HYPERLINK("http://snap.windin.com/ns/bulletin.php?id=1894829&amp;type=1", "中顺洁柔:首次公开发行股票招股说明书")</f>
        <v>中顺洁柔:首次公开发行股票招股说明书</v>
      </c>
      <c r="D2041" t="s">
        <v>8406</v>
      </c>
      <c r="E2041" t="s">
        <v>5838</v>
      </c>
      <c r="F2041" t="s">
        <v>399</v>
      </c>
    </row>
    <row r="2042" spans="1:6" x14ac:dyDescent="0.15">
      <c r="A2042" s="1">
        <v>40494</v>
      </c>
      <c r="B2042" t="s">
        <v>3831</v>
      </c>
      <c r="C2042" s="2" t="str">
        <f>HYPERLINK("http://snap.windin.com/ns/bulletin.php?id=1452504&amp;type=1", "天汽模:首次公开发行股票招股说明书")</f>
        <v>天汽模:首次公开发行股票招股说明书</v>
      </c>
      <c r="D2042" t="s">
        <v>8407</v>
      </c>
      <c r="E2042" t="s">
        <v>5839</v>
      </c>
      <c r="F2042" t="s">
        <v>399</v>
      </c>
    </row>
    <row r="2043" spans="1:6" x14ac:dyDescent="0.15">
      <c r="A2043" s="1">
        <v>40494</v>
      </c>
      <c r="B2043" t="s">
        <v>3695</v>
      </c>
      <c r="C2043" s="2" t="str">
        <f>HYPERLINK("http://snap.windin.com/ns/bulletin.php?id=771305&amp;type=1", "唐人神:首次公开发行股票招股说明书（申报稿）")</f>
        <v>唐人神:首次公开发行股票招股说明书（申报稿）</v>
      </c>
      <c r="D2043" t="s">
        <v>8408</v>
      </c>
      <c r="E2043" t="s">
        <v>5683</v>
      </c>
      <c r="F2043" t="s">
        <v>5452</v>
      </c>
    </row>
    <row r="2044" spans="1:6" x14ac:dyDescent="0.15">
      <c r="A2044" s="1">
        <v>40491</v>
      </c>
      <c r="B2044" t="s">
        <v>3771</v>
      </c>
      <c r="C2044" s="2" t="str">
        <f>HYPERLINK("http://snap.windin.com/ns/bulletin.php?id=1751379&amp;type=1", "华中数控:创业板首发招股说明书（申报稿）")</f>
        <v>华中数控:创业板首发招股说明书（申报稿）</v>
      </c>
      <c r="D2044" t="s">
        <v>8409</v>
      </c>
      <c r="E2044" t="s">
        <v>5770</v>
      </c>
      <c r="F2044" t="s">
        <v>5450</v>
      </c>
    </row>
    <row r="2045" spans="1:6" x14ac:dyDescent="0.15">
      <c r="A2045" s="1">
        <v>40491</v>
      </c>
      <c r="B2045" t="s">
        <v>3832</v>
      </c>
      <c r="C2045" s="2" t="str">
        <f>HYPERLINK("http://snap.windin.com/ns/bulletin.php?id=1165329&amp;type=1", "老板电器:首次公开发行股票招股说明书")</f>
        <v>老板电器:首次公开发行股票招股说明书</v>
      </c>
      <c r="D2045" t="s">
        <v>8410</v>
      </c>
      <c r="E2045" t="s">
        <v>5840</v>
      </c>
      <c r="F2045" t="s">
        <v>399</v>
      </c>
    </row>
    <row r="2046" spans="1:6" x14ac:dyDescent="0.15">
      <c r="A2046" s="1">
        <v>40491</v>
      </c>
      <c r="B2046" t="s">
        <v>3833</v>
      </c>
      <c r="C2046" s="2" t="str">
        <f>HYPERLINK("http://snap.windin.com/ns/bulletin.php?id=1177703&amp;type=1", "天广消防:首次公开发行股票招股说明书")</f>
        <v>天广消防:首次公开发行股票招股说明书</v>
      </c>
      <c r="D2046" t="s">
        <v>8411</v>
      </c>
      <c r="E2046" t="s">
        <v>5841</v>
      </c>
      <c r="F2046" t="s">
        <v>399</v>
      </c>
    </row>
    <row r="2047" spans="1:6" x14ac:dyDescent="0.15">
      <c r="A2047" s="1">
        <v>40491</v>
      </c>
      <c r="B2047" t="s">
        <v>3763</v>
      </c>
      <c r="C2047" s="2" t="str">
        <f>HYPERLINK("http://snap.windin.com/ns/bulletin.php?id=453393&amp;type=1", "天晟新材:创业板首发招股说明书（申报稿）")</f>
        <v>天晟新材:创业板首发招股说明书（申报稿）</v>
      </c>
      <c r="D2047" t="s">
        <v>8412</v>
      </c>
      <c r="E2047" t="s">
        <v>5760</v>
      </c>
      <c r="F2047" t="s">
        <v>5450</v>
      </c>
    </row>
    <row r="2048" spans="1:6" x14ac:dyDescent="0.15">
      <c r="A2048" s="1">
        <v>40491</v>
      </c>
      <c r="B2048" t="s">
        <v>3772</v>
      </c>
      <c r="C2048" s="2" t="str">
        <f>HYPERLINK("http://snap.windin.com/ns/bulletin.php?id=2078549&amp;type=1", "雷曼光电:创业板首发招股说明书（申报稿）")</f>
        <v>雷曼光电:创业板首发招股说明书（申报稿）</v>
      </c>
      <c r="D2048" t="s">
        <v>8413</v>
      </c>
      <c r="E2048" t="s">
        <v>5771</v>
      </c>
      <c r="F2048" t="s">
        <v>5450</v>
      </c>
    </row>
    <row r="2049" spans="1:6" x14ac:dyDescent="0.15">
      <c r="A2049" s="1">
        <v>40491</v>
      </c>
      <c r="B2049" t="s">
        <v>3767</v>
      </c>
      <c r="C2049" s="2" t="str">
        <f>HYPERLINK("http://snap.windin.com/ns/bulletin.php?id=2059308&amp;type=1", "江苏亚太:首发招股说明书（申报稿）")</f>
        <v>江苏亚太:首发招股说明书（申报稿）</v>
      </c>
      <c r="D2049" t="s">
        <v>8414</v>
      </c>
      <c r="E2049" t="s">
        <v>5842</v>
      </c>
      <c r="F2049" t="s">
        <v>5513</v>
      </c>
    </row>
    <row r="2050" spans="1:6" x14ac:dyDescent="0.15">
      <c r="A2050" s="1">
        <v>40491</v>
      </c>
      <c r="B2050" t="s">
        <v>3834</v>
      </c>
      <c r="C2050" s="2" t="str">
        <f>HYPERLINK("http://snap.windin.com/ns/bulletin.php?id=608854&amp;type=1", "涪陵榨菜:首次公开发行股票招股说明书")</f>
        <v>涪陵榨菜:首次公开发行股票招股说明书</v>
      </c>
      <c r="D2050" t="s">
        <v>8415</v>
      </c>
      <c r="E2050" t="s">
        <v>5843</v>
      </c>
      <c r="F2050" t="s">
        <v>399</v>
      </c>
    </row>
    <row r="2051" spans="1:6" x14ac:dyDescent="0.15">
      <c r="A2051" s="1">
        <v>40491</v>
      </c>
      <c r="B2051" t="s">
        <v>3792</v>
      </c>
      <c r="C2051" s="2" t="str">
        <f>HYPERLINK("http://snap.windin.com/ns/bulletin.php?id=824703&amp;type=1", "燃控科技:创业板首发招股说明书（申报稿）")</f>
        <v>燃控科技:创业板首发招股说明书（申报稿）</v>
      </c>
      <c r="D2051" t="s">
        <v>8416</v>
      </c>
      <c r="E2051" t="s">
        <v>5794</v>
      </c>
      <c r="F2051" t="s">
        <v>5450</v>
      </c>
    </row>
    <row r="2052" spans="1:6" x14ac:dyDescent="0.15">
      <c r="A2052" s="1">
        <v>40488</v>
      </c>
      <c r="B2052" t="s">
        <v>3787</v>
      </c>
      <c r="C2052" s="2" t="str">
        <f>HYPERLINK("http://snap.windin.com/ns/bulletin.php?id=1340577&amp;type=1", "天顺风能:（苏州）股份有限公司首发招股说明书（申报稿）")</f>
        <v>天顺风能:（苏州）股份有限公司首发招股说明书（申报稿）</v>
      </c>
      <c r="D2052" t="s">
        <v>8417</v>
      </c>
      <c r="E2052" t="s">
        <v>5787</v>
      </c>
      <c r="F2052" t="s">
        <v>5844</v>
      </c>
    </row>
    <row r="2053" spans="1:6" x14ac:dyDescent="0.15">
      <c r="A2053" s="1">
        <v>40488</v>
      </c>
      <c r="B2053" t="s">
        <v>3780</v>
      </c>
      <c r="C2053" s="2" t="str">
        <f>HYPERLINK("http://snap.windin.com/ns/bulletin.php?id=1195349&amp;type=1", "杭锅股份:首发招股说明书（申报稿）")</f>
        <v>杭锅股份:首发招股说明书（申报稿）</v>
      </c>
      <c r="D2053" t="s">
        <v>8418</v>
      </c>
      <c r="E2053" t="s">
        <v>5779</v>
      </c>
      <c r="F2053" t="s">
        <v>5513</v>
      </c>
    </row>
    <row r="2054" spans="1:6" x14ac:dyDescent="0.15">
      <c r="A2054" s="1">
        <v>40487</v>
      </c>
      <c r="B2054" t="s">
        <v>3835</v>
      </c>
      <c r="C2054" s="2" t="str">
        <f>HYPERLINK("http://snap.windin.com/ns/bulletin.php?id=2102196&amp;type=1", "大康牧业:首次公开发行股票招股说明书")</f>
        <v>大康牧业:首次公开发行股票招股说明书</v>
      </c>
      <c r="D2054" t="s">
        <v>8419</v>
      </c>
      <c r="E2054" t="s">
        <v>5845</v>
      </c>
      <c r="F2054" t="s">
        <v>399</v>
      </c>
    </row>
    <row r="2055" spans="1:6" x14ac:dyDescent="0.15">
      <c r="A2055" s="1">
        <v>40487</v>
      </c>
      <c r="B2055" t="s">
        <v>3836</v>
      </c>
      <c r="C2055" s="2" t="str">
        <f>HYPERLINK("http://snap.windin.com/ns/bulletin.php?id=100622&amp;type=1", "超日太阳:首次公开发行股票招股说明书")</f>
        <v>超日太阳:首次公开发行股票招股说明书</v>
      </c>
      <c r="D2055" t="s">
        <v>8420</v>
      </c>
      <c r="E2055" t="s">
        <v>5846</v>
      </c>
      <c r="F2055" t="s">
        <v>399</v>
      </c>
    </row>
    <row r="2056" spans="1:6" x14ac:dyDescent="0.15">
      <c r="A2056" s="1">
        <v>40487</v>
      </c>
      <c r="B2056" t="s">
        <v>3837</v>
      </c>
      <c r="C2056" s="2" t="str">
        <f>HYPERLINK("http://snap.windin.com/ns/bulletin.php?id=241169&amp;type=1", "东光微电:首次公开发行股票招股说明书")</f>
        <v>东光微电:首次公开发行股票招股说明书</v>
      </c>
      <c r="D2056" t="s">
        <v>8421</v>
      </c>
      <c r="E2056" t="s">
        <v>5847</v>
      </c>
      <c r="F2056" t="s">
        <v>399</v>
      </c>
    </row>
    <row r="2057" spans="1:6" x14ac:dyDescent="0.15">
      <c r="A2057" s="1">
        <v>40487</v>
      </c>
      <c r="B2057" t="s">
        <v>3788</v>
      </c>
      <c r="C2057" s="2" t="str">
        <f>HYPERLINK("http://snap.windin.com/ns/bulletin.php?id=1192533&amp;type=1", "新界泵业:浙江新界泵业股份有限公司首发招股说明书（申报稿）")</f>
        <v>新界泵业:浙江新界泵业股份有限公司首发招股说明书（申报稿）</v>
      </c>
      <c r="D2057" t="s">
        <v>8422</v>
      </c>
      <c r="E2057" t="s">
        <v>5788</v>
      </c>
      <c r="F2057" t="s">
        <v>5848</v>
      </c>
    </row>
    <row r="2058" spans="1:6" x14ac:dyDescent="0.15">
      <c r="A2058" s="1">
        <v>40487</v>
      </c>
      <c r="B2058" t="s">
        <v>3807</v>
      </c>
      <c r="C2058" s="2" t="str">
        <f>HYPERLINK("http://snap.windin.com/ns/bulletin.php?id=1294103&amp;type=1", "山东矿机:首发招股说明书（申报稿）")</f>
        <v>山东矿机:首发招股说明书（申报稿）</v>
      </c>
      <c r="D2058" t="s">
        <v>8423</v>
      </c>
      <c r="E2058" t="s">
        <v>5811</v>
      </c>
      <c r="F2058" t="s">
        <v>5513</v>
      </c>
    </row>
    <row r="2059" spans="1:6" x14ac:dyDescent="0.15">
      <c r="A2059" s="1">
        <v>40486</v>
      </c>
      <c r="B2059" t="s">
        <v>3809</v>
      </c>
      <c r="C2059" s="2" t="str">
        <f>HYPERLINK("http://snap.windin.com/ns/bulletin.php?id=2022977&amp;type=1", "香雪制药:创业板首发招股说明书（申报稿）")</f>
        <v>香雪制药:创业板首发招股说明书（申报稿）</v>
      </c>
      <c r="D2059" t="s">
        <v>8424</v>
      </c>
      <c r="E2059" t="s">
        <v>5813</v>
      </c>
      <c r="F2059" t="s">
        <v>5450</v>
      </c>
    </row>
    <row r="2060" spans="1:6" x14ac:dyDescent="0.15">
      <c r="A2060" s="1">
        <v>40486</v>
      </c>
      <c r="B2060" t="s">
        <v>3803</v>
      </c>
      <c r="C2060" s="2" t="str">
        <f>HYPERLINK("http://snap.windin.com/ns/bulletin.php?id=1425391&amp;type=1", "世纪瑞尔:创业板首发招股说明书（申报稿）")</f>
        <v>世纪瑞尔:创业板首发招股说明书（申报稿）</v>
      </c>
      <c r="D2060" t="s">
        <v>8425</v>
      </c>
      <c r="E2060" t="s">
        <v>5806</v>
      </c>
      <c r="F2060" t="s">
        <v>5450</v>
      </c>
    </row>
    <row r="2061" spans="1:6" x14ac:dyDescent="0.15">
      <c r="A2061" s="1">
        <v>40486</v>
      </c>
      <c r="B2061" t="s">
        <v>3793</v>
      </c>
      <c r="C2061" s="2" t="str">
        <f>HYPERLINK("http://snap.windin.com/ns/bulletin.php?id=648346&amp;type=1", "科泰电源:创业板首发招股说明书（申报稿）")</f>
        <v>科泰电源:创业板首发招股说明书（申报稿）</v>
      </c>
      <c r="D2061" t="s">
        <v>8426</v>
      </c>
      <c r="E2061" t="s">
        <v>5795</v>
      </c>
      <c r="F2061" t="s">
        <v>5450</v>
      </c>
    </row>
    <row r="2062" spans="1:6" x14ac:dyDescent="0.15">
      <c r="A2062" s="1">
        <v>40484</v>
      </c>
      <c r="B2062" t="s">
        <v>303</v>
      </c>
      <c r="C2062" s="2" t="str">
        <f>HYPERLINK("http://snap.windin.com/ns/bulletin.php?id=1750661&amp;type=1", "大连电瓷:首发招股说明书（申报稿）")</f>
        <v>大连电瓷:首发招股说明书（申报稿）</v>
      </c>
      <c r="D2062" t="s">
        <v>8427</v>
      </c>
      <c r="E2062" t="s">
        <v>790</v>
      </c>
      <c r="F2062" t="s">
        <v>5513</v>
      </c>
    </row>
    <row r="2063" spans="1:6" x14ac:dyDescent="0.15">
      <c r="A2063" s="1">
        <v>40484</v>
      </c>
      <c r="B2063" t="s">
        <v>3799</v>
      </c>
      <c r="C2063" s="2" t="str">
        <f>HYPERLINK("http://snap.windin.com/ns/bulletin.php?id=185376&amp;type=1", "英飞拓:首发招股说明书（申报稿）")</f>
        <v>英飞拓:首发招股说明书（申报稿）</v>
      </c>
      <c r="D2063" t="s">
        <v>8428</v>
      </c>
      <c r="E2063" t="s">
        <v>5801</v>
      </c>
      <c r="F2063" t="s">
        <v>5513</v>
      </c>
    </row>
    <row r="2064" spans="1:6" x14ac:dyDescent="0.15">
      <c r="A2064" s="1">
        <v>40484</v>
      </c>
      <c r="B2064" t="s">
        <v>3806</v>
      </c>
      <c r="C2064" s="2" t="str">
        <f>HYPERLINK("http://snap.windin.com/ns/bulletin.php?id=402821&amp;type=1", "光正钢构:首开招股说明书（申报稿）")</f>
        <v>光正钢构:首开招股说明书（申报稿）</v>
      </c>
      <c r="D2064" t="s">
        <v>8429</v>
      </c>
      <c r="E2064" t="s">
        <v>5809</v>
      </c>
      <c r="F2064" t="s">
        <v>5613</v>
      </c>
    </row>
    <row r="2065" spans="1:6" x14ac:dyDescent="0.15">
      <c r="A2065" s="1">
        <v>40484</v>
      </c>
      <c r="B2065" t="s">
        <v>3838</v>
      </c>
      <c r="C2065" s="2" t="str">
        <f>HYPERLINK("http://snap.windin.com/ns/bulletin.php?id=513973&amp;type=1", "利源铝业:首次公开发行股票招股说明书")</f>
        <v>利源铝业:首次公开发行股票招股说明书</v>
      </c>
      <c r="D2065" t="s">
        <v>8430</v>
      </c>
      <c r="E2065" t="s">
        <v>5849</v>
      </c>
      <c r="F2065" t="s">
        <v>399</v>
      </c>
    </row>
    <row r="2066" spans="1:6" x14ac:dyDescent="0.15">
      <c r="A2066" s="1">
        <v>40484</v>
      </c>
      <c r="B2066" t="s">
        <v>3805</v>
      </c>
      <c r="C2066" s="2" t="str">
        <f>HYPERLINK("http://snap.windin.com/ns/bulletin.php?id=437470&amp;type=1", "昌红科技:创业板首发招股说明书(申报稿)")</f>
        <v>昌红科技:创业板首发招股说明书(申报稿)</v>
      </c>
      <c r="D2066" t="s">
        <v>8431</v>
      </c>
      <c r="E2066" t="s">
        <v>5808</v>
      </c>
      <c r="F2066" t="s">
        <v>5462</v>
      </c>
    </row>
    <row r="2067" spans="1:6" x14ac:dyDescent="0.15">
      <c r="A2067" s="1">
        <v>40484</v>
      </c>
      <c r="B2067" t="s">
        <v>3839</v>
      </c>
      <c r="C2067" s="2" t="str">
        <f>HYPERLINK("http://snap.windin.com/ns/bulletin.php?id=2071525&amp;type=1", "骅威股份:首次公开发行股票招股说明书")</f>
        <v>骅威股份:首次公开发行股票招股说明书</v>
      </c>
      <c r="D2067" t="s">
        <v>8432</v>
      </c>
      <c r="E2067" t="s">
        <v>5850</v>
      </c>
      <c r="F2067" t="s">
        <v>399</v>
      </c>
    </row>
    <row r="2068" spans="1:6" x14ac:dyDescent="0.15">
      <c r="A2068" s="1">
        <v>40484</v>
      </c>
      <c r="B2068" t="s">
        <v>3786</v>
      </c>
      <c r="C2068" s="2" t="str">
        <f>HYPERLINK("http://snap.windin.com/ns/bulletin.php?id=1889329&amp;type=1", "安居宝:创业板首发招股说明书(申报稿)")</f>
        <v>安居宝:创业板首发招股说明书(申报稿)</v>
      </c>
      <c r="D2068" t="s">
        <v>8433</v>
      </c>
      <c r="E2068" t="s">
        <v>5785</v>
      </c>
      <c r="F2068" t="s">
        <v>5462</v>
      </c>
    </row>
    <row r="2069" spans="1:6" x14ac:dyDescent="0.15">
      <c r="A2069" s="1">
        <v>40484</v>
      </c>
      <c r="B2069" t="s">
        <v>3840</v>
      </c>
      <c r="C2069" s="2" t="str">
        <f>HYPERLINK("http://snap.windin.com/ns/bulletin.php?id=944980&amp;type=1", "搜于特:首次公开发行股票招股说明书")</f>
        <v>搜于特:首次公开发行股票招股说明书</v>
      </c>
      <c r="D2069" t="s">
        <v>8434</v>
      </c>
      <c r="E2069" t="s">
        <v>5851</v>
      </c>
      <c r="F2069" t="s">
        <v>399</v>
      </c>
    </row>
    <row r="2070" spans="1:6" x14ac:dyDescent="0.15">
      <c r="A2070" s="1">
        <v>40483</v>
      </c>
      <c r="B2070" t="s">
        <v>3841</v>
      </c>
      <c r="C2070" s="2" t="str">
        <f>HYPERLINK("http://snap.windin.com/ns/bulletin.php?id=1605561&amp;type=1", "九州通:首次公开发行股票招股说明书")</f>
        <v>九州通:首次公开发行股票招股说明书</v>
      </c>
      <c r="D2070" t="s">
        <v>8435</v>
      </c>
      <c r="E2070" t="s">
        <v>5852</v>
      </c>
      <c r="F2070" t="s">
        <v>399</v>
      </c>
    </row>
    <row r="2071" spans="1:6" x14ac:dyDescent="0.15">
      <c r="A2071" s="1">
        <v>40481</v>
      </c>
      <c r="B2071" t="s">
        <v>3559</v>
      </c>
      <c r="C2071" s="2" t="str">
        <f>HYPERLINK("http://snap.windin.com/ns/bulletin.php?id=857852&amp;type=1", "富煌钢构:首发招股说明书（申报稿）")</f>
        <v>富煌钢构:首发招股说明书（申报稿）</v>
      </c>
      <c r="D2071" t="s">
        <v>8436</v>
      </c>
      <c r="E2071" t="s">
        <v>5537</v>
      </c>
      <c r="F2071" t="s">
        <v>5513</v>
      </c>
    </row>
    <row r="2072" spans="1:6" x14ac:dyDescent="0.15">
      <c r="A2072" s="1">
        <v>40481</v>
      </c>
      <c r="B2072" t="s">
        <v>3737</v>
      </c>
      <c r="C2072" s="2" t="str">
        <f>HYPERLINK("http://snap.windin.com/ns/bulletin.php?id=969107&amp;type=1", "春兴精工:首次公开发行股票招股说明书（申报稿）")</f>
        <v>春兴精工:首次公开发行股票招股说明书（申报稿）</v>
      </c>
      <c r="D2072" t="s">
        <v>8437</v>
      </c>
      <c r="E2072" t="s">
        <v>5729</v>
      </c>
      <c r="F2072" t="s">
        <v>5452</v>
      </c>
    </row>
    <row r="2073" spans="1:6" x14ac:dyDescent="0.15">
      <c r="A2073" s="1">
        <v>40480</v>
      </c>
      <c r="B2073" t="s">
        <v>3842</v>
      </c>
      <c r="C2073" s="2" t="str">
        <f>HYPERLINK("http://snap.windin.com/ns/bulletin.php?id=1726148&amp;type=1", "和顺电气:首次公开发行股票并在创业板上市招股说明书")</f>
        <v>和顺电气:首次公开发行股票并在创业板上市招股说明书</v>
      </c>
      <c r="D2073" t="s">
        <v>8438</v>
      </c>
      <c r="E2073" t="s">
        <v>5853</v>
      </c>
      <c r="F2073" t="s">
        <v>455</v>
      </c>
    </row>
    <row r="2074" spans="1:6" x14ac:dyDescent="0.15">
      <c r="A2074" s="1">
        <v>40480</v>
      </c>
      <c r="B2074" t="s">
        <v>3843</v>
      </c>
      <c r="C2074" s="2" t="str">
        <f>HYPERLINK("http://snap.windin.com/ns/bulletin.php?id=1651898&amp;type=1", "启源装备:首次公开发行股票并在创业板上市招股说明书")</f>
        <v>启源装备:首次公开发行股票并在创业板上市招股说明书</v>
      </c>
      <c r="D2074" t="s">
        <v>8439</v>
      </c>
      <c r="E2074" t="s">
        <v>5854</v>
      </c>
      <c r="F2074" t="s">
        <v>455</v>
      </c>
    </row>
    <row r="2075" spans="1:6" x14ac:dyDescent="0.15">
      <c r="A2075" s="1">
        <v>40480</v>
      </c>
      <c r="B2075" t="s">
        <v>3844</v>
      </c>
      <c r="C2075" s="2" t="str">
        <f>HYPERLINK("http://snap.windin.com/ns/bulletin.php?id=1662077&amp;type=1", "康乐药业:首次公开发行股票招股说明书（申报稿）")</f>
        <v>康乐药业:首次公开发行股票招股说明书（申报稿）</v>
      </c>
      <c r="D2075" t="s">
        <v>8440</v>
      </c>
      <c r="E2075" t="s">
        <v>5855</v>
      </c>
      <c r="F2075" t="s">
        <v>5452</v>
      </c>
    </row>
    <row r="2076" spans="1:6" x14ac:dyDescent="0.15">
      <c r="A2076" s="1">
        <v>40480</v>
      </c>
      <c r="B2076" t="s">
        <v>3845</v>
      </c>
      <c r="C2076" s="2" t="str">
        <f>HYPERLINK("http://snap.windin.com/ns/bulletin.php?id=232772&amp;type=1", "山西证券:首次公开发行A股股票招股说明书")</f>
        <v>山西证券:首次公开发行A股股票招股说明书</v>
      </c>
      <c r="D2076" t="s">
        <v>8441</v>
      </c>
      <c r="E2076" t="s">
        <v>5856</v>
      </c>
      <c r="F2076" t="s">
        <v>462</v>
      </c>
    </row>
    <row r="2077" spans="1:6" x14ac:dyDescent="0.15">
      <c r="A2077" s="1">
        <v>40480</v>
      </c>
      <c r="B2077" t="s">
        <v>3846</v>
      </c>
      <c r="C2077" s="2" t="str">
        <f>HYPERLINK("http://snap.windin.com/ns/bulletin.php?id=508662&amp;type=1", "福星晓程:首次公开发行股票并在创业板上市招股说明书")</f>
        <v>福星晓程:首次公开发行股票并在创业板上市招股说明书</v>
      </c>
      <c r="D2077" t="s">
        <v>8442</v>
      </c>
      <c r="E2077" t="s">
        <v>5857</v>
      </c>
      <c r="F2077" t="s">
        <v>455</v>
      </c>
    </row>
    <row r="2078" spans="1:6" x14ac:dyDescent="0.15">
      <c r="A2078" s="1">
        <v>40480</v>
      </c>
      <c r="B2078" t="s">
        <v>3847</v>
      </c>
      <c r="C2078" s="2" t="str">
        <f>HYPERLINK("http://snap.windin.com/ns/bulletin.php?id=1853779&amp;type=1", "美凯电子:首发招股说明书（申报稿）")</f>
        <v>美凯电子:首发招股说明书（申报稿）</v>
      </c>
      <c r="D2078" t="s">
        <v>8443</v>
      </c>
      <c r="E2078" t="s">
        <v>5858</v>
      </c>
      <c r="F2078" t="s">
        <v>5513</v>
      </c>
    </row>
    <row r="2079" spans="1:6" x14ac:dyDescent="0.15">
      <c r="A2079" s="1">
        <v>40480</v>
      </c>
      <c r="B2079" t="s">
        <v>3848</v>
      </c>
      <c r="C2079" s="2" t="str">
        <f>HYPERLINK("http://snap.windin.com/ns/bulletin.php?id=634082&amp;type=1", "沃森生物:首次公开发行股票并在创业板上市招股说明书")</f>
        <v>沃森生物:首次公开发行股票并在创业板上市招股说明书</v>
      </c>
      <c r="D2079" t="s">
        <v>8444</v>
      </c>
      <c r="E2079" t="s">
        <v>5859</v>
      </c>
      <c r="F2079" t="s">
        <v>455</v>
      </c>
    </row>
    <row r="2080" spans="1:6" x14ac:dyDescent="0.15">
      <c r="A2080" s="1">
        <v>40478</v>
      </c>
      <c r="B2080" t="s">
        <v>3804</v>
      </c>
      <c r="C2080" s="2" t="str">
        <f>HYPERLINK("http://snap.windin.com/ns/bulletin.php?id=2096635&amp;type=1", "量子高科:创业板首发招股说明书(申报稿)")</f>
        <v>量子高科:创业板首发招股说明书(申报稿)</v>
      </c>
      <c r="D2080" t="s">
        <v>8445</v>
      </c>
      <c r="E2080" t="s">
        <v>5807</v>
      </c>
      <c r="F2080" t="s">
        <v>5462</v>
      </c>
    </row>
    <row r="2081" spans="1:6" x14ac:dyDescent="0.15">
      <c r="A2081" s="1">
        <v>40478</v>
      </c>
      <c r="B2081" t="s">
        <v>3849</v>
      </c>
      <c r="C2081" s="2" t="str">
        <f>HYPERLINK("http://snap.windin.com/ns/bulletin.php?id=601499&amp;type=1", "中南传媒:首次公开发行A股股票招股说明书")</f>
        <v>中南传媒:首次公开发行A股股票招股说明书</v>
      </c>
      <c r="D2081" t="s">
        <v>8446</v>
      </c>
      <c r="E2081" t="s">
        <v>5860</v>
      </c>
      <c r="F2081" t="s">
        <v>462</v>
      </c>
    </row>
    <row r="2082" spans="1:6" x14ac:dyDescent="0.15">
      <c r="A2082" s="1">
        <v>40478</v>
      </c>
      <c r="B2082" t="s">
        <v>3811</v>
      </c>
      <c r="C2082" s="2" t="str">
        <f>HYPERLINK("http://snap.windin.com/ns/bulletin.php?id=1090079&amp;type=1", "汤臣倍健:广东汤臣倍健生物科技股份有限公司创业板首发招股说明书(申报稿)")</f>
        <v>汤臣倍健:广东汤臣倍健生物科技股份有限公司创业板首发招股说明书(申报稿)</v>
      </c>
      <c r="D2082" t="s">
        <v>8447</v>
      </c>
      <c r="E2082" t="s">
        <v>5815</v>
      </c>
      <c r="F2082" t="s">
        <v>5861</v>
      </c>
    </row>
    <row r="2083" spans="1:6" x14ac:dyDescent="0.15">
      <c r="A2083" s="1">
        <v>40477</v>
      </c>
      <c r="B2083" t="s">
        <v>3850</v>
      </c>
      <c r="C2083" s="2" t="str">
        <f>HYPERLINK("http://snap.windin.com/ns/bulletin.php?id=1705823&amp;type=1", "辉丰股份:首次公开发行股票招股说明书")</f>
        <v>辉丰股份:首次公开发行股票招股说明书</v>
      </c>
      <c r="D2083" t="s">
        <v>8448</v>
      </c>
      <c r="E2083" t="s">
        <v>5862</v>
      </c>
      <c r="F2083" t="s">
        <v>399</v>
      </c>
    </row>
    <row r="2084" spans="1:6" x14ac:dyDescent="0.15">
      <c r="A2084" s="1">
        <v>40477</v>
      </c>
      <c r="B2084" t="s">
        <v>3851</v>
      </c>
      <c r="C2084" s="2" t="str">
        <f>HYPERLINK("http://snap.windin.com/ns/bulletin.php?id=406177&amp;type=1", "汉缆股份:首次公开发行股票招股说明书")</f>
        <v>汉缆股份:首次公开发行股票招股说明书</v>
      </c>
      <c r="D2084" t="s">
        <v>8449</v>
      </c>
      <c r="E2084" t="s">
        <v>5863</v>
      </c>
      <c r="F2084" t="s">
        <v>399</v>
      </c>
    </row>
    <row r="2085" spans="1:6" x14ac:dyDescent="0.15">
      <c r="A2085" s="1">
        <v>40477</v>
      </c>
      <c r="B2085" t="s">
        <v>3814</v>
      </c>
      <c r="C2085" s="2" t="str">
        <f>HYPERLINK("http://snap.windin.com/ns/bulletin.php?id=1212629&amp;type=1", "浙江众成:首发招股说明书（申报稿）")</f>
        <v>浙江众成:首发招股说明书（申报稿）</v>
      </c>
      <c r="D2085" t="s">
        <v>8450</v>
      </c>
      <c r="E2085" t="s">
        <v>5818</v>
      </c>
      <c r="F2085" t="s">
        <v>5513</v>
      </c>
    </row>
    <row r="2086" spans="1:6" x14ac:dyDescent="0.15">
      <c r="A2086" s="1">
        <v>40477</v>
      </c>
      <c r="B2086" t="s">
        <v>3852</v>
      </c>
      <c r="C2086" s="2" t="str">
        <f>HYPERLINK("http://snap.windin.com/ns/bulletin.php?id=1981182&amp;type=1", "科林环保:首次公开发行股票招股说明书")</f>
        <v>科林环保:首次公开发行股票招股说明书</v>
      </c>
      <c r="D2086" t="s">
        <v>8451</v>
      </c>
      <c r="E2086" t="s">
        <v>5864</v>
      </c>
      <c r="F2086" t="s">
        <v>399</v>
      </c>
    </row>
    <row r="2087" spans="1:6" x14ac:dyDescent="0.15">
      <c r="A2087" s="1">
        <v>40477</v>
      </c>
      <c r="B2087" t="s">
        <v>3815</v>
      </c>
      <c r="C2087" s="2" t="str">
        <f>HYPERLINK("http://snap.windin.com/ns/bulletin.php?id=1117835&amp;type=1", "天桥起重:首发招股说明书（申报稿）")</f>
        <v>天桥起重:首发招股说明书（申报稿）</v>
      </c>
      <c r="D2087" t="s">
        <v>8452</v>
      </c>
      <c r="E2087" t="s">
        <v>5819</v>
      </c>
      <c r="F2087" t="s">
        <v>5513</v>
      </c>
    </row>
    <row r="2088" spans="1:6" x14ac:dyDescent="0.15">
      <c r="A2088" s="1">
        <v>40477</v>
      </c>
      <c r="B2088" t="s">
        <v>3853</v>
      </c>
      <c r="C2088" s="2" t="str">
        <f>HYPERLINK("http://snap.windin.com/ns/bulletin.php?id=1002908&amp;type=1", "雅化集团:首次公开发行股票招股说明书")</f>
        <v>雅化集团:首次公开发行股票招股说明书</v>
      </c>
      <c r="D2088" t="s">
        <v>8453</v>
      </c>
      <c r="E2088" t="s">
        <v>5865</v>
      </c>
      <c r="F2088" t="s">
        <v>399</v>
      </c>
    </row>
    <row r="2089" spans="1:6" x14ac:dyDescent="0.15">
      <c r="A2089" s="1">
        <v>40474</v>
      </c>
      <c r="B2089" t="s">
        <v>3808</v>
      </c>
      <c r="C2089" s="2" t="str">
        <f>HYPERLINK("http://snap.windin.com/ns/bulletin.php?id=428398&amp;type=1", "胜景山河:首发招股说明书（申报稿）")</f>
        <v>胜景山河:首发招股说明书（申报稿）</v>
      </c>
      <c r="D2089" t="s">
        <v>8454</v>
      </c>
      <c r="E2089" t="s">
        <v>5812</v>
      </c>
      <c r="F2089" t="s">
        <v>5513</v>
      </c>
    </row>
    <row r="2090" spans="1:6" x14ac:dyDescent="0.15">
      <c r="A2090" s="1">
        <v>40474</v>
      </c>
      <c r="B2090" t="s">
        <v>3782</v>
      </c>
      <c r="C2090" s="2" t="str">
        <f>HYPERLINK("http://snap.windin.com/ns/bulletin.php?id=939144&amp;type=1", "恒泰艾普:创业板首发招股说明书(申报稿)")</f>
        <v>恒泰艾普:创业板首发招股说明书(申报稿)</v>
      </c>
      <c r="D2090" t="s">
        <v>8455</v>
      </c>
      <c r="E2090" t="s">
        <v>5781</v>
      </c>
      <c r="F2090" t="s">
        <v>5462</v>
      </c>
    </row>
    <row r="2091" spans="1:6" x14ac:dyDescent="0.15">
      <c r="A2091" s="1">
        <v>40474</v>
      </c>
      <c r="B2091" t="s">
        <v>3765</v>
      </c>
      <c r="C2091" s="2" t="str">
        <f>HYPERLINK("http://snap.windin.com/ns/bulletin.php?id=740643&amp;type=1", "华锐风电:科技（集团）股份有限公司首发招股说明书（申报稿）")</f>
        <v>华锐风电:科技（集团）股份有限公司首发招股说明书（申报稿）</v>
      </c>
      <c r="D2091" t="s">
        <v>8456</v>
      </c>
      <c r="E2091" t="s">
        <v>5763</v>
      </c>
      <c r="F2091" t="s">
        <v>5810</v>
      </c>
    </row>
    <row r="2092" spans="1:6" x14ac:dyDescent="0.15">
      <c r="A2092" s="1">
        <v>40473</v>
      </c>
      <c r="B2092" t="s">
        <v>3854</v>
      </c>
      <c r="C2092" s="2" t="str">
        <f>HYPERLINK("http://snap.windin.com/ns/bulletin.php?id=1346380&amp;type=1", "信维通信:首次公开发行股票并在创业板上市招股说明书")</f>
        <v>信维通信:首次公开发行股票并在创业板上市招股说明书</v>
      </c>
      <c r="D2092" t="s">
        <v>8457</v>
      </c>
      <c r="E2092" t="s">
        <v>5866</v>
      </c>
      <c r="F2092" t="s">
        <v>455</v>
      </c>
    </row>
    <row r="2093" spans="1:6" x14ac:dyDescent="0.15">
      <c r="A2093" s="1">
        <v>40473</v>
      </c>
      <c r="B2093" t="s">
        <v>3848</v>
      </c>
      <c r="C2093" s="2" t="str">
        <f>HYPERLINK("http://snap.windin.com/ns/bulletin.php?id=1238324&amp;type=1", "沃森生物:关于公司首次公开发行股票并在创业板上市《招股说明书》的确认函")</f>
        <v>沃森生物:关于公司首次公开发行股票并在创业板上市《招股说明书》的确认函</v>
      </c>
      <c r="D2093" t="s">
        <v>8458</v>
      </c>
      <c r="E2093" t="s">
        <v>5859</v>
      </c>
      <c r="F2093" t="s">
        <v>5867</v>
      </c>
    </row>
    <row r="2094" spans="1:6" x14ac:dyDescent="0.15">
      <c r="A2094" s="1">
        <v>40473</v>
      </c>
      <c r="B2094" t="s">
        <v>3855</v>
      </c>
      <c r="C2094" s="2" t="str">
        <f>HYPERLINK("http://snap.windin.com/ns/bulletin.php?id=518479&amp;type=1", "先河环保:首次公开发行股票并在创业板上市招股说明书")</f>
        <v>先河环保:首次公开发行股票并在创业板上市招股说明书</v>
      </c>
      <c r="D2094" t="s">
        <v>8459</v>
      </c>
      <c r="E2094" t="s">
        <v>5868</v>
      </c>
      <c r="F2094" t="s">
        <v>455</v>
      </c>
    </row>
    <row r="2095" spans="1:6" x14ac:dyDescent="0.15">
      <c r="A2095" s="1">
        <v>40473</v>
      </c>
      <c r="B2095" t="s">
        <v>69</v>
      </c>
      <c r="C2095" s="2" t="str">
        <f>HYPERLINK("http://snap.windin.com/ns/bulletin.php?id=548049&amp;type=1", "渤海轮渡:首发股票招股说明书（申报稿）")</f>
        <v>渤海轮渡:首发股票招股说明书（申报稿）</v>
      </c>
      <c r="D2095" t="s">
        <v>8460</v>
      </c>
      <c r="E2095" t="s">
        <v>499</v>
      </c>
      <c r="F2095" t="s">
        <v>5869</v>
      </c>
    </row>
    <row r="2096" spans="1:6" x14ac:dyDescent="0.15">
      <c r="A2096" s="1">
        <v>40473</v>
      </c>
      <c r="B2096" t="s">
        <v>3824</v>
      </c>
      <c r="C2096" s="2" t="str">
        <f>HYPERLINK("http://snap.windin.com/ns/bulletin.php?id=1856975&amp;type=1", "银河电子:首发股票招股说明书（申报稿）")</f>
        <v>银河电子:首发股票招股说明书（申报稿）</v>
      </c>
      <c r="D2096" t="s">
        <v>8461</v>
      </c>
      <c r="E2096" t="s">
        <v>5830</v>
      </c>
      <c r="F2096" t="s">
        <v>5869</v>
      </c>
    </row>
    <row r="2097" spans="1:6" x14ac:dyDescent="0.15">
      <c r="A2097" s="1">
        <v>40473</v>
      </c>
      <c r="B2097" t="s">
        <v>3856</v>
      </c>
      <c r="C2097" s="2" t="str">
        <f>HYPERLINK("http://snap.windin.com/ns/bulletin.php?id=1903680&amp;type=1", "晨光生物:首次公开发行股票并在创业板上市招股说明书")</f>
        <v>晨光生物:首次公开发行股票并在创业板上市招股说明书</v>
      </c>
      <c r="D2097" t="s">
        <v>8462</v>
      </c>
      <c r="E2097" t="s">
        <v>5870</v>
      </c>
      <c r="F2097" t="s">
        <v>455</v>
      </c>
    </row>
    <row r="2098" spans="1:6" x14ac:dyDescent="0.15">
      <c r="A2098" s="1">
        <v>40470</v>
      </c>
      <c r="B2098" t="s">
        <v>3784</v>
      </c>
      <c r="C2098" s="2" t="str">
        <f>HYPERLINK("http://snap.windin.com/ns/bulletin.php?id=138891&amp;type=1", "振东制药:创业板首发招股说明书(申报稿)")</f>
        <v>振东制药:创业板首发招股说明书(申报稿)</v>
      </c>
      <c r="D2098" t="s">
        <v>8463</v>
      </c>
      <c r="E2098" t="s">
        <v>5783</v>
      </c>
      <c r="F2098" t="s">
        <v>5462</v>
      </c>
    </row>
    <row r="2099" spans="1:6" x14ac:dyDescent="0.15">
      <c r="A2099" s="1">
        <v>40470</v>
      </c>
      <c r="B2099" t="s">
        <v>3761</v>
      </c>
      <c r="C2099" s="2" t="str">
        <f>HYPERLINK("http://snap.windin.com/ns/bulletin.php?id=193415&amp;type=1", "万达信息:首次公开发行股票招股说明书（申报稿）")</f>
        <v>万达信息:首次公开发行股票招股说明书（申报稿）</v>
      </c>
      <c r="D2099" t="s">
        <v>8464</v>
      </c>
      <c r="E2099" t="s">
        <v>5758</v>
      </c>
      <c r="F2099" t="s">
        <v>5452</v>
      </c>
    </row>
    <row r="2100" spans="1:6" x14ac:dyDescent="0.15">
      <c r="A2100" s="1">
        <v>40470</v>
      </c>
      <c r="B2100" t="s">
        <v>3857</v>
      </c>
      <c r="C2100" s="2" t="str">
        <f>HYPERLINK("http://snap.windin.com/ns/bulletin.php?id=1246237&amp;type=1", "荣盛石化:首次公开发行股票招股说明书")</f>
        <v>荣盛石化:首次公开发行股票招股说明书</v>
      </c>
      <c r="D2100" t="s">
        <v>8465</v>
      </c>
      <c r="E2100" t="s">
        <v>5871</v>
      </c>
      <c r="F2100" t="s">
        <v>399</v>
      </c>
    </row>
    <row r="2101" spans="1:6" x14ac:dyDescent="0.15">
      <c r="A2101" s="1">
        <v>40470</v>
      </c>
      <c r="B2101" t="s">
        <v>3822</v>
      </c>
      <c r="C2101" s="2" t="str">
        <f>HYPERLINK("http://snap.windin.com/ns/bulletin.php?id=1429271&amp;type=1", "江苏旷达:首次公开发行股票招股说明书（申报稿）")</f>
        <v>江苏旷达:首次公开发行股票招股说明书（申报稿）</v>
      </c>
      <c r="D2101" t="s">
        <v>8466</v>
      </c>
      <c r="E2101" t="s">
        <v>5827</v>
      </c>
      <c r="F2101" t="s">
        <v>5452</v>
      </c>
    </row>
    <row r="2102" spans="1:6" x14ac:dyDescent="0.15">
      <c r="A2102" s="1">
        <v>40470</v>
      </c>
      <c r="B2102" t="s">
        <v>3823</v>
      </c>
      <c r="C2102" s="2" t="str">
        <f>HYPERLINK("http://snap.windin.com/ns/bulletin.php?id=639956&amp;type=1", "泰亚股份:首次公开发行股票招股说明书（申报稿）")</f>
        <v>泰亚股份:首次公开发行股票招股说明书（申报稿）</v>
      </c>
      <c r="D2102" t="s">
        <v>8467</v>
      </c>
      <c r="E2102" t="s">
        <v>5828</v>
      </c>
      <c r="F2102" t="s">
        <v>5452</v>
      </c>
    </row>
    <row r="2103" spans="1:6" x14ac:dyDescent="0.15">
      <c r="A2103" s="1">
        <v>40470</v>
      </c>
      <c r="B2103" t="s">
        <v>3858</v>
      </c>
      <c r="C2103" s="2" t="str">
        <f>HYPERLINK("http://snap.windin.com/ns/bulletin.php?id=927081&amp;type=1", "佳隆股份:首次公开发行股票招股说明书")</f>
        <v>佳隆股份:首次公开发行股票招股说明书</v>
      </c>
      <c r="D2103" t="s">
        <v>8468</v>
      </c>
      <c r="E2103" t="s">
        <v>5872</v>
      </c>
      <c r="F2103" t="s">
        <v>399</v>
      </c>
    </row>
    <row r="2104" spans="1:6" x14ac:dyDescent="0.15">
      <c r="A2104" s="1">
        <v>40470</v>
      </c>
      <c r="B2104" t="s">
        <v>3859</v>
      </c>
      <c r="C2104" s="2" t="str">
        <f>HYPERLINK("http://snap.windin.com/ns/bulletin.php?id=1093416&amp;type=1", "华斯股份:首次公开发行股票并上市招股说明书")</f>
        <v>华斯股份:首次公开发行股票并上市招股说明书</v>
      </c>
      <c r="D2104" t="s">
        <v>8469</v>
      </c>
      <c r="E2104" t="s">
        <v>5873</v>
      </c>
      <c r="F2104" t="s">
        <v>469</v>
      </c>
    </row>
    <row r="2105" spans="1:6" x14ac:dyDescent="0.15">
      <c r="A2105" s="1">
        <v>40470</v>
      </c>
      <c r="B2105" t="s">
        <v>3860</v>
      </c>
      <c r="C2105" s="2" t="str">
        <f>HYPERLINK("http://snap.windin.com/ns/bulletin.php?id=795788&amp;type=1", "恒基达鑫:首次公开发行股票招股说明书")</f>
        <v>恒基达鑫:首次公开发行股票招股说明书</v>
      </c>
      <c r="D2105" t="s">
        <v>8470</v>
      </c>
      <c r="E2105" t="s">
        <v>5874</v>
      </c>
      <c r="F2105" t="s">
        <v>399</v>
      </c>
    </row>
    <row r="2106" spans="1:6" x14ac:dyDescent="0.15">
      <c r="A2106" s="1">
        <v>40467</v>
      </c>
      <c r="B2106" t="s">
        <v>3813</v>
      </c>
      <c r="C2106" s="2" t="str">
        <f>HYPERLINK("http://snap.windin.com/ns/bulletin.php?id=195496&amp;type=1", "日发数码:首发招股说明书（申报稿）")</f>
        <v>日发数码:首发招股说明书（申报稿）</v>
      </c>
      <c r="D2106" t="s">
        <v>8471</v>
      </c>
      <c r="E2106" t="s">
        <v>5817</v>
      </c>
      <c r="F2106" t="s">
        <v>5513</v>
      </c>
    </row>
    <row r="2107" spans="1:6" x14ac:dyDescent="0.15">
      <c r="A2107" s="1">
        <v>40467</v>
      </c>
      <c r="B2107" t="s">
        <v>3826</v>
      </c>
      <c r="C2107" s="2" t="str">
        <f>HYPERLINK("http://snap.windin.com/ns/bulletin.php?id=1878578&amp;type=1", "达华智能:首发招股说明书（申报稿）")</f>
        <v>达华智能:首发招股说明书（申报稿）</v>
      </c>
      <c r="D2107" t="s">
        <v>8472</v>
      </c>
      <c r="E2107" t="s">
        <v>5834</v>
      </c>
      <c r="F2107" t="s">
        <v>5513</v>
      </c>
    </row>
    <row r="2108" spans="1:6" x14ac:dyDescent="0.15">
      <c r="A2108" s="1">
        <v>40467</v>
      </c>
      <c r="B2108" t="s">
        <v>3810</v>
      </c>
      <c r="C2108" s="2" t="str">
        <f>HYPERLINK("http://snap.windin.com/ns/bulletin.php?id=1291117&amp;type=1", "天舟文化:湖南天舟科教文化股份有限公司创业板首发招股说明书(申报稿)")</f>
        <v>天舟文化:湖南天舟科教文化股份有限公司创业板首发招股说明书(申报稿)</v>
      </c>
      <c r="D2108" t="s">
        <v>8473</v>
      </c>
      <c r="E2108" t="s">
        <v>5814</v>
      </c>
      <c r="F2108" t="s">
        <v>5875</v>
      </c>
    </row>
    <row r="2109" spans="1:6" x14ac:dyDescent="0.15">
      <c r="A2109" s="1">
        <v>40467</v>
      </c>
      <c r="B2109" t="s">
        <v>3819</v>
      </c>
      <c r="C2109" s="2" t="str">
        <f>HYPERLINK("http://snap.windin.com/ns/bulletin.php?id=1005643&amp;type=1", "南方泵业:杭州南方特种泵业股份有限公司创业板首发招股说明书(申报稿)")</f>
        <v>南方泵业:杭州南方特种泵业股份有限公司创业板首发招股说明书(申报稿)</v>
      </c>
      <c r="D2109" t="s">
        <v>8474</v>
      </c>
      <c r="E2109" t="s">
        <v>5824</v>
      </c>
      <c r="F2109" t="s">
        <v>5876</v>
      </c>
    </row>
    <row r="2110" spans="1:6" x14ac:dyDescent="0.15">
      <c r="A2110" s="1">
        <v>40466</v>
      </c>
      <c r="B2110" t="s">
        <v>3829</v>
      </c>
      <c r="C2110" s="2" t="str">
        <f>HYPERLINK("http://snap.windin.com/ns/bulletin.php?id=1736029&amp;type=1", "金字火腿:首次公开发行股票招股说明书（申报稿）")</f>
        <v>金字火腿:首次公开发行股票招股说明书（申报稿）</v>
      </c>
      <c r="D2110" t="s">
        <v>8475</v>
      </c>
      <c r="E2110" t="s">
        <v>5837</v>
      </c>
      <c r="F2110" t="s">
        <v>5452</v>
      </c>
    </row>
    <row r="2111" spans="1:6" x14ac:dyDescent="0.15">
      <c r="A2111" s="1">
        <v>40466</v>
      </c>
      <c r="B2111" t="s">
        <v>3812</v>
      </c>
      <c r="C2111" s="2" t="str">
        <f>HYPERLINK("http://snap.windin.com/ns/bulletin.php?id=1566691&amp;type=1", "大连港:首次公开发行A股股票招股说明书(申报稿)")</f>
        <v>大连港:首次公开发行A股股票招股说明书(申报稿)</v>
      </c>
      <c r="D2111" t="s">
        <v>8476</v>
      </c>
      <c r="E2111" t="s">
        <v>5816</v>
      </c>
      <c r="F2111" t="s">
        <v>5558</v>
      </c>
    </row>
    <row r="2112" spans="1:6" x14ac:dyDescent="0.15">
      <c r="A2112" s="1">
        <v>40463</v>
      </c>
      <c r="B2112" t="s">
        <v>3828</v>
      </c>
      <c r="C2112" s="2" t="str">
        <f>HYPERLINK("http://snap.windin.com/ns/bulletin.php?id=1181728&amp;type=1", "宝馨科技:首发招股说明书（申报稿）")</f>
        <v>宝馨科技:首发招股说明书（申报稿）</v>
      </c>
      <c r="D2112" t="s">
        <v>8477</v>
      </c>
      <c r="E2112" t="s">
        <v>5836</v>
      </c>
      <c r="F2112" t="s">
        <v>5513</v>
      </c>
    </row>
    <row r="2113" spans="1:6" x14ac:dyDescent="0.15">
      <c r="A2113" s="1">
        <v>40463</v>
      </c>
      <c r="B2113" t="s">
        <v>3820</v>
      </c>
      <c r="C2113" s="2" t="str">
        <f>HYPERLINK("http://snap.windin.com/ns/bulletin.php?id=1369928&amp;type=1", "力帆集团:首发招股说明书（申报稿）")</f>
        <v>力帆集团:首发招股说明书（申报稿）</v>
      </c>
      <c r="D2113" t="s">
        <v>8478</v>
      </c>
      <c r="E2113" t="s">
        <v>5877</v>
      </c>
      <c r="F2113" t="s">
        <v>5513</v>
      </c>
    </row>
    <row r="2114" spans="1:6" x14ac:dyDescent="0.15">
      <c r="A2114" s="1">
        <v>40463</v>
      </c>
      <c r="B2114" t="s">
        <v>3827</v>
      </c>
      <c r="C2114" s="2" t="str">
        <f>HYPERLINK("http://snap.windin.com/ns/bulletin.php?id=1634785&amp;type=1", "蓝丰生化:首发招股说明书（申报稿）")</f>
        <v>蓝丰生化:首发招股说明书（申报稿）</v>
      </c>
      <c r="D2114" t="s">
        <v>8479</v>
      </c>
      <c r="E2114" t="s">
        <v>5835</v>
      </c>
      <c r="F2114" t="s">
        <v>5513</v>
      </c>
    </row>
    <row r="2115" spans="1:6" x14ac:dyDescent="0.15">
      <c r="A2115" s="1">
        <v>40463</v>
      </c>
      <c r="B2115" t="s">
        <v>3834</v>
      </c>
      <c r="C2115" s="2" t="str">
        <f>HYPERLINK("http://snap.windin.com/ns/bulletin.php?id=1533633&amp;type=1", "涪陵榨菜:首发招股说明书（申报稿）")</f>
        <v>涪陵榨菜:首发招股说明书（申报稿）</v>
      </c>
      <c r="D2115" t="s">
        <v>8480</v>
      </c>
      <c r="E2115" t="s">
        <v>5843</v>
      </c>
      <c r="F2115" t="s">
        <v>5513</v>
      </c>
    </row>
    <row r="2116" spans="1:6" x14ac:dyDescent="0.15">
      <c r="A2116" s="1">
        <v>40463</v>
      </c>
      <c r="B2116" t="s">
        <v>3861</v>
      </c>
      <c r="C2116" s="2" t="str">
        <f>HYPERLINK("http://snap.windin.com/ns/bulletin.php?id=626877&amp;type=1", "兴业证券:首次公开发行股票招股说明书")</f>
        <v>兴业证券:首次公开发行股票招股说明书</v>
      </c>
      <c r="D2116" t="s">
        <v>8481</v>
      </c>
      <c r="E2116" t="s">
        <v>5878</v>
      </c>
      <c r="F2116" t="s">
        <v>399</v>
      </c>
    </row>
    <row r="2117" spans="1:6" x14ac:dyDescent="0.15">
      <c r="A2117" s="1">
        <v>40462</v>
      </c>
      <c r="B2117" t="s">
        <v>3862</v>
      </c>
      <c r="C2117" s="2" t="str">
        <f>HYPERLINK("http://snap.windin.com/ns/bulletin.php?id=1630249&amp;type=1", "华策影视:首次公开发行股票并在创业板上市招股说明书")</f>
        <v>华策影视:首次公开发行股票并在创业板上市招股说明书</v>
      </c>
      <c r="D2117" t="s">
        <v>8482</v>
      </c>
      <c r="E2117" t="s">
        <v>5879</v>
      </c>
      <c r="F2117" t="s">
        <v>455</v>
      </c>
    </row>
    <row r="2118" spans="1:6" x14ac:dyDescent="0.15">
      <c r="A2118" s="1">
        <v>40462</v>
      </c>
      <c r="B2118" t="s">
        <v>3863</v>
      </c>
      <c r="C2118" s="2" t="str">
        <f>HYPERLINK("http://snap.windin.com/ns/bulletin.php?id=2102355&amp;type=1", "御银股份:关于控股子公司的参股公司广东星河生物科技股份有限公司首发招股说明书预披露的公告")</f>
        <v>御银股份:关于控股子公司的参股公司广东星河生物科技股份有限公司首发招股说明书预披露的公告</v>
      </c>
      <c r="D2118" t="s">
        <v>8483</v>
      </c>
      <c r="E2118" t="s">
        <v>5880</v>
      </c>
      <c r="F2118" t="s">
        <v>5881</v>
      </c>
    </row>
    <row r="2119" spans="1:6" x14ac:dyDescent="0.15">
      <c r="A2119" s="1">
        <v>40462</v>
      </c>
      <c r="B2119" t="s">
        <v>3863</v>
      </c>
      <c r="C2119" s="2" t="str">
        <f>HYPERLINK("http://snap.windin.com/ns/bulletin.php?id=19471910&amp;type=1", "御银股份:控股子公司的参股公司广东星河生物科技股份有限公司首发招股说明书预披露")</f>
        <v>御银股份:控股子公司的参股公司广东星河生物科技股份有限公司首发招股说明书预披露</v>
      </c>
      <c r="D2119" t="s">
        <v>8484</v>
      </c>
      <c r="E2119" t="s">
        <v>5880</v>
      </c>
      <c r="F2119" t="s">
        <v>5882</v>
      </c>
    </row>
    <row r="2120" spans="1:6" x14ac:dyDescent="0.15">
      <c r="A2120" s="1">
        <v>40462</v>
      </c>
      <c r="B2120" t="s">
        <v>3864</v>
      </c>
      <c r="C2120" s="2" t="str">
        <f>HYPERLINK("http://snap.windin.com/ns/bulletin.php?id=663338&amp;type=1", "大富科技:首次公开发行股票并在创业板上市招股说明书")</f>
        <v>大富科技:首次公开发行股票并在创业板上市招股说明书</v>
      </c>
      <c r="D2120" t="s">
        <v>8485</v>
      </c>
      <c r="E2120" t="s">
        <v>5883</v>
      </c>
      <c r="F2120" t="s">
        <v>455</v>
      </c>
    </row>
    <row r="2121" spans="1:6" x14ac:dyDescent="0.15">
      <c r="A2121" s="1">
        <v>40462</v>
      </c>
      <c r="B2121" t="s">
        <v>3865</v>
      </c>
      <c r="C2121" s="2" t="str">
        <f>HYPERLINK("http://snap.windin.com/ns/bulletin.php?id=1954466&amp;type=1", "宝利沥青:首次公开发行股票并在创业板上市招股说明书")</f>
        <v>宝利沥青:首次公开发行股票并在创业板上市招股说明书</v>
      </c>
      <c r="D2121" t="s">
        <v>8486</v>
      </c>
      <c r="E2121" t="s">
        <v>5884</v>
      </c>
      <c r="F2121" t="s">
        <v>455</v>
      </c>
    </row>
    <row r="2122" spans="1:6" x14ac:dyDescent="0.15">
      <c r="A2122" s="1">
        <v>40462</v>
      </c>
      <c r="B2122" t="s">
        <v>3866</v>
      </c>
      <c r="C2122" s="2" t="str">
        <f>HYPERLINK("http://snap.windin.com/ns/bulletin.php?id=1090303&amp;type=1", "青松股份:首次公开发行股票并在创业板上市招股说明书")</f>
        <v>青松股份:首次公开发行股票并在创业板上市招股说明书</v>
      </c>
      <c r="D2122" t="s">
        <v>8487</v>
      </c>
      <c r="E2122" t="s">
        <v>5885</v>
      </c>
      <c r="F2122" t="s">
        <v>455</v>
      </c>
    </row>
    <row r="2123" spans="1:6" x14ac:dyDescent="0.15">
      <c r="A2123" s="1">
        <v>40461</v>
      </c>
      <c r="B2123" t="s">
        <v>3867</v>
      </c>
      <c r="C2123" s="2" t="str">
        <f>HYPERLINK("http://snap.windin.com/ns/bulletin.php?id=1067599&amp;type=1", "网讯新材:首发招股说明书（申报稿）")</f>
        <v>网讯新材:首发招股说明书（申报稿）</v>
      </c>
      <c r="D2123" t="s">
        <v>8488</v>
      </c>
      <c r="E2123" t="s">
        <v>5886</v>
      </c>
      <c r="F2123" t="s">
        <v>5513</v>
      </c>
    </row>
    <row r="2124" spans="1:6" x14ac:dyDescent="0.15">
      <c r="A2124" s="1">
        <v>40460</v>
      </c>
      <c r="B2124" t="s">
        <v>3818</v>
      </c>
      <c r="C2124" s="2" t="str">
        <f>HYPERLINK("http://snap.windin.com/ns/bulletin.php?id=1382892&amp;type=1", "宋城股份:创业板首发招股说明书（申报稿）")</f>
        <v>宋城股份:创业板首发招股说明书（申报稿）</v>
      </c>
      <c r="D2124" t="s">
        <v>8489</v>
      </c>
      <c r="E2124" t="s">
        <v>5822</v>
      </c>
      <c r="F2124" t="s">
        <v>5450</v>
      </c>
    </row>
    <row r="2125" spans="1:6" x14ac:dyDescent="0.15">
      <c r="A2125" s="1">
        <v>40460</v>
      </c>
      <c r="B2125" t="s">
        <v>3817</v>
      </c>
      <c r="C2125" s="2" t="str">
        <f>HYPERLINK("http://snap.windin.com/ns/bulletin.php?id=556647&amp;type=1", "菇木真:广东星河生物科技股份有限公司创业板首发招股说明书（申报稿）")</f>
        <v>菇木真:广东星河生物科技股份有限公司创业板首发招股说明书（申报稿）</v>
      </c>
      <c r="D2125" t="s">
        <v>8490</v>
      </c>
      <c r="E2125" t="s">
        <v>5887</v>
      </c>
      <c r="F2125" t="s">
        <v>5888</v>
      </c>
    </row>
    <row r="2126" spans="1:6" x14ac:dyDescent="0.15">
      <c r="A2126" s="1">
        <v>40460</v>
      </c>
      <c r="B2126" t="s">
        <v>126</v>
      </c>
      <c r="C2126" s="2" t="str">
        <f>HYPERLINK("http://snap.windin.com/ns/bulletin.php?id=409706&amp;type=1", "德威新材:创业板首发招股说明书（申报稿）")</f>
        <v>德威新材:创业板首发招股说明书（申报稿）</v>
      </c>
      <c r="D2126" t="s">
        <v>8491</v>
      </c>
      <c r="E2126" t="s">
        <v>569</v>
      </c>
      <c r="F2126" t="s">
        <v>5450</v>
      </c>
    </row>
    <row r="2127" spans="1:6" x14ac:dyDescent="0.15">
      <c r="A2127" s="1">
        <v>40459</v>
      </c>
      <c r="B2127" t="s">
        <v>256</v>
      </c>
      <c r="C2127" s="2" t="str">
        <f>HYPERLINK("http://snap.windin.com/ns/bulletin.php?id=1259081&amp;type=1", "浙江永强:首次公开发行股票招股说明书")</f>
        <v>浙江永强:首次公开发行股票招股说明书</v>
      </c>
      <c r="D2127" t="s">
        <v>8492</v>
      </c>
      <c r="E2127" t="s">
        <v>738</v>
      </c>
      <c r="F2127" t="s">
        <v>399</v>
      </c>
    </row>
    <row r="2128" spans="1:6" x14ac:dyDescent="0.15">
      <c r="A2128" s="1">
        <v>40459</v>
      </c>
      <c r="B2128" t="s">
        <v>3868</v>
      </c>
      <c r="C2128" s="2" t="str">
        <f>HYPERLINK("http://snap.windin.com/ns/bulletin.php?id=1236001&amp;type=1", "通鼎光电:首次公开发行股票招股说明书")</f>
        <v>通鼎光电:首次公开发行股票招股说明书</v>
      </c>
      <c r="D2128" t="s">
        <v>8493</v>
      </c>
      <c r="E2128" t="s">
        <v>5889</v>
      </c>
      <c r="F2128" t="s">
        <v>399</v>
      </c>
    </row>
    <row r="2129" spans="1:6" x14ac:dyDescent="0.15">
      <c r="A2129" s="1">
        <v>40459</v>
      </c>
      <c r="B2129" t="s">
        <v>3869</v>
      </c>
      <c r="C2129" s="2" t="str">
        <f>HYPERLINK("http://snap.windin.com/ns/bulletin.php?id=1488811&amp;type=1", "山东墨龙:首次公开发行A股股票招股说明书")</f>
        <v>山东墨龙:首次公开发行A股股票招股说明书</v>
      </c>
      <c r="D2129" t="s">
        <v>8494</v>
      </c>
      <c r="E2129" t="s">
        <v>5890</v>
      </c>
      <c r="F2129" t="s">
        <v>462</v>
      </c>
    </row>
    <row r="2130" spans="1:6" x14ac:dyDescent="0.15">
      <c r="A2130" s="1">
        <v>40459</v>
      </c>
      <c r="B2130" t="s">
        <v>3870</v>
      </c>
      <c r="C2130" s="2" t="str">
        <f>HYPERLINK("http://snap.windin.com/ns/bulletin.php?id=1543138&amp;type=1", "杭齿前进:首次公开发行股票招股说明书")</f>
        <v>杭齿前进:首次公开发行股票招股说明书</v>
      </c>
      <c r="D2130" t="s">
        <v>8495</v>
      </c>
      <c r="E2130" t="s">
        <v>5891</v>
      </c>
      <c r="F2130" t="s">
        <v>399</v>
      </c>
    </row>
    <row r="2131" spans="1:6" x14ac:dyDescent="0.15">
      <c r="A2131" s="1">
        <v>40459</v>
      </c>
      <c r="B2131" t="s">
        <v>3871</v>
      </c>
      <c r="C2131" s="2" t="str">
        <f>HYPERLINK("http://snap.windin.com/ns/bulletin.php?id=586573&amp;type=1", "金固股份:首次公开发行股票招股说明书")</f>
        <v>金固股份:首次公开发行股票招股说明书</v>
      </c>
      <c r="D2131" t="s">
        <v>8496</v>
      </c>
      <c r="E2131" t="s">
        <v>5892</v>
      </c>
      <c r="F2131" t="s">
        <v>399</v>
      </c>
    </row>
    <row r="2132" spans="1:6" x14ac:dyDescent="0.15">
      <c r="A2132" s="1">
        <v>40452</v>
      </c>
      <c r="B2132" t="s">
        <v>3840</v>
      </c>
      <c r="C2132" s="2" t="str">
        <f>HYPERLINK("http://snap.windin.com/ns/bulletin.php?id=1719010&amp;type=1", "搜于特:首发招股说明书（申报稿）")</f>
        <v>搜于特:首发招股说明书（申报稿）</v>
      </c>
      <c r="D2132" t="s">
        <v>8497</v>
      </c>
      <c r="E2132" t="s">
        <v>5851</v>
      </c>
      <c r="F2132" t="s">
        <v>5513</v>
      </c>
    </row>
    <row r="2133" spans="1:6" x14ac:dyDescent="0.15">
      <c r="A2133" s="1">
        <v>40452</v>
      </c>
      <c r="B2133" t="s">
        <v>3833</v>
      </c>
      <c r="C2133" s="2" t="str">
        <f>HYPERLINK("http://snap.windin.com/ns/bulletin.php?id=1400495&amp;type=1", "天广消防:福建天广消防科技股份有限公司首发招股说明书（申报稿）")</f>
        <v>天广消防:福建天广消防科技股份有限公司首发招股说明书（申报稿）</v>
      </c>
      <c r="D2133" t="s">
        <v>8498</v>
      </c>
      <c r="E2133" t="s">
        <v>5841</v>
      </c>
      <c r="F2133" t="s">
        <v>5893</v>
      </c>
    </row>
    <row r="2134" spans="1:6" x14ac:dyDescent="0.15">
      <c r="A2134" s="1">
        <v>40451</v>
      </c>
      <c r="B2134" t="s">
        <v>3872</v>
      </c>
      <c r="C2134" s="2" t="str">
        <f>HYPERLINK("http://snap.windin.com/ns/bulletin.php?id=231682&amp;type=1", "英唐智控:首次公开发行股票并在创业板上市招股说明书")</f>
        <v>英唐智控:首次公开发行股票并在创业板上市招股说明书</v>
      </c>
      <c r="D2134" t="s">
        <v>8499</v>
      </c>
      <c r="E2134" t="s">
        <v>5894</v>
      </c>
      <c r="F2134" t="s">
        <v>455</v>
      </c>
    </row>
    <row r="2135" spans="1:6" x14ac:dyDescent="0.15">
      <c r="A2135" s="1">
        <v>40451</v>
      </c>
      <c r="B2135" t="s">
        <v>3873</v>
      </c>
      <c r="C2135" s="2" t="str">
        <f>HYPERLINK("http://snap.windin.com/ns/bulletin.php?id=2080016&amp;type=1", "新国都:首次公开发行股票并在创业板上市招股说明书")</f>
        <v>新国都:首次公开发行股票并在创业板上市招股说明书</v>
      </c>
      <c r="D2135" t="s">
        <v>8500</v>
      </c>
      <c r="E2135" t="s">
        <v>5895</v>
      </c>
      <c r="F2135" t="s">
        <v>455</v>
      </c>
    </row>
    <row r="2136" spans="1:6" x14ac:dyDescent="0.15">
      <c r="A2136" s="1">
        <v>40451</v>
      </c>
      <c r="B2136" t="s">
        <v>3874</v>
      </c>
      <c r="C2136" s="2" t="str">
        <f>HYPERLINK("http://snap.windin.com/ns/bulletin.php?id=965481&amp;type=1", "泰胜风能:首次公开发行股票并在创业板上市招股说明书")</f>
        <v>泰胜风能:首次公开发行股票并在创业板上市招股说明书</v>
      </c>
      <c r="D2136" t="s">
        <v>8501</v>
      </c>
      <c r="E2136" t="s">
        <v>5896</v>
      </c>
      <c r="F2136" t="s">
        <v>455</v>
      </c>
    </row>
    <row r="2137" spans="1:6" x14ac:dyDescent="0.15">
      <c r="A2137" s="1">
        <v>40448</v>
      </c>
      <c r="B2137" t="s">
        <v>3875</v>
      </c>
      <c r="C2137" s="2" t="str">
        <f>HYPERLINK("http://snap.windin.com/ns/bulletin.php?id=201222&amp;type=1", "金风科技:H股招股说明书")</f>
        <v>金风科技:H股招股说明书</v>
      </c>
      <c r="D2137" t="s">
        <v>8502</v>
      </c>
      <c r="E2137" t="s">
        <v>5897</v>
      </c>
      <c r="F2137" t="s">
        <v>5898</v>
      </c>
    </row>
    <row r="2138" spans="1:6" x14ac:dyDescent="0.15">
      <c r="A2138" s="1">
        <v>40448</v>
      </c>
      <c r="B2138" t="s">
        <v>3875</v>
      </c>
      <c r="C2138" s="2" t="str">
        <f>HYPERLINK("http://snap.windin.com/ns/bulletin.php?id=19121238&amp;type=1", "金风科技:刊发H股招股说明书、H股发行价格区间及H股香港公开发售等相关事宜")</f>
        <v>金风科技:刊发H股招股说明书、H股发行价格区间及H股香港公开发售等相关事宜</v>
      </c>
      <c r="D2138" t="s">
        <v>8503</v>
      </c>
      <c r="E2138" t="s">
        <v>5897</v>
      </c>
      <c r="F2138" t="s">
        <v>5804</v>
      </c>
    </row>
    <row r="2139" spans="1:6" x14ac:dyDescent="0.15">
      <c r="A2139" s="1">
        <v>40448</v>
      </c>
      <c r="B2139" t="s">
        <v>3875</v>
      </c>
      <c r="C2139" s="2" t="str">
        <f>HYPERLINK("http://snap.windin.com/ns/bulletin.php?id=485765&amp;type=1", "金风科技:关于刊发H股招股说明书、H股发行价格区间及H股香港公开发售等相关事宜的公告")</f>
        <v>金风科技:关于刊发H股招股说明书、H股发行价格区间及H股香港公开发售等相关事宜的公告</v>
      </c>
      <c r="D2139" t="s">
        <v>8504</v>
      </c>
      <c r="E2139" t="s">
        <v>5897</v>
      </c>
      <c r="F2139" t="s">
        <v>873</v>
      </c>
    </row>
    <row r="2140" spans="1:6" x14ac:dyDescent="0.15">
      <c r="A2140" s="1">
        <v>40448</v>
      </c>
      <c r="B2140" t="s">
        <v>3876</v>
      </c>
      <c r="C2140" s="2" t="str">
        <f>HYPERLINK("http://snap.windin.com/ns/bulletin.php?id=1514808&amp;type=1", "宁波港:首次公开发行股票招股说明书")</f>
        <v>宁波港:首次公开发行股票招股说明书</v>
      </c>
      <c r="D2140" t="s">
        <v>8505</v>
      </c>
      <c r="E2140" t="s">
        <v>5899</v>
      </c>
      <c r="F2140" t="s">
        <v>399</v>
      </c>
    </row>
    <row r="2141" spans="1:6" x14ac:dyDescent="0.15">
      <c r="A2141" s="1">
        <v>40448</v>
      </c>
      <c r="B2141" t="s">
        <v>3875</v>
      </c>
      <c r="C2141" s="2" t="str">
        <f>HYPERLINK("http://snap.windin.com/ns/bulletin.php?id=858911&amp;type=1", "金风科技:H股招股说明书（英文版）")</f>
        <v>金风科技:H股招股说明书（英文版）</v>
      </c>
      <c r="D2141" t="s">
        <v>8506</v>
      </c>
      <c r="E2141" t="s">
        <v>5897</v>
      </c>
      <c r="F2141" t="s">
        <v>5900</v>
      </c>
    </row>
    <row r="2142" spans="1:6" x14ac:dyDescent="0.15">
      <c r="A2142" s="1">
        <v>40447</v>
      </c>
      <c r="B2142" t="s">
        <v>108</v>
      </c>
      <c r="C2142" s="2" t="str">
        <f>HYPERLINK("http://snap.windin.com/ns/bulletin.php?id=1360320&amp;type=1", "苏大维格:创业板首发招股说明书（申报稿）")</f>
        <v>苏大维格:创业板首发招股说明书（申报稿）</v>
      </c>
      <c r="D2142" t="s">
        <v>8507</v>
      </c>
      <c r="E2142" t="s">
        <v>550</v>
      </c>
      <c r="F2142" t="s">
        <v>5450</v>
      </c>
    </row>
    <row r="2143" spans="1:6" x14ac:dyDescent="0.15">
      <c r="A2143" s="1">
        <v>40447</v>
      </c>
      <c r="B2143" t="s">
        <v>3727</v>
      </c>
      <c r="C2143" s="2" t="str">
        <f>HYPERLINK("http://snap.windin.com/ns/bulletin.php?id=1931038&amp;type=1", "惠博普:首发招股说明书（申报稿）")</f>
        <v>惠博普:首发招股说明书（申报稿）</v>
      </c>
      <c r="D2143" t="s">
        <v>8508</v>
      </c>
      <c r="E2143" t="s">
        <v>5719</v>
      </c>
      <c r="F2143" t="s">
        <v>5513</v>
      </c>
    </row>
    <row r="2144" spans="1:6" x14ac:dyDescent="0.15">
      <c r="A2144" s="1">
        <v>40447</v>
      </c>
      <c r="B2144" t="s">
        <v>3832</v>
      </c>
      <c r="C2144" s="2" t="str">
        <f>HYPERLINK("http://snap.windin.com/ns/bulletin.php?id=1513616&amp;type=1", "老板电器:首发招股说明书（申报稿）")</f>
        <v>老板电器:首发招股说明书（申报稿）</v>
      </c>
      <c r="D2144" t="s">
        <v>8509</v>
      </c>
      <c r="E2144" t="s">
        <v>5840</v>
      </c>
      <c r="F2144" t="s">
        <v>5513</v>
      </c>
    </row>
    <row r="2145" spans="1:6" x14ac:dyDescent="0.15">
      <c r="A2145" s="1">
        <v>40447</v>
      </c>
      <c r="B2145" t="s">
        <v>3795</v>
      </c>
      <c r="C2145" s="2" t="str">
        <f>HYPERLINK("http://snap.windin.com/ns/bulletin.php?id=1043743&amp;type=1", "瑞凌股份:创业板首发招股说明书（申报稿）")</f>
        <v>瑞凌股份:创业板首发招股说明书（申报稿）</v>
      </c>
      <c r="D2145" t="s">
        <v>8510</v>
      </c>
      <c r="E2145" t="s">
        <v>5797</v>
      </c>
      <c r="F2145" t="s">
        <v>5450</v>
      </c>
    </row>
    <row r="2146" spans="1:6" x14ac:dyDescent="0.15">
      <c r="A2146" s="1">
        <v>40447</v>
      </c>
      <c r="B2146" t="s">
        <v>3877</v>
      </c>
      <c r="C2146" s="2" t="str">
        <f>HYPERLINK("http://snap.windin.com/ns/bulletin.php?id=946568&amp;type=1", "中矿资源:创业板首发招股说明书（申报稿）")</f>
        <v>中矿资源:创业板首发招股说明书（申报稿）</v>
      </c>
      <c r="D2146" t="s">
        <v>8511</v>
      </c>
      <c r="E2146" t="s">
        <v>4863</v>
      </c>
      <c r="F2146" t="s">
        <v>5450</v>
      </c>
    </row>
    <row r="2147" spans="1:6" x14ac:dyDescent="0.15">
      <c r="A2147" s="1">
        <v>40443</v>
      </c>
      <c r="B2147" t="s">
        <v>3835</v>
      </c>
      <c r="C2147" s="2" t="str">
        <f>HYPERLINK("http://snap.windin.com/ns/bulletin.php?id=243813&amp;type=1", "大康牧业:首发招股说明书（申报稿）")</f>
        <v>大康牧业:首发招股说明书（申报稿）</v>
      </c>
      <c r="D2147" t="s">
        <v>8512</v>
      </c>
      <c r="E2147" t="s">
        <v>5845</v>
      </c>
      <c r="F2147" t="s">
        <v>5513</v>
      </c>
    </row>
    <row r="2148" spans="1:6" x14ac:dyDescent="0.15">
      <c r="A2148" s="1">
        <v>40443</v>
      </c>
      <c r="B2148" t="s">
        <v>3837</v>
      </c>
      <c r="C2148" s="2" t="str">
        <f>HYPERLINK("http://snap.windin.com/ns/bulletin.php?id=232013&amp;type=1", "东光微电:首发招股说明书（申报稿）")</f>
        <v>东光微电:首发招股说明书（申报稿）</v>
      </c>
      <c r="D2148" t="s">
        <v>8513</v>
      </c>
      <c r="E2148" t="s">
        <v>5847</v>
      </c>
      <c r="F2148" t="s">
        <v>5513</v>
      </c>
    </row>
    <row r="2149" spans="1:6" x14ac:dyDescent="0.15">
      <c r="A2149" s="1">
        <v>40443</v>
      </c>
      <c r="B2149" t="s">
        <v>3831</v>
      </c>
      <c r="C2149" s="2" t="str">
        <f>HYPERLINK("http://snap.windin.com/ns/bulletin.php?id=2033448&amp;type=1", "天汽模:首发招股说明书（申报稿）")</f>
        <v>天汽模:首发招股说明书（申报稿）</v>
      </c>
      <c r="D2149" t="s">
        <v>8514</v>
      </c>
      <c r="E2149" t="s">
        <v>5839</v>
      </c>
      <c r="F2149" t="s">
        <v>5513</v>
      </c>
    </row>
    <row r="2150" spans="1:6" x14ac:dyDescent="0.15">
      <c r="A2150" s="1">
        <v>40443</v>
      </c>
      <c r="B2150" t="s">
        <v>3830</v>
      </c>
      <c r="C2150" s="2" t="str">
        <f>HYPERLINK("http://snap.windin.com/ns/bulletin.php?id=1517662&amp;type=1", "中顺洁柔:首发招股说明书（申报稿）")</f>
        <v>中顺洁柔:首发招股说明书（申报稿）</v>
      </c>
      <c r="D2150" t="s">
        <v>8515</v>
      </c>
      <c r="E2150" t="s">
        <v>5838</v>
      </c>
      <c r="F2150" t="s">
        <v>5513</v>
      </c>
    </row>
    <row r="2151" spans="1:6" x14ac:dyDescent="0.15">
      <c r="A2151" s="1">
        <v>40442</v>
      </c>
      <c r="B2151" t="s">
        <v>3878</v>
      </c>
      <c r="C2151" s="2" t="str">
        <f>HYPERLINK("http://snap.windin.com/ns/bulletin.php?id=1304007&amp;type=1", "大金重工:首次公开发行股票招股说明书")</f>
        <v>大金重工:首次公开发行股票招股说明书</v>
      </c>
      <c r="D2151" t="s">
        <v>8516</v>
      </c>
      <c r="E2151" t="s">
        <v>5901</v>
      </c>
      <c r="F2151" t="s">
        <v>399</v>
      </c>
    </row>
    <row r="2152" spans="1:6" x14ac:dyDescent="0.15">
      <c r="A2152" s="1">
        <v>40442</v>
      </c>
      <c r="B2152" t="s">
        <v>3879</v>
      </c>
      <c r="C2152" s="2" t="str">
        <f>HYPERLINK("http://snap.windin.com/ns/bulletin.php?id=2080479&amp;type=1", "嘉麟杰:首次公开发行股票招股说明书")</f>
        <v>嘉麟杰:首次公开发行股票招股说明书</v>
      </c>
      <c r="D2152" t="s">
        <v>8517</v>
      </c>
      <c r="E2152" t="s">
        <v>5902</v>
      </c>
      <c r="F2152" t="s">
        <v>399</v>
      </c>
    </row>
    <row r="2153" spans="1:6" x14ac:dyDescent="0.15">
      <c r="A2153" s="1">
        <v>40442</v>
      </c>
      <c r="B2153" t="s">
        <v>3880</v>
      </c>
      <c r="C2153" s="2" t="str">
        <f>HYPERLINK("http://snap.windin.com/ns/bulletin.php?id=1590493&amp;type=1", "希努尔:首次公开发行股票招股说明书")</f>
        <v>希努尔:首次公开发行股票招股说明书</v>
      </c>
      <c r="D2153" t="s">
        <v>8518</v>
      </c>
      <c r="E2153" t="s">
        <v>5903</v>
      </c>
      <c r="F2153" t="s">
        <v>399</v>
      </c>
    </row>
    <row r="2154" spans="1:6" x14ac:dyDescent="0.15">
      <c r="A2154" s="1">
        <v>40439</v>
      </c>
      <c r="B2154" t="s">
        <v>3842</v>
      </c>
      <c r="C2154" s="2" t="str">
        <f>HYPERLINK("http://snap.windin.com/ns/bulletin.php?id=1665083&amp;type=1", "和顺电气:创业板首发招股说明书（申报稿）")</f>
        <v>和顺电气:创业板首发招股说明书（申报稿）</v>
      </c>
      <c r="D2154" t="s">
        <v>8519</v>
      </c>
      <c r="E2154" t="s">
        <v>5853</v>
      </c>
      <c r="F2154" t="s">
        <v>5450</v>
      </c>
    </row>
    <row r="2155" spans="1:6" x14ac:dyDescent="0.15">
      <c r="A2155" s="1">
        <v>40439</v>
      </c>
      <c r="B2155" t="s">
        <v>3843</v>
      </c>
      <c r="C2155" s="2" t="str">
        <f>HYPERLINK("http://snap.windin.com/ns/bulletin.php?id=985741&amp;type=1", "启源装备:创业板首发招股说明书（申报稿）")</f>
        <v>启源装备:创业板首发招股说明书（申报稿）</v>
      </c>
      <c r="D2155" t="s">
        <v>8520</v>
      </c>
      <c r="E2155" t="s">
        <v>5854</v>
      </c>
      <c r="F2155" t="s">
        <v>5450</v>
      </c>
    </row>
    <row r="2156" spans="1:6" x14ac:dyDescent="0.15">
      <c r="A2156" s="1">
        <v>40438</v>
      </c>
      <c r="B2156" t="s">
        <v>3845</v>
      </c>
      <c r="C2156" s="2" t="str">
        <f>HYPERLINK("http://snap.windin.com/ns/bulletin.php?id=1415482&amp;type=1", "山西证券:首发招股说明书（申报稿）")</f>
        <v>山西证券:首发招股说明书（申报稿）</v>
      </c>
      <c r="D2156" t="s">
        <v>8521</v>
      </c>
      <c r="E2156" t="s">
        <v>5856</v>
      </c>
      <c r="F2156" t="s">
        <v>5513</v>
      </c>
    </row>
    <row r="2157" spans="1:6" x14ac:dyDescent="0.15">
      <c r="A2157" s="1">
        <v>40438</v>
      </c>
      <c r="B2157" t="s">
        <v>3839</v>
      </c>
      <c r="C2157" s="2" t="str">
        <f>HYPERLINK("http://snap.windin.com/ns/bulletin.php?id=72429&amp;type=1", "骅威股份:广东骅威玩具工艺股份有限公司首发招股说明书（申报稿）")</f>
        <v>骅威股份:广东骅威玩具工艺股份有限公司首发招股说明书（申报稿）</v>
      </c>
      <c r="D2157" t="s">
        <v>8522</v>
      </c>
      <c r="E2157" t="s">
        <v>5850</v>
      </c>
      <c r="F2157" t="s">
        <v>5904</v>
      </c>
    </row>
    <row r="2158" spans="1:6" x14ac:dyDescent="0.15">
      <c r="A2158" s="1">
        <v>40438</v>
      </c>
      <c r="B2158" t="s">
        <v>3881</v>
      </c>
      <c r="C2158" s="2" t="str">
        <f>HYPERLINK("http://snap.windin.com/ns/bulletin.php?id=1941480&amp;type=1", "锦富新材:首次公开发行股票并在创业板上市招股说明书")</f>
        <v>锦富新材:首次公开发行股票并在创业板上市招股说明书</v>
      </c>
      <c r="D2158" t="s">
        <v>8523</v>
      </c>
      <c r="E2158" t="s">
        <v>5905</v>
      </c>
      <c r="F2158" t="s">
        <v>455</v>
      </c>
    </row>
    <row r="2159" spans="1:6" x14ac:dyDescent="0.15">
      <c r="A2159" s="1">
        <v>40438</v>
      </c>
      <c r="B2159" t="s">
        <v>3882</v>
      </c>
      <c r="C2159" s="2" t="str">
        <f>HYPERLINK("http://snap.windin.com/ns/bulletin.php?id=1566635&amp;type=1", "锐奇股份:首次公开发行股票并在创业板上市招股说明书")</f>
        <v>锐奇股份:首次公开发行股票并在创业板上市招股说明书</v>
      </c>
      <c r="D2159" t="s">
        <v>8524</v>
      </c>
      <c r="E2159" t="s">
        <v>5906</v>
      </c>
      <c r="F2159" t="s">
        <v>455</v>
      </c>
    </row>
    <row r="2160" spans="1:6" x14ac:dyDescent="0.15">
      <c r="A2160" s="1">
        <v>40438</v>
      </c>
      <c r="B2160" t="s">
        <v>3883</v>
      </c>
      <c r="C2160" s="2" t="str">
        <f>HYPERLINK("http://snap.windin.com/ns/bulletin.php?id=1539754&amp;type=1", "银河磁体:首次公开发行股票并在创业板上市招股说明书")</f>
        <v>银河磁体:首次公开发行股票并在创业板上市招股说明书</v>
      </c>
      <c r="D2160" t="s">
        <v>8525</v>
      </c>
      <c r="E2160" t="s">
        <v>5907</v>
      </c>
      <c r="F2160" t="s">
        <v>455</v>
      </c>
    </row>
    <row r="2161" spans="1:6" x14ac:dyDescent="0.15">
      <c r="A2161" s="1">
        <v>40438</v>
      </c>
      <c r="B2161" t="s">
        <v>3884</v>
      </c>
      <c r="C2161" s="2" t="str">
        <f>HYPERLINK("http://snap.windin.com/ns/bulletin.php?id=1112459&amp;type=1", "易世达:首次公开发行股票并在创业板上市招股说明书")</f>
        <v>易世达:首次公开发行股票并在创业板上市招股说明书</v>
      </c>
      <c r="D2161" t="s">
        <v>8526</v>
      </c>
      <c r="E2161" t="s">
        <v>5908</v>
      </c>
      <c r="F2161" t="s">
        <v>455</v>
      </c>
    </row>
    <row r="2162" spans="1:6" x14ac:dyDescent="0.15">
      <c r="A2162" s="1">
        <v>40435</v>
      </c>
      <c r="B2162" t="s">
        <v>3836</v>
      </c>
      <c r="C2162" s="2" t="str">
        <f>HYPERLINK("http://snap.windin.com/ns/bulletin.php?id=1162506&amp;type=1", "超日太阳:首次公开发行股票招股说明书（申报稿）")</f>
        <v>超日太阳:首次公开发行股票招股说明书（申报稿）</v>
      </c>
      <c r="D2162" t="s">
        <v>8527</v>
      </c>
      <c r="E2162" t="s">
        <v>5846</v>
      </c>
      <c r="F2162" t="s">
        <v>5452</v>
      </c>
    </row>
    <row r="2163" spans="1:6" x14ac:dyDescent="0.15">
      <c r="A2163" s="1">
        <v>40435</v>
      </c>
      <c r="B2163" t="s">
        <v>3860</v>
      </c>
      <c r="C2163" s="2" t="str">
        <f>HYPERLINK("http://snap.windin.com/ns/bulletin.php?id=1858617&amp;type=1", "恒基达鑫:首发招股说明书（申报稿）")</f>
        <v>恒基达鑫:首发招股说明书（申报稿）</v>
      </c>
      <c r="D2163" t="s">
        <v>8528</v>
      </c>
      <c r="E2163" t="s">
        <v>5874</v>
      </c>
      <c r="F2163" t="s">
        <v>5513</v>
      </c>
    </row>
    <row r="2164" spans="1:6" x14ac:dyDescent="0.15">
      <c r="A2164" s="1">
        <v>40435</v>
      </c>
      <c r="B2164" t="s">
        <v>3885</v>
      </c>
      <c r="C2164" s="2" t="str">
        <f>HYPERLINK("http://snap.windin.com/ns/bulletin.php?id=1967554&amp;type=1", "广田股份:首次公开发行股票招股说明书")</f>
        <v>广田股份:首次公开发行股票招股说明书</v>
      </c>
      <c r="D2164" t="s">
        <v>8529</v>
      </c>
      <c r="E2164" t="s">
        <v>5909</v>
      </c>
      <c r="F2164" t="s">
        <v>399</v>
      </c>
    </row>
    <row r="2165" spans="1:6" x14ac:dyDescent="0.15">
      <c r="A2165" s="1">
        <v>40435</v>
      </c>
      <c r="B2165" t="s">
        <v>3886</v>
      </c>
      <c r="C2165" s="2" t="str">
        <f>HYPERLINK("http://snap.windin.com/ns/bulletin.php?id=1549175&amp;type=1", "润邦股份:首次公开发行股票招股说明书")</f>
        <v>润邦股份:首次公开发行股票招股说明书</v>
      </c>
      <c r="D2165" t="s">
        <v>8530</v>
      </c>
      <c r="E2165" t="s">
        <v>5910</v>
      </c>
      <c r="F2165" t="s">
        <v>399</v>
      </c>
    </row>
    <row r="2166" spans="1:6" x14ac:dyDescent="0.15">
      <c r="A2166" s="1">
        <v>40435</v>
      </c>
      <c r="B2166" t="s">
        <v>3887</v>
      </c>
      <c r="C2166" s="2" t="str">
        <f>HYPERLINK("http://snap.windin.com/ns/bulletin.php?id=1503632&amp;type=1", "江海股份:首次公开发行股票招股说明书")</f>
        <v>江海股份:首次公开发行股票招股说明书</v>
      </c>
      <c r="D2166" t="s">
        <v>8531</v>
      </c>
      <c r="E2166" t="s">
        <v>5911</v>
      </c>
      <c r="F2166" t="s">
        <v>399</v>
      </c>
    </row>
    <row r="2167" spans="1:6" x14ac:dyDescent="0.15">
      <c r="A2167" s="1">
        <v>40435</v>
      </c>
      <c r="B2167" t="s">
        <v>3846</v>
      </c>
      <c r="C2167" s="2" t="str">
        <f>HYPERLINK("http://snap.windin.com/ns/bulletin.php?id=698826&amp;type=1", "福星晓程:创业板首发招股说明书（申报稿）")</f>
        <v>福星晓程:创业板首发招股说明书（申报稿）</v>
      </c>
      <c r="D2167" t="s">
        <v>8532</v>
      </c>
      <c r="E2167" t="s">
        <v>5857</v>
      </c>
      <c r="F2167" t="s">
        <v>5450</v>
      </c>
    </row>
    <row r="2168" spans="1:6" x14ac:dyDescent="0.15">
      <c r="A2168" s="1">
        <v>40431</v>
      </c>
      <c r="B2168" t="s">
        <v>3852</v>
      </c>
      <c r="C2168" s="2" t="str">
        <f>HYPERLINK("http://snap.windin.com/ns/bulletin.php?id=238953&amp;type=1", "科林环保:首发招股说明书（申报稿）")</f>
        <v>科林环保:首发招股说明书（申报稿）</v>
      </c>
      <c r="D2168" t="s">
        <v>8533</v>
      </c>
      <c r="E2168" t="s">
        <v>5864</v>
      </c>
      <c r="F2168" t="s">
        <v>5513</v>
      </c>
    </row>
    <row r="2169" spans="1:6" x14ac:dyDescent="0.15">
      <c r="A2169" s="1">
        <v>40431</v>
      </c>
      <c r="B2169" t="s">
        <v>3888</v>
      </c>
      <c r="C2169" s="2" t="str">
        <f>HYPERLINK("http://snap.windin.com/ns/bulletin.php?id=1158776&amp;type=1", "太阳鸟:首次公开发行股票并在创业板上市招股说明书")</f>
        <v>太阳鸟:首次公开发行股票并在创业板上市招股说明书</v>
      </c>
      <c r="D2169" t="s">
        <v>8534</v>
      </c>
      <c r="E2169" t="s">
        <v>5912</v>
      </c>
      <c r="F2169" t="s">
        <v>455</v>
      </c>
    </row>
    <row r="2170" spans="1:6" x14ac:dyDescent="0.15">
      <c r="A2170" s="1">
        <v>40431</v>
      </c>
      <c r="B2170" t="s">
        <v>3838</v>
      </c>
      <c r="C2170" s="2" t="str">
        <f>HYPERLINK("http://snap.windin.com/ns/bulletin.php?id=1226693&amp;type=1", "利源铝业:首发招股说明书（申报稿）")</f>
        <v>利源铝业:首发招股说明书（申报稿）</v>
      </c>
      <c r="D2170" t="s">
        <v>8535</v>
      </c>
      <c r="E2170" t="s">
        <v>5849</v>
      </c>
      <c r="F2170" t="s">
        <v>5513</v>
      </c>
    </row>
    <row r="2171" spans="1:6" x14ac:dyDescent="0.15">
      <c r="A2171" s="1">
        <v>40431</v>
      </c>
      <c r="B2171" t="s">
        <v>3889</v>
      </c>
      <c r="C2171" s="2" t="str">
        <f>HYPERLINK("http://snap.windin.com/ns/bulletin.php?id=508850&amp;type=1", "智飞生物:首次公开发行股票并在创业板上市招股说明书")</f>
        <v>智飞生物:首次公开发行股票并在创业板上市招股说明书</v>
      </c>
      <c r="D2171" t="s">
        <v>8536</v>
      </c>
      <c r="E2171" t="s">
        <v>5913</v>
      </c>
      <c r="F2171" t="s">
        <v>455</v>
      </c>
    </row>
    <row r="2172" spans="1:6" x14ac:dyDescent="0.15">
      <c r="A2172" s="1">
        <v>40431</v>
      </c>
      <c r="B2172" t="s">
        <v>3890</v>
      </c>
      <c r="C2172" s="2" t="str">
        <f>HYPERLINK("http://snap.windin.com/ns/bulletin.php?id=1973212&amp;type=1", "汇川技术:首次公开发行股票并在创业板上市招股说明书")</f>
        <v>汇川技术:首次公开发行股票并在创业板上市招股说明书</v>
      </c>
      <c r="D2172" t="s">
        <v>8537</v>
      </c>
      <c r="E2172" t="s">
        <v>5914</v>
      </c>
      <c r="F2172" t="s">
        <v>455</v>
      </c>
    </row>
    <row r="2173" spans="1:6" x14ac:dyDescent="0.15">
      <c r="A2173" s="1">
        <v>40430</v>
      </c>
      <c r="B2173" t="s">
        <v>3848</v>
      </c>
      <c r="C2173" s="2" t="str">
        <f>HYPERLINK("http://snap.windin.com/ns/bulletin.php?id=1373274&amp;type=1", "沃森生物:创业板首发招股说明书（申报稿）")</f>
        <v>沃森生物:创业板首发招股说明书（申报稿）</v>
      </c>
      <c r="D2173" t="s">
        <v>8538</v>
      </c>
      <c r="E2173" t="s">
        <v>5859</v>
      </c>
      <c r="F2173" t="s">
        <v>5450</v>
      </c>
    </row>
    <row r="2174" spans="1:6" x14ac:dyDescent="0.15">
      <c r="A2174" s="1">
        <v>40430</v>
      </c>
      <c r="B2174" t="s">
        <v>3891</v>
      </c>
      <c r="C2174" s="2" t="str">
        <f>HYPERLINK("http://snap.windin.com/ns/bulletin.php?id=2125386&amp;type=1", "元盛电子:创业板首发招股说明书（申报稿）")</f>
        <v>元盛电子:创业板首发招股说明书（申报稿）</v>
      </c>
      <c r="D2174" t="s">
        <v>8539</v>
      </c>
      <c r="E2174" t="s">
        <v>5915</v>
      </c>
      <c r="F2174" t="s">
        <v>5450</v>
      </c>
    </row>
    <row r="2175" spans="1:6" x14ac:dyDescent="0.15">
      <c r="A2175" s="1">
        <v>40430</v>
      </c>
      <c r="B2175" t="s">
        <v>3892</v>
      </c>
      <c r="C2175" s="2" t="str">
        <f>HYPERLINK("http://snap.windin.com/ns/bulletin.php?id=991062&amp;type=1", "东方嘉盛:创业板首发招股说明书（申报稿）")</f>
        <v>东方嘉盛:创业板首发招股说明书（申报稿）</v>
      </c>
      <c r="D2175" t="s">
        <v>8540</v>
      </c>
      <c r="E2175" t="s">
        <v>5916</v>
      </c>
      <c r="F2175" t="s">
        <v>5450</v>
      </c>
    </row>
    <row r="2176" spans="1:6" x14ac:dyDescent="0.15">
      <c r="A2176" s="1">
        <v>40428</v>
      </c>
      <c r="B2176" t="s">
        <v>3893</v>
      </c>
      <c r="C2176" s="2" t="str">
        <f>HYPERLINK("http://snap.windin.com/ns/bulletin.php?id=1760559&amp;type=1", "常宝股份:首次公开发行股票招股说明书")</f>
        <v>常宝股份:首次公开发行股票招股说明书</v>
      </c>
      <c r="D2176" t="s">
        <v>8541</v>
      </c>
      <c r="E2176" t="s">
        <v>5917</v>
      </c>
      <c r="F2176" t="s">
        <v>399</v>
      </c>
    </row>
    <row r="2177" spans="1:6" x14ac:dyDescent="0.15">
      <c r="A2177" s="1">
        <v>40428</v>
      </c>
      <c r="B2177" t="s">
        <v>3894</v>
      </c>
      <c r="C2177" s="2" t="str">
        <f>HYPERLINK("http://snap.windin.com/ns/bulletin.php?id=1760220&amp;type=1", "双塔食品:首次公开发行股票招股说明书")</f>
        <v>双塔食品:首次公开发行股票招股说明书</v>
      </c>
      <c r="D2177" t="s">
        <v>8542</v>
      </c>
      <c r="E2177" t="s">
        <v>5918</v>
      </c>
      <c r="F2177" t="s">
        <v>399</v>
      </c>
    </row>
    <row r="2178" spans="1:6" x14ac:dyDescent="0.15">
      <c r="A2178" s="1">
        <v>40428</v>
      </c>
      <c r="B2178" t="s">
        <v>3895</v>
      </c>
      <c r="C2178" s="2" t="str">
        <f>HYPERLINK("http://snap.windin.com/ns/bulletin.php?id=1762058&amp;type=1", "新筑股份:首次公开发行股票招股说明书")</f>
        <v>新筑股份:首次公开发行股票招股说明书</v>
      </c>
      <c r="D2178" t="s">
        <v>8543</v>
      </c>
      <c r="E2178" t="s">
        <v>5919</v>
      </c>
      <c r="F2178" t="s">
        <v>399</v>
      </c>
    </row>
    <row r="2179" spans="1:6" x14ac:dyDescent="0.15">
      <c r="A2179" s="1">
        <v>40428</v>
      </c>
      <c r="B2179" t="s">
        <v>3896</v>
      </c>
      <c r="C2179" s="2" t="str">
        <f>HYPERLINK("http://snap.windin.com/ns/bulletin.php?id=2046542&amp;type=1", "富春环保:首次公开发行股票招股说明书")</f>
        <v>富春环保:首次公开发行股票招股说明书</v>
      </c>
      <c r="D2179" t="s">
        <v>8544</v>
      </c>
      <c r="E2179" t="s">
        <v>5920</v>
      </c>
      <c r="F2179" t="s">
        <v>399</v>
      </c>
    </row>
    <row r="2180" spans="1:6" x14ac:dyDescent="0.15">
      <c r="A2180" s="1">
        <v>40425</v>
      </c>
      <c r="B2180" t="s">
        <v>3856</v>
      </c>
      <c r="C2180" s="2" t="str">
        <f>HYPERLINK("http://snap.windin.com/ns/bulletin.php?id=1128705&amp;type=1", "晨光生物:创业板首发招股说明书（申报稿）")</f>
        <v>晨光生物:创业板首发招股说明书（申报稿）</v>
      </c>
      <c r="D2180" t="s">
        <v>8545</v>
      </c>
      <c r="E2180" t="s">
        <v>5870</v>
      </c>
      <c r="F2180" t="s">
        <v>5450</v>
      </c>
    </row>
    <row r="2181" spans="1:6" x14ac:dyDescent="0.15">
      <c r="A2181" s="1">
        <v>40425</v>
      </c>
      <c r="B2181" t="s">
        <v>3854</v>
      </c>
      <c r="C2181" s="2" t="str">
        <f>HYPERLINK("http://snap.windin.com/ns/bulletin.php?id=895717&amp;type=1", "信维通信:创业板首发招股说明书（申报稿）")</f>
        <v>信维通信:创业板首发招股说明书（申报稿）</v>
      </c>
      <c r="D2181" t="s">
        <v>8546</v>
      </c>
      <c r="E2181" t="s">
        <v>5866</v>
      </c>
      <c r="F2181" t="s">
        <v>5450</v>
      </c>
    </row>
    <row r="2182" spans="1:6" x14ac:dyDescent="0.15">
      <c r="A2182" s="1">
        <v>40424</v>
      </c>
      <c r="B2182" t="s">
        <v>3897</v>
      </c>
      <c r="C2182" s="2" t="str">
        <f>HYPERLINK("http://snap.windin.com/ns/bulletin.php?id=1698427&amp;type=1", "丰元股份:首发招股说明书(申报稿)")</f>
        <v>丰元股份:首发招股说明书(申报稿)</v>
      </c>
      <c r="D2182" t="s">
        <v>8547</v>
      </c>
      <c r="E2182" t="s">
        <v>5921</v>
      </c>
      <c r="F2182" t="s">
        <v>5523</v>
      </c>
    </row>
    <row r="2183" spans="1:6" x14ac:dyDescent="0.15">
      <c r="A2183" s="1">
        <v>40424</v>
      </c>
      <c r="B2183" t="s">
        <v>3898</v>
      </c>
      <c r="C2183" s="2" t="str">
        <f>HYPERLINK("http://snap.windin.com/ns/bulletin.php?id=1893655&amp;type=1", "经纬电材:首次公开发行股票并在创业板上市招股说明书")</f>
        <v>经纬电材:首次公开发行股票并在创业板上市招股说明书</v>
      </c>
      <c r="D2183" t="s">
        <v>8548</v>
      </c>
      <c r="E2183" t="s">
        <v>5922</v>
      </c>
      <c r="F2183" t="s">
        <v>455</v>
      </c>
    </row>
    <row r="2184" spans="1:6" x14ac:dyDescent="0.15">
      <c r="A2184" s="1">
        <v>40424</v>
      </c>
      <c r="B2184" t="s">
        <v>3899</v>
      </c>
      <c r="C2184" s="2" t="str">
        <f>HYPERLINK("http://snap.windin.com/ns/bulletin.php?id=757016&amp;type=1", "阳谷华泰:首次公开发行股票并在创业板上市招股说明书")</f>
        <v>阳谷华泰:首次公开发行股票并在创业板上市招股说明书</v>
      </c>
      <c r="D2184" t="s">
        <v>8549</v>
      </c>
      <c r="E2184" t="s">
        <v>5923</v>
      </c>
      <c r="F2184" t="s">
        <v>455</v>
      </c>
    </row>
    <row r="2185" spans="1:6" x14ac:dyDescent="0.15">
      <c r="A2185" s="1">
        <v>40424</v>
      </c>
      <c r="B2185" t="s">
        <v>223</v>
      </c>
      <c r="C2185" s="2" t="str">
        <f>HYPERLINK("http://snap.windin.com/ns/bulletin.php?id=1030722&amp;type=1", "烟台万润:首发招股说明书（申报稿）")</f>
        <v>烟台万润:首发招股说明书（申报稿）</v>
      </c>
      <c r="D2185" t="s">
        <v>8550</v>
      </c>
      <c r="E2185" t="s">
        <v>697</v>
      </c>
      <c r="F2185" t="s">
        <v>5513</v>
      </c>
    </row>
    <row r="2186" spans="1:6" x14ac:dyDescent="0.15">
      <c r="A2186" s="1">
        <v>40424</v>
      </c>
      <c r="B2186" t="s">
        <v>3900</v>
      </c>
      <c r="C2186" s="2" t="str">
        <f>HYPERLINK("http://snap.windin.com/ns/bulletin.php?id=1030955&amp;type=1", "瑞普生物:首次公开发行股票并在创业板上市招股说明书")</f>
        <v>瑞普生物:首次公开发行股票并在创业板上市招股说明书</v>
      </c>
      <c r="D2186" t="s">
        <v>8551</v>
      </c>
      <c r="E2186" t="s">
        <v>5924</v>
      </c>
      <c r="F2186" t="s">
        <v>455</v>
      </c>
    </row>
    <row r="2187" spans="1:6" x14ac:dyDescent="0.15">
      <c r="A2187" s="1">
        <v>40421</v>
      </c>
      <c r="B2187" t="s">
        <v>3866</v>
      </c>
      <c r="C2187" s="2" t="str">
        <f>HYPERLINK("http://snap.windin.com/ns/bulletin.php?id=2128196&amp;type=1", "青松股份:创业板首发招股说明书（申报稿）")</f>
        <v>青松股份:创业板首发招股说明书（申报稿）</v>
      </c>
      <c r="D2187" t="s">
        <v>8552</v>
      </c>
      <c r="E2187" t="s">
        <v>5885</v>
      </c>
      <c r="F2187" t="s">
        <v>5450</v>
      </c>
    </row>
    <row r="2188" spans="1:6" x14ac:dyDescent="0.15">
      <c r="A2188" s="1">
        <v>40421</v>
      </c>
      <c r="B2188" t="s">
        <v>3901</v>
      </c>
      <c r="C2188" s="2" t="str">
        <f>HYPERLINK("http://snap.windin.com/ns/bulletin.php?id=135576&amp;type=1", "榕基软件:首次公开发行股票招股说明书")</f>
        <v>榕基软件:首次公开发行股票招股说明书</v>
      </c>
      <c r="D2188" t="s">
        <v>8553</v>
      </c>
      <c r="E2188" t="s">
        <v>5925</v>
      </c>
      <c r="F2188" t="s">
        <v>399</v>
      </c>
    </row>
    <row r="2189" spans="1:6" x14ac:dyDescent="0.15">
      <c r="A2189" s="1">
        <v>40421</v>
      </c>
      <c r="B2189" t="s">
        <v>3855</v>
      </c>
      <c r="C2189" s="2" t="str">
        <f>HYPERLINK("http://snap.windin.com/ns/bulletin.php?id=1268664&amp;type=1", "先河环保:创业板首发招股说明书（申报稿）")</f>
        <v>先河环保:创业板首发招股说明书（申报稿）</v>
      </c>
      <c r="D2189" t="s">
        <v>8554</v>
      </c>
      <c r="E2189" t="s">
        <v>5868</v>
      </c>
      <c r="F2189" t="s">
        <v>5450</v>
      </c>
    </row>
    <row r="2190" spans="1:6" x14ac:dyDescent="0.15">
      <c r="A2190" s="1">
        <v>40421</v>
      </c>
      <c r="B2190" t="s">
        <v>3902</v>
      </c>
      <c r="C2190" s="2" t="str">
        <f>HYPERLINK("http://snap.windin.com/ns/bulletin.php?id=1242699&amp;type=1", "宝莫股份:首次公开发行股票招股说明书")</f>
        <v>宝莫股份:首次公开发行股票招股说明书</v>
      </c>
      <c r="D2190" t="s">
        <v>8555</v>
      </c>
      <c r="E2190" t="s">
        <v>5926</v>
      </c>
      <c r="F2190" t="s">
        <v>399</v>
      </c>
    </row>
    <row r="2191" spans="1:6" x14ac:dyDescent="0.15">
      <c r="A2191" s="1">
        <v>40421</v>
      </c>
      <c r="B2191" t="s">
        <v>3903</v>
      </c>
      <c r="C2191" s="2" t="str">
        <f>HYPERLINK("http://snap.windin.com/ns/bulletin.php?id=1955716&amp;type=1", "雏鹰农牧:首次公开发行股票招股说明书")</f>
        <v>雏鹰农牧:首次公开发行股票招股说明书</v>
      </c>
      <c r="D2191" t="s">
        <v>8556</v>
      </c>
      <c r="E2191" t="s">
        <v>5927</v>
      </c>
      <c r="F2191" t="s">
        <v>399</v>
      </c>
    </row>
    <row r="2192" spans="1:6" x14ac:dyDescent="0.15">
      <c r="A2192" s="1">
        <v>40421</v>
      </c>
      <c r="B2192" t="s">
        <v>3851</v>
      </c>
      <c r="C2192" s="2" t="str">
        <f>HYPERLINK("http://snap.windin.com/ns/bulletin.php?id=630916&amp;type=1", "汉缆股份:首发招股说明书（申报稿）")</f>
        <v>汉缆股份:首发招股说明书（申报稿）</v>
      </c>
      <c r="D2192" t="s">
        <v>8557</v>
      </c>
      <c r="E2192" t="s">
        <v>5863</v>
      </c>
      <c r="F2192" t="s">
        <v>5513</v>
      </c>
    </row>
    <row r="2193" spans="1:6" x14ac:dyDescent="0.15">
      <c r="A2193" s="1">
        <v>40421</v>
      </c>
      <c r="B2193" t="s">
        <v>3904</v>
      </c>
      <c r="C2193" s="2" t="str">
        <f>HYPERLINK("http://snap.windin.com/ns/bulletin.php?id=846407&amp;type=1", "立讯精密:首次公开发行股票招股说明书")</f>
        <v>立讯精密:首次公开发行股票招股说明书</v>
      </c>
      <c r="D2193" t="s">
        <v>8558</v>
      </c>
      <c r="E2193" t="s">
        <v>5928</v>
      </c>
      <c r="F2193" t="s">
        <v>399</v>
      </c>
    </row>
    <row r="2194" spans="1:6" x14ac:dyDescent="0.15">
      <c r="A2194" s="1">
        <v>40420</v>
      </c>
      <c r="B2194" t="s">
        <v>3851</v>
      </c>
      <c r="C2194" s="2" t="str">
        <f>HYPERLINK("http://snap.windin.com/ns/bulletin.php?id=1927198&amp;type=1", "汉缆股份:首发招股说明书（申报稿）")</f>
        <v>汉缆股份:首发招股说明书（申报稿）</v>
      </c>
      <c r="D2194" t="s">
        <v>8559</v>
      </c>
      <c r="E2194" t="s">
        <v>5863</v>
      </c>
      <c r="F2194" t="s">
        <v>5513</v>
      </c>
    </row>
    <row r="2195" spans="1:6" x14ac:dyDescent="0.15">
      <c r="A2195" s="1">
        <v>40418</v>
      </c>
      <c r="B2195" t="s">
        <v>3905</v>
      </c>
      <c r="C2195" s="2" t="str">
        <f>HYPERLINK("http://snap.windin.com/ns/bulletin.php?id=1661840&amp;type=1", "花园生物:创业板首发招股说明书（申报稿）")</f>
        <v>花园生物:创业板首发招股说明书（申报稿）</v>
      </c>
      <c r="D2195" t="s">
        <v>8560</v>
      </c>
      <c r="E2195" t="s">
        <v>5929</v>
      </c>
      <c r="F2195" t="s">
        <v>5450</v>
      </c>
    </row>
    <row r="2196" spans="1:6" x14ac:dyDescent="0.15">
      <c r="A2196" s="1">
        <v>40418</v>
      </c>
      <c r="B2196" t="s">
        <v>3872</v>
      </c>
      <c r="C2196" s="2" t="str">
        <f>HYPERLINK("http://snap.windin.com/ns/bulletin.php?id=460206&amp;type=1", "英唐股份:创业板首发招股说明书（申报稿）")</f>
        <v>英唐股份:创业板首发招股说明书（申报稿）</v>
      </c>
      <c r="D2196" t="s">
        <v>8561</v>
      </c>
      <c r="E2196" t="s">
        <v>5930</v>
      </c>
      <c r="F2196" t="s">
        <v>5450</v>
      </c>
    </row>
    <row r="2197" spans="1:6" x14ac:dyDescent="0.15">
      <c r="A2197" s="1">
        <v>40417</v>
      </c>
      <c r="B2197" t="s">
        <v>263</v>
      </c>
      <c r="C2197" s="2" t="str">
        <f>HYPERLINK("http://snap.windin.com/ns/bulletin.php?id=1832907&amp;type=1", "丰林集团:首发招股说明书（申报稿）")</f>
        <v>丰林集团:首发招股说明书（申报稿）</v>
      </c>
      <c r="D2197" t="s">
        <v>8562</v>
      </c>
      <c r="E2197" t="s">
        <v>748</v>
      </c>
      <c r="F2197" t="s">
        <v>5513</v>
      </c>
    </row>
    <row r="2198" spans="1:6" x14ac:dyDescent="0.15">
      <c r="A2198" s="1">
        <v>40417</v>
      </c>
      <c r="B2198" t="s">
        <v>3906</v>
      </c>
      <c r="C2198" s="2" t="str">
        <f>HYPERLINK("http://snap.windin.com/ns/bulletin.php?id=604640&amp;type=1", "圣莱达:首次公开发行股票招股说明书")</f>
        <v>圣莱达:首次公开发行股票招股说明书</v>
      </c>
      <c r="D2198" t="s">
        <v>8563</v>
      </c>
      <c r="E2198" t="s">
        <v>5931</v>
      </c>
      <c r="F2198" t="s">
        <v>399</v>
      </c>
    </row>
    <row r="2199" spans="1:6" x14ac:dyDescent="0.15">
      <c r="A2199" s="1">
        <v>40417</v>
      </c>
      <c r="B2199" t="s">
        <v>3907</v>
      </c>
      <c r="C2199" s="2" t="str">
        <f>HYPERLINK("http://snap.windin.com/ns/bulletin.php?id=730056&amp;type=1", "中超电缆:首次公开发行股票招股说明书")</f>
        <v>中超电缆:首次公开发行股票招股说明书</v>
      </c>
      <c r="D2199" t="s">
        <v>8564</v>
      </c>
      <c r="E2199" t="s">
        <v>5932</v>
      </c>
      <c r="F2199" t="s">
        <v>399</v>
      </c>
    </row>
    <row r="2200" spans="1:6" x14ac:dyDescent="0.15">
      <c r="A2200" s="1">
        <v>40417</v>
      </c>
      <c r="B2200" t="s">
        <v>3908</v>
      </c>
      <c r="C2200" s="2" t="str">
        <f>HYPERLINK("http://snap.windin.com/ns/bulletin.php?id=860236&amp;type=1", "双环传动:首次公开发行股票（A股）招股说明书")</f>
        <v>双环传动:首次公开发行股票（A股）招股说明书</v>
      </c>
      <c r="D2200" t="s">
        <v>8565</v>
      </c>
      <c r="E2200" t="s">
        <v>5933</v>
      </c>
      <c r="F2200" t="s">
        <v>661</v>
      </c>
    </row>
    <row r="2201" spans="1:6" x14ac:dyDescent="0.15">
      <c r="A2201" s="1">
        <v>40417</v>
      </c>
      <c r="B2201" t="s">
        <v>3859</v>
      </c>
      <c r="C2201" s="2" t="str">
        <f>HYPERLINK("http://snap.windin.com/ns/bulletin.php?id=901495&amp;type=1", "华斯股份:首发招股说明书(申报稿)")</f>
        <v>华斯股份:首发招股说明书(申报稿)</v>
      </c>
      <c r="D2201" t="s">
        <v>8566</v>
      </c>
      <c r="E2201" t="s">
        <v>5873</v>
      </c>
      <c r="F2201" t="s">
        <v>5523</v>
      </c>
    </row>
    <row r="2202" spans="1:6" x14ac:dyDescent="0.15">
      <c r="A2202" s="1">
        <v>40414</v>
      </c>
      <c r="B2202" t="s">
        <v>3853</v>
      </c>
      <c r="C2202" s="2" t="str">
        <f>HYPERLINK("http://snap.windin.com/ns/bulletin.php?id=1758119&amp;type=1", "雅化集团:首发招股说明书（申报稿）")</f>
        <v>雅化集团:首发招股说明书（申报稿）</v>
      </c>
      <c r="D2202" t="s">
        <v>8567</v>
      </c>
      <c r="E2202" t="s">
        <v>5865</v>
      </c>
      <c r="F2202" t="s">
        <v>5513</v>
      </c>
    </row>
    <row r="2203" spans="1:6" x14ac:dyDescent="0.15">
      <c r="A2203" s="1">
        <v>40414</v>
      </c>
      <c r="B2203" t="s">
        <v>3909</v>
      </c>
      <c r="C2203" s="2" t="str">
        <f>HYPERLINK("http://snap.windin.com/ns/bulletin.php?id=1334479&amp;type=1", "二六三:首次公开发行股票招股说明书")</f>
        <v>二六三:首次公开发行股票招股说明书</v>
      </c>
      <c r="D2203" t="s">
        <v>8568</v>
      </c>
      <c r="E2203" t="s">
        <v>5934</v>
      </c>
      <c r="F2203" t="s">
        <v>399</v>
      </c>
    </row>
    <row r="2204" spans="1:6" x14ac:dyDescent="0.15">
      <c r="A2204" s="1">
        <v>40414</v>
      </c>
      <c r="B2204" t="s">
        <v>3864</v>
      </c>
      <c r="C2204" s="2" t="str">
        <f>HYPERLINK("http://snap.windin.com/ns/bulletin.php?id=518861&amp;type=1", "大富科技:创业板首发招股说明书（申报稿）")</f>
        <v>大富科技:创业板首发招股说明书（申报稿）</v>
      </c>
      <c r="D2204" t="s">
        <v>8569</v>
      </c>
      <c r="E2204" t="s">
        <v>5883</v>
      </c>
      <c r="F2204" t="s">
        <v>5450</v>
      </c>
    </row>
    <row r="2205" spans="1:6" x14ac:dyDescent="0.15">
      <c r="A2205" s="1">
        <v>40414</v>
      </c>
      <c r="B2205" t="s">
        <v>3910</v>
      </c>
      <c r="C2205" s="2" t="str">
        <f>HYPERLINK("http://snap.windin.com/ns/bulletin.php?id=658582&amp;type=1", "金正大:首次公开发行股票招股说明书")</f>
        <v>金正大:首次公开发行股票招股说明书</v>
      </c>
      <c r="D2205" t="s">
        <v>8570</v>
      </c>
      <c r="E2205" t="s">
        <v>5935</v>
      </c>
      <c r="F2205" t="s">
        <v>399</v>
      </c>
    </row>
    <row r="2206" spans="1:6" x14ac:dyDescent="0.15">
      <c r="A2206" s="1">
        <v>40414</v>
      </c>
      <c r="B2206" t="s">
        <v>3911</v>
      </c>
      <c r="C2206" s="2" t="str">
        <f>HYPERLINK("http://snap.windin.com/ns/bulletin.php?id=2028665&amp;type=1", "三维工程:首次公开发行股票招股说明书")</f>
        <v>三维工程:首次公开发行股票招股说明书</v>
      </c>
      <c r="D2206" t="s">
        <v>8571</v>
      </c>
      <c r="E2206" t="s">
        <v>5936</v>
      </c>
      <c r="F2206" t="s">
        <v>399</v>
      </c>
    </row>
    <row r="2207" spans="1:6" x14ac:dyDescent="0.15">
      <c r="A2207" s="1">
        <v>40414</v>
      </c>
      <c r="B2207" t="s">
        <v>3873</v>
      </c>
      <c r="C2207" s="2" t="str">
        <f>HYPERLINK("http://snap.windin.com/ns/bulletin.php?id=1875126&amp;type=1", "新国都:创业板首发招股说明书（申报稿）")</f>
        <v>新国都:创业板首发招股说明书（申报稿）</v>
      </c>
      <c r="D2207" t="s">
        <v>8572</v>
      </c>
      <c r="E2207" t="s">
        <v>5895</v>
      </c>
      <c r="F2207" t="s">
        <v>5450</v>
      </c>
    </row>
    <row r="2208" spans="1:6" x14ac:dyDescent="0.15">
      <c r="A2208" s="1">
        <v>40414</v>
      </c>
      <c r="B2208" t="s">
        <v>3912</v>
      </c>
      <c r="C2208" s="2" t="str">
        <f>HYPERLINK("http://snap.windin.com/ns/bulletin.php?id=1819376&amp;type=1", "嘉诚股份:首发招股说明书（申报稿）")</f>
        <v>嘉诚股份:首发招股说明书（申报稿）</v>
      </c>
      <c r="D2208" t="s">
        <v>8573</v>
      </c>
      <c r="E2208" t="s">
        <v>5937</v>
      </c>
      <c r="F2208" t="s">
        <v>5513</v>
      </c>
    </row>
    <row r="2209" spans="1:6" x14ac:dyDescent="0.15">
      <c r="A2209" s="1">
        <v>40414</v>
      </c>
      <c r="B2209" t="s">
        <v>3913</v>
      </c>
      <c r="C2209" s="2" t="str">
        <f>HYPERLINK("http://snap.windin.com/ns/bulletin.php?id=1056148&amp;type=1", "艾迪西:首次公开发行股票（A股）招股说明书")</f>
        <v>艾迪西:首次公开发行股票（A股）招股说明书</v>
      </c>
      <c r="D2209" t="s">
        <v>8574</v>
      </c>
      <c r="E2209" t="s">
        <v>5938</v>
      </c>
      <c r="F2209" t="s">
        <v>661</v>
      </c>
    </row>
    <row r="2210" spans="1:6" x14ac:dyDescent="0.15">
      <c r="A2210" s="1">
        <v>40414</v>
      </c>
      <c r="B2210" t="s">
        <v>110</v>
      </c>
      <c r="C2210" s="2" t="str">
        <f>HYPERLINK("http://snap.windin.com/ns/bulletin.php?id=1059935&amp;type=1", "海伦钢琴:首发招股说明书（申报稿）")</f>
        <v>海伦钢琴:首发招股说明书（申报稿）</v>
      </c>
      <c r="D2210" t="s">
        <v>8575</v>
      </c>
      <c r="E2210" t="s">
        <v>553</v>
      </c>
      <c r="F2210" t="s">
        <v>5513</v>
      </c>
    </row>
    <row r="2211" spans="1:6" x14ac:dyDescent="0.15">
      <c r="A2211" s="1">
        <v>40414</v>
      </c>
      <c r="B2211" t="s">
        <v>3865</v>
      </c>
      <c r="C2211" s="2" t="str">
        <f>HYPERLINK("http://snap.windin.com/ns/bulletin.php?id=1015004&amp;type=1", "宝利沥青:创业板首发招股说明书（申报稿）")</f>
        <v>宝利沥青:创业板首发招股说明书（申报稿）</v>
      </c>
      <c r="D2211" t="s">
        <v>8576</v>
      </c>
      <c r="E2211" t="s">
        <v>5884</v>
      </c>
      <c r="F2211" t="s">
        <v>5450</v>
      </c>
    </row>
    <row r="2212" spans="1:6" x14ac:dyDescent="0.15">
      <c r="A2212" s="1">
        <v>40410</v>
      </c>
      <c r="B2212" t="s">
        <v>3914</v>
      </c>
      <c r="C2212" s="2" t="str">
        <f>HYPERLINK("http://snap.windin.com/ns/bulletin.php?id=1774801&amp;type=1", "坚瑞消防:首次公开发行股票并在创业板上市招股说明书")</f>
        <v>坚瑞消防:首次公开发行股票并在创业板上市招股说明书</v>
      </c>
      <c r="D2212" t="s">
        <v>8577</v>
      </c>
      <c r="E2212" t="s">
        <v>5939</v>
      </c>
      <c r="F2212" t="s">
        <v>455</v>
      </c>
    </row>
    <row r="2213" spans="1:6" x14ac:dyDescent="0.15">
      <c r="A2213" s="1">
        <v>40410</v>
      </c>
      <c r="B2213" t="s">
        <v>3915</v>
      </c>
      <c r="C2213" s="2" t="str">
        <f>HYPERLINK("http://snap.windin.com/ns/bulletin.php?id=2109369&amp;type=1", "东方日升:首次公开发行股票并在创业板上市招股说明书")</f>
        <v>东方日升:首次公开发行股票并在创业板上市招股说明书</v>
      </c>
      <c r="D2213" t="s">
        <v>8578</v>
      </c>
      <c r="E2213" t="s">
        <v>5940</v>
      </c>
      <c r="F2213" t="s">
        <v>455</v>
      </c>
    </row>
    <row r="2214" spans="1:6" x14ac:dyDescent="0.15">
      <c r="A2214" s="1">
        <v>40410</v>
      </c>
      <c r="B2214" t="s">
        <v>3916</v>
      </c>
      <c r="C2214" s="2" t="str">
        <f>HYPERLINK("http://snap.windin.com/ns/bulletin.php?id=99205&amp;type=1", "嘉寓股份:首次公开发行股票并在创业板上市招股说明书")</f>
        <v>嘉寓股份:首次公开发行股票并在创业板上市招股说明书</v>
      </c>
      <c r="D2214" t="s">
        <v>8579</v>
      </c>
      <c r="E2214" t="s">
        <v>5941</v>
      </c>
      <c r="F2214" t="s">
        <v>455</v>
      </c>
    </row>
    <row r="2215" spans="1:6" x14ac:dyDescent="0.15">
      <c r="A2215" s="1">
        <v>40410</v>
      </c>
      <c r="B2215" t="s">
        <v>3886</v>
      </c>
      <c r="C2215" s="2" t="str">
        <f>HYPERLINK("http://snap.windin.com/ns/bulletin.php?id=1893774&amp;type=1", "润邦股份:首发招股说明书（申报稿）")</f>
        <v>润邦股份:首发招股说明书（申报稿）</v>
      </c>
      <c r="D2215" t="s">
        <v>8580</v>
      </c>
      <c r="E2215" t="s">
        <v>5910</v>
      </c>
      <c r="F2215" t="s">
        <v>5513</v>
      </c>
    </row>
    <row r="2216" spans="1:6" x14ac:dyDescent="0.15">
      <c r="A2216" s="1">
        <v>40410</v>
      </c>
      <c r="B2216" t="s">
        <v>3917</v>
      </c>
      <c r="C2216" s="2" t="str">
        <f>HYPERLINK("http://snap.windin.com/ns/bulletin.php?id=1573849&amp;type=1", "长盈精密:首次公开发行股票并在创业板上市招股说明书")</f>
        <v>长盈精密:首次公开发行股票并在创业板上市招股说明书</v>
      </c>
      <c r="D2216" t="s">
        <v>8581</v>
      </c>
      <c r="E2216" t="s">
        <v>5942</v>
      </c>
      <c r="F2216" t="s">
        <v>455</v>
      </c>
    </row>
    <row r="2217" spans="1:6" x14ac:dyDescent="0.15">
      <c r="A2217" s="1">
        <v>40410</v>
      </c>
      <c r="B2217" t="s">
        <v>243</v>
      </c>
      <c r="C2217" s="2" t="str">
        <f>HYPERLINK("http://snap.windin.com/ns/bulletin.php?id=628583&amp;type=1", "玉龙股份:首发招股说明书（申报稿）")</f>
        <v>玉龙股份:首发招股说明书（申报稿）</v>
      </c>
      <c r="D2217" t="s">
        <v>8582</v>
      </c>
      <c r="E2217" t="s">
        <v>724</v>
      </c>
      <c r="F2217" t="s">
        <v>5513</v>
      </c>
    </row>
    <row r="2218" spans="1:6" x14ac:dyDescent="0.15">
      <c r="A2218" s="1">
        <v>40407</v>
      </c>
      <c r="B2218" t="s">
        <v>3918</v>
      </c>
      <c r="C2218" s="2" t="str">
        <f>HYPERLINK("http://snap.windin.com/ns/bulletin.php?id=1636740&amp;type=1", "海格通信:首次公开发行股票招股说明书")</f>
        <v>海格通信:首次公开发行股票招股说明书</v>
      </c>
      <c r="D2218" t="s">
        <v>8583</v>
      </c>
      <c r="E2218" t="s">
        <v>5943</v>
      </c>
      <c r="F2218" t="s">
        <v>399</v>
      </c>
    </row>
    <row r="2219" spans="1:6" x14ac:dyDescent="0.15">
      <c r="A2219" s="1">
        <v>40407</v>
      </c>
      <c r="B2219" t="s">
        <v>3857</v>
      </c>
      <c r="C2219" s="2" t="str">
        <f>HYPERLINK("http://snap.windin.com/ns/bulletin.php?id=1628576&amp;type=1", "荣盛石化:首次公开发行股票招股说明书（申报稿）")</f>
        <v>荣盛石化:首次公开发行股票招股说明书（申报稿）</v>
      </c>
      <c r="D2219" t="s">
        <v>8584</v>
      </c>
      <c r="E2219" t="s">
        <v>5871</v>
      </c>
      <c r="F2219" t="s">
        <v>5452</v>
      </c>
    </row>
    <row r="2220" spans="1:6" x14ac:dyDescent="0.15">
      <c r="A2220" s="1">
        <v>40407</v>
      </c>
      <c r="B2220" t="s">
        <v>3919</v>
      </c>
      <c r="C2220" s="2" t="str">
        <f>HYPERLINK("http://snap.windin.com/ns/bulletin.php?id=210877&amp;type=1", "天齐锂业:首次公开发行股票招股说明书")</f>
        <v>天齐锂业:首次公开发行股票招股说明书</v>
      </c>
      <c r="D2220" t="s">
        <v>8585</v>
      </c>
      <c r="E2220" t="s">
        <v>5944</v>
      </c>
      <c r="F2220" t="s">
        <v>399</v>
      </c>
    </row>
    <row r="2221" spans="1:6" x14ac:dyDescent="0.15">
      <c r="A2221" s="1">
        <v>40407</v>
      </c>
      <c r="B2221" t="s">
        <v>3868</v>
      </c>
      <c r="C2221" s="2" t="str">
        <f>HYPERLINK("http://snap.windin.com/ns/bulletin.php?id=546348&amp;type=1", "通鼎光电:首发招股说明书（申报稿）")</f>
        <v>通鼎光电:首发招股说明书（申报稿）</v>
      </c>
      <c r="D2221" t="s">
        <v>8586</v>
      </c>
      <c r="E2221" t="s">
        <v>5889</v>
      </c>
      <c r="F2221" t="s">
        <v>5513</v>
      </c>
    </row>
    <row r="2222" spans="1:6" x14ac:dyDescent="0.15">
      <c r="A2222" s="1">
        <v>40407</v>
      </c>
      <c r="B2222" t="s">
        <v>3920</v>
      </c>
      <c r="C2222" s="2" t="str">
        <f>HYPERLINK("http://snap.windin.com/ns/bulletin.php?id=572140&amp;type=1", "金利科技:首次公开发行股票招股说明书")</f>
        <v>金利科技:首次公开发行股票招股说明书</v>
      </c>
      <c r="D2222" t="s">
        <v>8587</v>
      </c>
      <c r="E2222" t="s">
        <v>5945</v>
      </c>
      <c r="F2222" t="s">
        <v>399</v>
      </c>
    </row>
    <row r="2223" spans="1:6" x14ac:dyDescent="0.15">
      <c r="A2223" s="1">
        <v>40407</v>
      </c>
      <c r="B2223" t="s">
        <v>3921</v>
      </c>
      <c r="C2223" s="2" t="str">
        <f>HYPERLINK("http://snap.windin.com/ns/bulletin.php?id=1045012&amp;type=1", "光大银行:首次公开发行A股股票招股说明书")</f>
        <v>光大银行:首次公开发行A股股票招股说明书</v>
      </c>
      <c r="D2223" t="s">
        <v>8588</v>
      </c>
      <c r="E2223" t="s">
        <v>5946</v>
      </c>
      <c r="F2223" t="s">
        <v>462</v>
      </c>
    </row>
    <row r="2224" spans="1:6" x14ac:dyDescent="0.15">
      <c r="A2224" s="1">
        <v>40404</v>
      </c>
      <c r="B2224" t="s">
        <v>3821</v>
      </c>
      <c r="C2224" s="2" t="str">
        <f>HYPERLINK("http://snap.windin.com/ns/bulletin.php?id=1268025&amp;type=1", "科士达:首发招股说明书（申报稿）")</f>
        <v>科士达:首发招股说明书（申报稿）</v>
      </c>
      <c r="D2224" t="s">
        <v>8589</v>
      </c>
      <c r="E2224" t="s">
        <v>5826</v>
      </c>
      <c r="F2224" t="s">
        <v>5513</v>
      </c>
    </row>
    <row r="2225" spans="1:6" x14ac:dyDescent="0.15">
      <c r="A2225" s="1">
        <v>40404</v>
      </c>
      <c r="B2225" t="s">
        <v>3841</v>
      </c>
      <c r="C2225" s="2" t="str">
        <f>HYPERLINK("http://snap.windin.com/ns/bulletin.php?id=685501&amp;type=1", "九州通:首发招股说明书（申报稿）")</f>
        <v>九州通:首发招股说明书（申报稿）</v>
      </c>
      <c r="D2225" t="s">
        <v>8590</v>
      </c>
      <c r="E2225" t="s">
        <v>5852</v>
      </c>
      <c r="F2225" t="s">
        <v>5513</v>
      </c>
    </row>
    <row r="2226" spans="1:6" x14ac:dyDescent="0.15">
      <c r="A2226" s="1">
        <v>40403</v>
      </c>
      <c r="B2226" t="s">
        <v>3922</v>
      </c>
      <c r="C2226" s="2" t="str">
        <f>HYPERLINK("http://snap.windin.com/ns/bulletin.php?id=231704&amp;type=1", "顺网科技:首次公开发行股票并在创业板上市招股说明书")</f>
        <v>顺网科技:首次公开发行股票并在创业板上市招股说明书</v>
      </c>
      <c r="D2226" t="s">
        <v>8591</v>
      </c>
      <c r="E2226" t="s">
        <v>5947</v>
      </c>
      <c r="F2226" t="s">
        <v>455</v>
      </c>
    </row>
    <row r="2227" spans="1:6" x14ac:dyDescent="0.15">
      <c r="A2227" s="1">
        <v>40403</v>
      </c>
      <c r="B2227" t="s">
        <v>3923</v>
      </c>
      <c r="C2227" s="2" t="str">
        <f>HYPERLINK("http://snap.windin.com/ns/bulletin.php?id=539874&amp;type=1", "向日葵:首次公开发行股票并在创业板上市招股说明书")</f>
        <v>向日葵:首次公开发行股票并在创业板上市招股说明书</v>
      </c>
      <c r="D2227" t="s">
        <v>8592</v>
      </c>
      <c r="E2227" t="s">
        <v>5948</v>
      </c>
      <c r="F2227" t="s">
        <v>455</v>
      </c>
    </row>
    <row r="2228" spans="1:6" x14ac:dyDescent="0.15">
      <c r="A2228" s="1">
        <v>40403</v>
      </c>
      <c r="B2228" t="s">
        <v>3924</v>
      </c>
      <c r="C2228" s="2" t="str">
        <f>HYPERLINK("http://snap.windin.com/ns/bulletin.php?id=2033999&amp;type=1", "万讯自控:首次公开发行股票并在创业板上市招股说明书")</f>
        <v>万讯自控:首次公开发行股票并在创业板上市招股说明书</v>
      </c>
      <c r="D2228" t="s">
        <v>8593</v>
      </c>
      <c r="E2228" t="s">
        <v>5949</v>
      </c>
      <c r="F2228" t="s">
        <v>455</v>
      </c>
    </row>
    <row r="2229" spans="1:6" x14ac:dyDescent="0.15">
      <c r="A2229" s="1">
        <v>40403</v>
      </c>
      <c r="B2229" t="s">
        <v>3925</v>
      </c>
      <c r="C2229" s="2" t="str">
        <f>HYPERLINK("http://snap.windin.com/ns/bulletin.php?id=763455&amp;type=1", "中航电测:首次公开发行股票并在创业板上市招股说明书")</f>
        <v>中航电测:首次公开发行股票并在创业板上市招股说明书</v>
      </c>
      <c r="D2229" t="s">
        <v>8594</v>
      </c>
      <c r="E2229" t="s">
        <v>5950</v>
      </c>
      <c r="F2229" t="s">
        <v>455</v>
      </c>
    </row>
    <row r="2230" spans="1:6" x14ac:dyDescent="0.15">
      <c r="A2230" s="1">
        <v>40403</v>
      </c>
      <c r="B2230" t="s">
        <v>3926</v>
      </c>
      <c r="C2230" s="2" t="str">
        <f>HYPERLINK("http://snap.windin.com/ns/bulletin.php?id=895772&amp;type=1", "际华集团:首次公开发行A股股票招股说明书")</f>
        <v>际华集团:首次公开发行A股股票招股说明书</v>
      </c>
      <c r="D2230" t="s">
        <v>8595</v>
      </c>
      <c r="E2230" t="s">
        <v>5951</v>
      </c>
      <c r="F2230" t="s">
        <v>462</v>
      </c>
    </row>
    <row r="2231" spans="1:6" x14ac:dyDescent="0.15">
      <c r="A2231" s="1">
        <v>40402</v>
      </c>
      <c r="B2231" t="s">
        <v>3883</v>
      </c>
      <c r="C2231" s="2" t="str">
        <f>HYPERLINK("http://snap.windin.com/ns/bulletin.php?id=99764&amp;type=1", "银河磁体:创业板首发招股说明书（申报稿）")</f>
        <v>银河磁体:创业板首发招股说明书（申报稿）</v>
      </c>
      <c r="D2231" t="s">
        <v>8596</v>
      </c>
      <c r="E2231" t="s">
        <v>5907</v>
      </c>
      <c r="F2231" t="s">
        <v>5450</v>
      </c>
    </row>
    <row r="2232" spans="1:6" x14ac:dyDescent="0.15">
      <c r="A2232" s="1">
        <v>40400</v>
      </c>
      <c r="B2232" t="s">
        <v>256</v>
      </c>
      <c r="C2232" s="2" t="str">
        <f>HYPERLINK("http://snap.windin.com/ns/bulletin.php?id=1724626&amp;type=1", "永强股份:首发招股说明书（申报稿）")</f>
        <v>永强股份:首发招股说明书（申报稿）</v>
      </c>
      <c r="D2232" t="s">
        <v>8597</v>
      </c>
      <c r="E2232" t="s">
        <v>5952</v>
      </c>
      <c r="F2232" t="s">
        <v>5513</v>
      </c>
    </row>
    <row r="2233" spans="1:6" x14ac:dyDescent="0.15">
      <c r="A2233" s="1">
        <v>40400</v>
      </c>
      <c r="B2233" t="s">
        <v>278</v>
      </c>
      <c r="C2233" s="2" t="str">
        <f>HYPERLINK("http://snap.windin.com/ns/bulletin.php?id=203119&amp;type=1", "哈尔斯:首发招股说明书(申报稿)")</f>
        <v>哈尔斯:首发招股说明书(申报稿)</v>
      </c>
      <c r="D2233" t="s">
        <v>8598</v>
      </c>
      <c r="E2233" t="s">
        <v>763</v>
      </c>
      <c r="F2233" t="s">
        <v>5523</v>
      </c>
    </row>
    <row r="2234" spans="1:6" x14ac:dyDescent="0.15">
      <c r="A2234" s="1">
        <v>40400</v>
      </c>
      <c r="B2234" t="s">
        <v>3927</v>
      </c>
      <c r="C2234" s="2" t="str">
        <f>HYPERLINK("http://snap.windin.com/ns/bulletin.php?id=1785752&amp;type=1", "双龙股份:首次公开发行股票并在创业板上市招股说明书")</f>
        <v>双龙股份:首次公开发行股票并在创业板上市招股说明书</v>
      </c>
      <c r="D2234" t="s">
        <v>8599</v>
      </c>
      <c r="E2234" t="s">
        <v>5953</v>
      </c>
      <c r="F2234" t="s">
        <v>455</v>
      </c>
    </row>
    <row r="2235" spans="1:6" x14ac:dyDescent="0.15">
      <c r="A2235" s="1">
        <v>40400</v>
      </c>
      <c r="B2235" t="s">
        <v>3928</v>
      </c>
      <c r="C2235" s="2" t="str">
        <f>HYPERLINK("http://snap.windin.com/ns/bulletin.php?id=1561160&amp;type=1", "新开源:首次公开发行股票并在创业板上市招股说明书")</f>
        <v>新开源:首次公开发行股票并在创业板上市招股说明书</v>
      </c>
      <c r="D2235" t="s">
        <v>8600</v>
      </c>
      <c r="E2235" t="s">
        <v>5954</v>
      </c>
      <c r="F2235" t="s">
        <v>455</v>
      </c>
    </row>
    <row r="2236" spans="1:6" x14ac:dyDescent="0.15">
      <c r="A2236" s="1">
        <v>40400</v>
      </c>
      <c r="B2236" t="s">
        <v>3929</v>
      </c>
      <c r="C2236" s="2" t="str">
        <f>HYPERLINK("http://snap.windin.com/ns/bulletin.php?id=801680&amp;type=1", "华仁药业:首次公开发行股票并在创业板上市招股说明书")</f>
        <v>华仁药业:首次公开发行股票并在创业板上市招股说明书</v>
      </c>
      <c r="D2236" t="s">
        <v>8601</v>
      </c>
      <c r="E2236" t="s">
        <v>5955</v>
      </c>
      <c r="F2236" t="s">
        <v>455</v>
      </c>
    </row>
    <row r="2237" spans="1:6" x14ac:dyDescent="0.15">
      <c r="A2237" s="1">
        <v>40397</v>
      </c>
      <c r="B2237" t="s">
        <v>3858</v>
      </c>
      <c r="C2237" s="2" t="str">
        <f>HYPERLINK("http://snap.windin.com/ns/bulletin.php?id=1317349&amp;type=1", "佳隆股份:首次公开发行股票招股说明书（申报稿）")</f>
        <v>佳隆股份:首次公开发行股票招股说明书（申报稿）</v>
      </c>
      <c r="D2237" t="s">
        <v>8602</v>
      </c>
      <c r="E2237" t="s">
        <v>5872</v>
      </c>
      <c r="F2237" t="s">
        <v>5452</v>
      </c>
    </row>
    <row r="2238" spans="1:6" x14ac:dyDescent="0.15">
      <c r="A2238" s="1">
        <v>40396</v>
      </c>
      <c r="B2238" t="s">
        <v>3878</v>
      </c>
      <c r="C2238" s="2" t="str">
        <f>HYPERLINK("http://snap.windin.com/ns/bulletin.php?id=1771455&amp;type=1", "大金重工:首发招股说明书（申报稿）")</f>
        <v>大金重工:首发招股说明书（申报稿）</v>
      </c>
      <c r="D2238" t="s">
        <v>8603</v>
      </c>
      <c r="E2238" t="s">
        <v>5901</v>
      </c>
      <c r="F2238" t="s">
        <v>5513</v>
      </c>
    </row>
    <row r="2239" spans="1:6" x14ac:dyDescent="0.15">
      <c r="A2239" s="1">
        <v>40396</v>
      </c>
      <c r="B2239" t="s">
        <v>3930</v>
      </c>
      <c r="C2239" s="2" t="str">
        <f>HYPERLINK("http://snap.windin.com/ns/bulletin.php?id=222600&amp;type=1", "西部牧业:首次公开发行股票并在创业板上市招股说明书")</f>
        <v>西部牧业:首次公开发行股票并在创业板上市招股说明书</v>
      </c>
      <c r="D2239" t="s">
        <v>8604</v>
      </c>
      <c r="E2239" t="s">
        <v>5956</v>
      </c>
      <c r="F2239" t="s">
        <v>455</v>
      </c>
    </row>
    <row r="2240" spans="1:6" x14ac:dyDescent="0.15">
      <c r="A2240" s="1">
        <v>40396</v>
      </c>
      <c r="B2240" t="s">
        <v>3931</v>
      </c>
      <c r="C2240" s="2" t="str">
        <f>HYPERLINK("http://snap.windin.com/ns/bulletin.php?id=99168&amp;type=1", "建新股份:首次公开发行股票并在创业板上市招股说明书")</f>
        <v>建新股份:首次公开发行股票并在创业板上市招股说明书</v>
      </c>
      <c r="D2240" t="s">
        <v>8605</v>
      </c>
      <c r="E2240" t="s">
        <v>5957</v>
      </c>
      <c r="F2240" t="s">
        <v>455</v>
      </c>
    </row>
    <row r="2241" spans="1:6" x14ac:dyDescent="0.15">
      <c r="A2241" s="1">
        <v>40396</v>
      </c>
      <c r="B2241" t="s">
        <v>3932</v>
      </c>
      <c r="C2241" s="2" t="str">
        <f>HYPERLINK("http://snap.windin.com/ns/bulletin.php?id=1376102&amp;type=1", "龙源技术:首次公开发行股票并在创业板上市招股说明书")</f>
        <v>龙源技术:首次公开发行股票并在创业板上市招股说明书</v>
      </c>
      <c r="D2241" t="s">
        <v>8606</v>
      </c>
      <c r="E2241" t="s">
        <v>5958</v>
      </c>
      <c r="F2241" t="s">
        <v>455</v>
      </c>
    </row>
    <row r="2242" spans="1:6" x14ac:dyDescent="0.15">
      <c r="A2242" s="1">
        <v>40393</v>
      </c>
      <c r="B2242" t="s">
        <v>3933</v>
      </c>
      <c r="C2242" s="2" t="str">
        <f>HYPERLINK("http://snap.windin.com/ns/bulletin.php?id=202455&amp;type=1", "珠江啤酒:首次公开发行股票招股说明书")</f>
        <v>珠江啤酒:首次公开发行股票招股说明书</v>
      </c>
      <c r="D2242" t="s">
        <v>8607</v>
      </c>
      <c r="E2242" t="s">
        <v>5959</v>
      </c>
      <c r="F2242" t="s">
        <v>399</v>
      </c>
    </row>
    <row r="2243" spans="1:6" x14ac:dyDescent="0.15">
      <c r="A2243" s="1">
        <v>40393</v>
      </c>
      <c r="B2243" t="s">
        <v>3934</v>
      </c>
      <c r="C2243" s="2" t="str">
        <f>HYPERLINK("http://snap.windin.com/ns/bulletin.php?id=1266869&amp;type=1", "沪电股份:首次公开发行股票招股说明书")</f>
        <v>沪电股份:首次公开发行股票招股说明书</v>
      </c>
      <c r="D2243" t="s">
        <v>8608</v>
      </c>
      <c r="E2243" t="s">
        <v>5960</v>
      </c>
      <c r="F2243" t="s">
        <v>399</v>
      </c>
    </row>
    <row r="2244" spans="1:6" x14ac:dyDescent="0.15">
      <c r="A2244" s="1">
        <v>40393</v>
      </c>
      <c r="B2244" t="s">
        <v>3935</v>
      </c>
      <c r="C2244" s="2" t="str">
        <f>HYPERLINK("http://snap.windin.com/ns/bulletin.php?id=2098113&amp;type=1", "嘉事堂:首次公开发行股票招股说明书")</f>
        <v>嘉事堂:首次公开发行股票招股说明书</v>
      </c>
      <c r="D2244" t="s">
        <v>8609</v>
      </c>
      <c r="E2244" t="s">
        <v>5961</v>
      </c>
      <c r="F2244" t="s">
        <v>399</v>
      </c>
    </row>
    <row r="2245" spans="1:6" x14ac:dyDescent="0.15">
      <c r="A2245" s="1">
        <v>40393</v>
      </c>
      <c r="B2245" t="s">
        <v>3869</v>
      </c>
      <c r="C2245" s="2" t="str">
        <f>HYPERLINK("http://snap.windin.com/ns/bulletin.php?id=2027890&amp;type=1", "山东墨龙:首发招股说明书（申报稿）")</f>
        <v>山东墨龙:首发招股说明书（申报稿）</v>
      </c>
      <c r="D2245" t="s">
        <v>8610</v>
      </c>
      <c r="E2245" t="s">
        <v>5890</v>
      </c>
      <c r="F2245" t="s">
        <v>5513</v>
      </c>
    </row>
    <row r="2246" spans="1:6" x14ac:dyDescent="0.15">
      <c r="A2246" s="1">
        <v>40393</v>
      </c>
      <c r="B2246" t="s">
        <v>3871</v>
      </c>
      <c r="C2246" s="2" t="str">
        <f>HYPERLINK("http://snap.windin.com/ns/bulletin.php?id=1568994&amp;type=1", "金固股份:首发招股说明书（申报稿）")</f>
        <v>金固股份:首发招股说明书（申报稿）</v>
      </c>
      <c r="D2246" t="s">
        <v>8611</v>
      </c>
      <c r="E2246" t="s">
        <v>5892</v>
      </c>
      <c r="F2246" t="s">
        <v>5513</v>
      </c>
    </row>
    <row r="2247" spans="1:6" x14ac:dyDescent="0.15">
      <c r="A2247" s="1">
        <v>40393</v>
      </c>
      <c r="B2247" t="s">
        <v>3928</v>
      </c>
      <c r="C2247" s="2" t="str">
        <f>HYPERLINK("http://snap.windin.com/ns/bulletin.php?id=1009433&amp;type=1", "新开源:实际控制人杨海江、王东虎、王坚强对《博爱新开源制药首发股票并在创业板上市招股说明书》意见")</f>
        <v>新开源:实际控制人杨海江、王东虎、王坚强对《博爱新开源制药首发股票并在创业板上市招股说明书》意见</v>
      </c>
      <c r="D2247" t="s">
        <v>8612</v>
      </c>
      <c r="E2247" t="s">
        <v>5954</v>
      </c>
      <c r="F2247" t="s">
        <v>5962</v>
      </c>
    </row>
    <row r="2248" spans="1:6" x14ac:dyDescent="0.15">
      <c r="A2248" s="1">
        <v>40392</v>
      </c>
      <c r="B2248" t="s">
        <v>55</v>
      </c>
      <c r="C2248" s="2" t="str">
        <f>HYPERLINK("http://snap.windin.com/ns/bulletin.php?id=1234283&amp;type=1", "郑煤机:首次公开发行A股股票招股说明书")</f>
        <v>郑煤机:首次公开发行A股股票招股说明书</v>
      </c>
      <c r="D2248" t="s">
        <v>8613</v>
      </c>
      <c r="E2248" t="s">
        <v>483</v>
      </c>
      <c r="F2248" t="s">
        <v>462</v>
      </c>
    </row>
    <row r="2249" spans="1:6" x14ac:dyDescent="0.15">
      <c r="A2249" s="1">
        <v>40390</v>
      </c>
      <c r="B2249" t="s">
        <v>3889</v>
      </c>
      <c r="C2249" s="2" t="str">
        <f>HYPERLINK("http://snap.windin.com/ns/bulletin.php?id=1646629&amp;type=1", "智飞生物:创业板首发招股说明书（申报稿）")</f>
        <v>智飞生物:创业板首发招股说明书（申报稿）</v>
      </c>
      <c r="D2249" t="s">
        <v>8614</v>
      </c>
      <c r="E2249" t="s">
        <v>5913</v>
      </c>
      <c r="F2249" t="s">
        <v>5450</v>
      </c>
    </row>
    <row r="2250" spans="1:6" x14ac:dyDescent="0.15">
      <c r="A2250" s="1">
        <v>40390</v>
      </c>
      <c r="B2250" t="s">
        <v>3888</v>
      </c>
      <c r="C2250" s="2" t="str">
        <f>HYPERLINK("http://snap.windin.com/ns/bulletin.php?id=954801&amp;type=1", "太阳鸟:创业板首发招股说明书（申报稿）")</f>
        <v>太阳鸟:创业板首发招股说明书（申报稿）</v>
      </c>
      <c r="D2250" t="s">
        <v>8615</v>
      </c>
      <c r="E2250" t="s">
        <v>5912</v>
      </c>
      <c r="F2250" t="s">
        <v>5450</v>
      </c>
    </row>
    <row r="2251" spans="1:6" x14ac:dyDescent="0.15">
      <c r="A2251" s="1">
        <v>40389</v>
      </c>
      <c r="B2251" t="s">
        <v>3816</v>
      </c>
      <c r="C2251" s="2" t="str">
        <f>HYPERLINK("http://snap.windin.com/ns/bulletin.php?id=1772214&amp;type=1", "齐峰股份:首次公开发行股票招股说明书（申报稿）")</f>
        <v>齐峰股份:首次公开发行股票招股说明书（申报稿）</v>
      </c>
      <c r="D2251" t="s">
        <v>8616</v>
      </c>
      <c r="E2251" t="s">
        <v>5820</v>
      </c>
      <c r="F2251" t="s">
        <v>5452</v>
      </c>
    </row>
    <row r="2252" spans="1:6" x14ac:dyDescent="0.15">
      <c r="A2252" s="1">
        <v>40389</v>
      </c>
      <c r="B2252" t="s">
        <v>3936</v>
      </c>
      <c r="C2252" s="2" t="str">
        <f>HYPERLINK("http://snap.windin.com/ns/bulletin.php?id=2089931&amp;type=1", "乾照光电:首次公开发行股票并在创业板上市招股说明书")</f>
        <v>乾照光电:首次公开发行股票并在创业板上市招股说明书</v>
      </c>
      <c r="D2252" t="s">
        <v>8617</v>
      </c>
      <c r="E2252" t="s">
        <v>5963</v>
      </c>
      <c r="F2252" t="s">
        <v>455</v>
      </c>
    </row>
    <row r="2253" spans="1:6" x14ac:dyDescent="0.15">
      <c r="A2253" s="1">
        <v>40389</v>
      </c>
      <c r="B2253" t="s">
        <v>3901</v>
      </c>
      <c r="C2253" s="2" t="str">
        <f>HYPERLINK("http://snap.windin.com/ns/bulletin.php?id=1352641&amp;type=1", "榕基软件:首次公开发行股票招股说明书（申报稿）")</f>
        <v>榕基软件:首次公开发行股票招股说明书（申报稿）</v>
      </c>
      <c r="D2253" t="s">
        <v>8618</v>
      </c>
      <c r="E2253" t="s">
        <v>5925</v>
      </c>
      <c r="F2253" t="s">
        <v>5452</v>
      </c>
    </row>
    <row r="2254" spans="1:6" x14ac:dyDescent="0.15">
      <c r="A2254" s="1">
        <v>40389</v>
      </c>
      <c r="B2254" t="s">
        <v>3937</v>
      </c>
      <c r="C2254" s="2" t="str">
        <f>HYPERLINK("http://snap.windin.com/ns/bulletin.php?id=424587&amp;type=1", "乐视网:首次公开发行股票并在创业板上市招股说明书")</f>
        <v>乐视网:首次公开发行股票并在创业板上市招股说明书</v>
      </c>
      <c r="D2254" t="s">
        <v>8619</v>
      </c>
      <c r="E2254" t="s">
        <v>5964</v>
      </c>
      <c r="F2254" t="s">
        <v>455</v>
      </c>
    </row>
    <row r="2255" spans="1:6" x14ac:dyDescent="0.15">
      <c r="A2255" s="1">
        <v>40389</v>
      </c>
      <c r="B2255" t="s">
        <v>3938</v>
      </c>
      <c r="C2255" s="2" t="str">
        <f>HYPERLINK("http://snap.windin.com/ns/bulletin.php?id=953441&amp;type=1", "达刚路机:首次公开发行股票并在创业板上市招股说明书")</f>
        <v>达刚路机:首次公开发行股票并在创业板上市招股说明书</v>
      </c>
      <c r="D2255" t="s">
        <v>8620</v>
      </c>
      <c r="E2255" t="s">
        <v>5965</v>
      </c>
      <c r="F2255" t="s">
        <v>455</v>
      </c>
    </row>
    <row r="2256" spans="1:6" x14ac:dyDescent="0.15">
      <c r="A2256" s="1">
        <v>40386</v>
      </c>
      <c r="B2256" t="s">
        <v>3885</v>
      </c>
      <c r="C2256" s="2" t="str">
        <f>HYPERLINK("http://snap.windin.com/ns/bulletin.php?id=1233144&amp;type=1", "广田股份:首发招股说明书（申报稿）")</f>
        <v>广田股份:首发招股说明书（申报稿）</v>
      </c>
      <c r="D2256" t="s">
        <v>8621</v>
      </c>
      <c r="E2256" t="s">
        <v>5909</v>
      </c>
      <c r="F2256" t="s">
        <v>5513</v>
      </c>
    </row>
    <row r="2257" spans="1:6" x14ac:dyDescent="0.15">
      <c r="A2257" s="1">
        <v>40386</v>
      </c>
      <c r="B2257" t="s">
        <v>3939</v>
      </c>
      <c r="C2257" s="2" t="str">
        <f>HYPERLINK("http://snap.windin.com/ns/bulletin.php?id=1211390&amp;type=1", "赣锋锂业:首次公开发行股票招股说明书")</f>
        <v>赣锋锂业:首次公开发行股票招股说明书</v>
      </c>
      <c r="D2257" t="s">
        <v>8622</v>
      </c>
      <c r="E2257" t="s">
        <v>5966</v>
      </c>
      <c r="F2257" t="s">
        <v>399</v>
      </c>
    </row>
    <row r="2258" spans="1:6" x14ac:dyDescent="0.15">
      <c r="A2258" s="1">
        <v>40386</v>
      </c>
      <c r="B2258" t="s">
        <v>3940</v>
      </c>
      <c r="C2258" s="2" t="str">
        <f>HYPERLINK("http://snap.windin.com/ns/bulletin.php?id=2016975&amp;type=1", "益生股份:首次公开发行A股股票招股说明书")</f>
        <v>益生股份:首次公开发行A股股票招股说明书</v>
      </c>
      <c r="D2258" t="s">
        <v>8623</v>
      </c>
      <c r="E2258" t="s">
        <v>5967</v>
      </c>
      <c r="F2258" t="s">
        <v>462</v>
      </c>
    </row>
    <row r="2259" spans="1:6" x14ac:dyDescent="0.15">
      <c r="A2259" s="1">
        <v>40386</v>
      </c>
      <c r="B2259" t="s">
        <v>3845</v>
      </c>
      <c r="C2259" s="2" t="str">
        <f>HYPERLINK("http://snap.windin.com/ns/bulletin.php?id=1564115&amp;type=1", "山西证券:首次公开发行A股股票招股说明书（申报稿）")</f>
        <v>山西证券:首次公开发行A股股票招股说明书（申报稿）</v>
      </c>
      <c r="D2259" t="s">
        <v>8624</v>
      </c>
      <c r="E2259" t="s">
        <v>5856</v>
      </c>
      <c r="F2259" t="s">
        <v>5493</v>
      </c>
    </row>
    <row r="2260" spans="1:6" x14ac:dyDescent="0.15">
      <c r="A2260" s="1">
        <v>40386</v>
      </c>
      <c r="B2260" t="s">
        <v>3880</v>
      </c>
      <c r="C2260" s="2" t="str">
        <f>HYPERLINK("http://snap.windin.com/ns/bulletin.php?id=1130590&amp;type=1", "希努尔:首发招股说明书（申报稿）")</f>
        <v>希努尔:首发招股说明书（申报稿）</v>
      </c>
      <c r="D2260" t="s">
        <v>8625</v>
      </c>
      <c r="E2260" t="s">
        <v>5903</v>
      </c>
      <c r="F2260" t="s">
        <v>5513</v>
      </c>
    </row>
    <row r="2261" spans="1:6" x14ac:dyDescent="0.15">
      <c r="A2261" s="1">
        <v>40386</v>
      </c>
      <c r="B2261" t="s">
        <v>3941</v>
      </c>
      <c r="C2261" s="2" t="str">
        <f>HYPERLINK("http://snap.windin.com/ns/bulletin.php?id=1149961&amp;type=1", "天业通联:首次公开发行股票招股说明书")</f>
        <v>天业通联:首次公开发行股票招股说明书</v>
      </c>
      <c r="D2261" t="s">
        <v>8626</v>
      </c>
      <c r="E2261" t="s">
        <v>5968</v>
      </c>
      <c r="F2261" t="s">
        <v>399</v>
      </c>
    </row>
    <row r="2262" spans="1:6" x14ac:dyDescent="0.15">
      <c r="A2262" s="1">
        <v>40383</v>
      </c>
      <c r="B2262" t="s">
        <v>3879</v>
      </c>
      <c r="C2262" s="2" t="str">
        <f>HYPERLINK("http://snap.windin.com/ns/bulletin.php?id=1634502&amp;type=1", "嘉麟杰:首次公开发行股票招股说明书（申报稿）")</f>
        <v>嘉麟杰:首次公开发行股票招股说明书（申报稿）</v>
      </c>
      <c r="D2262" t="s">
        <v>8627</v>
      </c>
      <c r="E2262" t="s">
        <v>5902</v>
      </c>
      <c r="F2262" t="s">
        <v>5452</v>
      </c>
    </row>
    <row r="2263" spans="1:6" x14ac:dyDescent="0.15">
      <c r="A2263" s="1">
        <v>40383</v>
      </c>
      <c r="B2263" t="s">
        <v>3890</v>
      </c>
      <c r="C2263" s="2" t="str">
        <f>HYPERLINK("http://snap.windin.com/ns/bulletin.php?id=1284729&amp;type=1", "汇川技术:创业板首发招股说明书（申报稿）")</f>
        <v>汇川技术:创业板首发招股说明书（申报稿）</v>
      </c>
      <c r="D2263" t="s">
        <v>8628</v>
      </c>
      <c r="E2263" t="s">
        <v>5914</v>
      </c>
      <c r="F2263" t="s">
        <v>5450</v>
      </c>
    </row>
    <row r="2264" spans="1:6" x14ac:dyDescent="0.15">
      <c r="A2264" s="1">
        <v>40383</v>
      </c>
      <c r="B2264" t="s">
        <v>3884</v>
      </c>
      <c r="C2264" s="2" t="str">
        <f>HYPERLINK("http://snap.windin.com/ns/bulletin.php?id=978594&amp;type=1", "易世达:创业板首发招股说明书（申报稿）")</f>
        <v>易世达:创业板首发招股说明书（申报稿）</v>
      </c>
      <c r="D2264" t="s">
        <v>8629</v>
      </c>
      <c r="E2264" t="s">
        <v>5908</v>
      </c>
      <c r="F2264" t="s">
        <v>5450</v>
      </c>
    </row>
    <row r="2265" spans="1:6" x14ac:dyDescent="0.15">
      <c r="A2265" s="1">
        <v>40382</v>
      </c>
      <c r="B2265" t="s">
        <v>3942</v>
      </c>
      <c r="C2265" s="2" t="str">
        <f>HYPERLINK("http://snap.windin.com/ns/bulletin.php?id=2124781&amp;type=1", "国腾电子:首次公开发行股票并在创业板上市招股说明书")</f>
        <v>国腾电子:首次公开发行股票并在创业板上市招股说明书</v>
      </c>
      <c r="D2265" t="s">
        <v>8630</v>
      </c>
      <c r="E2265" t="s">
        <v>5969</v>
      </c>
      <c r="F2265" t="s">
        <v>455</v>
      </c>
    </row>
    <row r="2266" spans="1:6" x14ac:dyDescent="0.15">
      <c r="A2266" s="1">
        <v>40382</v>
      </c>
      <c r="B2266" t="s">
        <v>3943</v>
      </c>
      <c r="C2266" s="2" t="str">
        <f>HYPERLINK("http://snap.windin.com/ns/bulletin.php?id=2074333&amp;type=1", "尤洛卡:首次公开发行股票并在创业板上市招股说明书")</f>
        <v>尤洛卡:首次公开发行股票并在创业板上市招股说明书</v>
      </c>
      <c r="D2266" t="s">
        <v>8631</v>
      </c>
      <c r="E2266" t="s">
        <v>5970</v>
      </c>
      <c r="F2266" t="s">
        <v>455</v>
      </c>
    </row>
    <row r="2267" spans="1:6" x14ac:dyDescent="0.15">
      <c r="A2267" s="1">
        <v>40382</v>
      </c>
      <c r="B2267" t="s">
        <v>3944</v>
      </c>
      <c r="C2267" s="2" t="str">
        <f>HYPERLINK("http://snap.windin.com/ns/bulletin.php?id=629526&amp;type=1", "双林股份:首次公开发行股票并在创业板上市招股说明书")</f>
        <v>双林股份:首次公开发行股票并在创业板上市招股说明书</v>
      </c>
      <c r="D2267" t="s">
        <v>8632</v>
      </c>
      <c r="E2267" t="s">
        <v>5971</v>
      </c>
      <c r="F2267" t="s">
        <v>455</v>
      </c>
    </row>
    <row r="2268" spans="1:6" x14ac:dyDescent="0.15">
      <c r="A2268" s="1">
        <v>40382</v>
      </c>
      <c r="B2268" t="s">
        <v>3921</v>
      </c>
      <c r="C2268" s="2" t="str">
        <f>HYPERLINK("http://snap.windin.com/ns/bulletin.php?id=714976&amp;type=1", "光大银行:首发招股说明书（申报稿）")</f>
        <v>光大银行:首发招股说明书（申报稿）</v>
      </c>
      <c r="D2268" t="s">
        <v>8633</v>
      </c>
      <c r="E2268" t="s">
        <v>5946</v>
      </c>
      <c r="F2268" t="s">
        <v>5513</v>
      </c>
    </row>
    <row r="2269" spans="1:6" x14ac:dyDescent="0.15">
      <c r="A2269" s="1">
        <v>40381</v>
      </c>
      <c r="B2269" t="s">
        <v>3899</v>
      </c>
      <c r="C2269" s="2" t="str">
        <f>HYPERLINK("http://snap.windin.com/ns/bulletin.php?id=1672900&amp;type=1", "阳谷华泰:创业板首发招股说明书（申报稿）")</f>
        <v>阳谷华泰:创业板首发招股说明书（申报稿）</v>
      </c>
      <c r="D2269" t="s">
        <v>8634</v>
      </c>
      <c r="E2269" t="s">
        <v>5923</v>
      </c>
      <c r="F2269" t="s">
        <v>5450</v>
      </c>
    </row>
    <row r="2270" spans="1:6" x14ac:dyDescent="0.15">
      <c r="A2270" s="1">
        <v>40381</v>
      </c>
      <c r="B2270" t="s">
        <v>3900</v>
      </c>
      <c r="C2270" s="2" t="str">
        <f>HYPERLINK("http://snap.windin.com/ns/bulletin.php?id=1880543&amp;type=1", "瑞普生物:创业板首发招股说明书（申报稿）")</f>
        <v>瑞普生物:创业板首发招股说明书（申报稿）</v>
      </c>
      <c r="D2270" t="s">
        <v>8635</v>
      </c>
      <c r="E2270" t="s">
        <v>5924</v>
      </c>
      <c r="F2270" t="s">
        <v>5450</v>
      </c>
    </row>
    <row r="2271" spans="1:6" x14ac:dyDescent="0.15">
      <c r="A2271" s="1">
        <v>40379</v>
      </c>
      <c r="B2271" t="s">
        <v>3945</v>
      </c>
      <c r="C2271" s="2" t="str">
        <f>HYPERLINK("http://snap.windin.com/ns/bulletin.php?id=470382&amp;type=1", "青龙管业:首次公开发行股票招股说明书")</f>
        <v>青龙管业:首次公开发行股票招股说明书</v>
      </c>
      <c r="D2271" t="s">
        <v>8636</v>
      </c>
      <c r="E2271" t="s">
        <v>5972</v>
      </c>
      <c r="F2271" t="s">
        <v>399</v>
      </c>
    </row>
    <row r="2272" spans="1:6" x14ac:dyDescent="0.15">
      <c r="A2272" s="1">
        <v>40379</v>
      </c>
      <c r="B2272" t="s">
        <v>3946</v>
      </c>
      <c r="C2272" s="2" t="str">
        <f>HYPERLINK("http://snap.windin.com/ns/bulletin.php?id=1437109&amp;type=1", "百川股份:首次公开发行股票招股说明书")</f>
        <v>百川股份:首次公开发行股票招股说明书</v>
      </c>
      <c r="D2272" t="s">
        <v>8637</v>
      </c>
      <c r="E2272" t="s">
        <v>5973</v>
      </c>
      <c r="F2272" t="s">
        <v>399</v>
      </c>
    </row>
    <row r="2273" spans="1:6" x14ac:dyDescent="0.15">
      <c r="A2273" s="1">
        <v>40379</v>
      </c>
      <c r="B2273" t="s">
        <v>3947</v>
      </c>
      <c r="C2273" s="2" t="str">
        <f>HYPERLINK("http://snap.windin.com/ns/bulletin.php?id=1508564&amp;type=1", "欧菲光:首次公开发行股票招股说明书")</f>
        <v>欧菲光:首次公开发行股票招股说明书</v>
      </c>
      <c r="D2273" t="s">
        <v>8638</v>
      </c>
      <c r="E2273" t="s">
        <v>5974</v>
      </c>
      <c r="F2273" t="s">
        <v>399</v>
      </c>
    </row>
    <row r="2274" spans="1:6" x14ac:dyDescent="0.15">
      <c r="A2274" s="1">
        <v>40379</v>
      </c>
      <c r="B2274" t="s">
        <v>3894</v>
      </c>
      <c r="C2274" s="2" t="str">
        <f>HYPERLINK("http://snap.windin.com/ns/bulletin.php?id=1091702&amp;type=1", "双塔食品:首发招股说明书（申报稿）.PDF")</f>
        <v>双塔食品:首发招股说明书（申报稿）.PDF</v>
      </c>
      <c r="D2274" t="s">
        <v>8639</v>
      </c>
      <c r="E2274" t="s">
        <v>5918</v>
      </c>
      <c r="F2274" t="s">
        <v>5764</v>
      </c>
    </row>
    <row r="2275" spans="1:6" x14ac:dyDescent="0.15">
      <c r="A2275" s="1">
        <v>40376</v>
      </c>
      <c r="B2275" t="s">
        <v>3948</v>
      </c>
      <c r="C2275" s="2" t="str">
        <f>HYPERLINK("http://snap.windin.com/ns/bulletin.php?id=561384&amp;type=1", "宏泰股份:首次公开发行股票招股说明书（申报稿）")</f>
        <v>宏泰股份:首次公开发行股票招股说明书（申报稿）</v>
      </c>
      <c r="D2275" t="s">
        <v>8640</v>
      </c>
      <c r="E2275" t="s">
        <v>5975</v>
      </c>
      <c r="F2275" t="s">
        <v>5452</v>
      </c>
    </row>
    <row r="2276" spans="1:6" x14ac:dyDescent="0.15">
      <c r="A2276" s="1">
        <v>40376</v>
      </c>
      <c r="B2276" t="s">
        <v>3895</v>
      </c>
      <c r="C2276" s="2" t="str">
        <f>HYPERLINK("http://snap.windin.com/ns/bulletin.php?id=806986&amp;type=1", "新筑股份:首发招股说明书（申报稿）")</f>
        <v>新筑股份:首发招股说明书（申报稿）</v>
      </c>
      <c r="D2276" t="s">
        <v>8641</v>
      </c>
      <c r="E2276" t="s">
        <v>5919</v>
      </c>
      <c r="F2276" t="s">
        <v>5513</v>
      </c>
    </row>
    <row r="2277" spans="1:6" x14ac:dyDescent="0.15">
      <c r="A2277" s="1">
        <v>40375</v>
      </c>
      <c r="B2277" t="s">
        <v>3896</v>
      </c>
      <c r="C2277" s="2" t="str">
        <f>HYPERLINK("http://snap.windin.com/ns/bulletin.php?id=948261&amp;type=1", "富春环保:浙江富春江环保热电首发招股说明书（申报稿）")</f>
        <v>富春环保:浙江富春江环保热电首发招股说明书（申报稿）</v>
      </c>
      <c r="D2277" t="s">
        <v>8642</v>
      </c>
      <c r="E2277" t="s">
        <v>5920</v>
      </c>
      <c r="F2277" t="s">
        <v>5976</v>
      </c>
    </row>
    <row r="2278" spans="1:6" x14ac:dyDescent="0.15">
      <c r="A2278" s="1">
        <v>40375</v>
      </c>
      <c r="B2278" t="s">
        <v>3903</v>
      </c>
      <c r="C2278" s="2" t="str">
        <f>HYPERLINK("http://snap.windin.com/ns/bulletin.php?id=759226&amp;type=1", "雏鹰农牧:河南雏鹰农牧股份有限公司首发招股说明书（申报稿）")</f>
        <v>雏鹰农牧:河南雏鹰农牧股份有限公司首发招股说明书（申报稿）</v>
      </c>
      <c r="D2278" t="s">
        <v>8643</v>
      </c>
      <c r="E2278" t="s">
        <v>5927</v>
      </c>
      <c r="F2278" t="s">
        <v>5977</v>
      </c>
    </row>
    <row r="2279" spans="1:6" x14ac:dyDescent="0.15">
      <c r="A2279" s="1">
        <v>40374</v>
      </c>
      <c r="B2279" t="s">
        <v>3949</v>
      </c>
      <c r="C2279" s="2" t="str">
        <f>HYPERLINK("http://snap.windin.com/ns/bulletin.php?id=1350004&amp;type=1", "智云股份:首次公开发行股票并在创业板上市招股说明书")</f>
        <v>智云股份:首次公开发行股票并在创业板上市招股说明书</v>
      </c>
      <c r="D2279" t="s">
        <v>8644</v>
      </c>
      <c r="E2279" t="s">
        <v>5978</v>
      </c>
      <c r="F2279" t="s">
        <v>455</v>
      </c>
    </row>
    <row r="2280" spans="1:6" x14ac:dyDescent="0.15">
      <c r="A2280" s="1">
        <v>40374</v>
      </c>
      <c r="B2280" t="s">
        <v>3950</v>
      </c>
      <c r="C2280" s="2" t="str">
        <f>HYPERLINK("http://snap.windin.com/ns/bulletin.php?id=1218098&amp;type=1", "高新兴:首次公开发行股票并在创业板上市招股说明书")</f>
        <v>高新兴:首次公开发行股票并在创业板上市招股说明书</v>
      </c>
      <c r="D2280" t="s">
        <v>8645</v>
      </c>
      <c r="E2280" t="s">
        <v>5979</v>
      </c>
      <c r="F2280" t="s">
        <v>455</v>
      </c>
    </row>
    <row r="2281" spans="1:6" x14ac:dyDescent="0.15">
      <c r="A2281" s="1">
        <v>40374</v>
      </c>
      <c r="B2281" t="s">
        <v>3951</v>
      </c>
      <c r="C2281" s="2" t="str">
        <f>HYPERLINK("http://snap.windin.com/ns/bulletin.php?id=71174&amp;type=1", "易联众:首次公开发行股票并在创业板上市招股说明书")</f>
        <v>易联众:首次公开发行股票并在创业板上市招股说明书</v>
      </c>
      <c r="D2281" t="s">
        <v>8646</v>
      </c>
      <c r="E2281" t="s">
        <v>5980</v>
      </c>
      <c r="F2281" t="s">
        <v>455</v>
      </c>
    </row>
    <row r="2282" spans="1:6" x14ac:dyDescent="0.15">
      <c r="A2282" s="1">
        <v>40374</v>
      </c>
      <c r="B2282" t="s">
        <v>3952</v>
      </c>
      <c r="C2282" s="2" t="str">
        <f>HYPERLINK("http://snap.windin.com/ns/bulletin.php?id=1855350&amp;type=1", "华伍股份:首次公开发行股票并在创业板上市招股说明书")</f>
        <v>华伍股份:首次公开发行股票并在创业板上市招股说明书</v>
      </c>
      <c r="D2282" t="s">
        <v>8647</v>
      </c>
      <c r="E2282" t="s">
        <v>5981</v>
      </c>
      <c r="F2282" t="s">
        <v>455</v>
      </c>
    </row>
    <row r="2283" spans="1:6" x14ac:dyDescent="0.15">
      <c r="A2283" s="1">
        <v>40373</v>
      </c>
      <c r="B2283" t="s">
        <v>3953</v>
      </c>
      <c r="C2283" s="2" t="str">
        <f>HYPERLINK("http://snap.windin.com/ns/bulletin.php?id=132653&amp;type=1", "农业银行:首次公开发行股票（A股）招股说明书")</f>
        <v>农业银行:首次公开发行股票（A股）招股说明书</v>
      </c>
      <c r="D2283" t="s">
        <v>8648</v>
      </c>
      <c r="E2283" t="s">
        <v>5982</v>
      </c>
      <c r="F2283" t="s">
        <v>661</v>
      </c>
    </row>
    <row r="2284" spans="1:6" x14ac:dyDescent="0.15">
      <c r="A2284" s="1">
        <v>40372</v>
      </c>
      <c r="B2284" t="s">
        <v>3898</v>
      </c>
      <c r="C2284" s="2" t="str">
        <f>HYPERLINK("http://snap.windin.com/ns/bulletin.php?id=494131&amp;type=1", "经纬电材:创业板首发招股说明书（申报稿）")</f>
        <v>经纬电材:创业板首发招股说明书（申报稿）</v>
      </c>
      <c r="D2284" t="s">
        <v>8649</v>
      </c>
      <c r="E2284" t="s">
        <v>5922</v>
      </c>
      <c r="F2284" t="s">
        <v>5450</v>
      </c>
    </row>
    <row r="2285" spans="1:6" x14ac:dyDescent="0.15">
      <c r="A2285" s="1">
        <v>40372</v>
      </c>
      <c r="B2285" t="s">
        <v>3881</v>
      </c>
      <c r="C2285" s="2" t="str">
        <f>HYPERLINK("http://snap.windin.com/ns/bulletin.php?id=460550&amp;type=1", "锦富新材:创业板首发招股说明书（申报稿）")</f>
        <v>锦富新材:创业板首发招股说明书（申报稿）</v>
      </c>
      <c r="D2285" t="s">
        <v>8650</v>
      </c>
      <c r="E2285" t="s">
        <v>5905</v>
      </c>
      <c r="F2285" t="s">
        <v>5450</v>
      </c>
    </row>
    <row r="2286" spans="1:6" x14ac:dyDescent="0.15">
      <c r="A2286" s="1">
        <v>40372</v>
      </c>
      <c r="B2286" t="s">
        <v>3849</v>
      </c>
      <c r="C2286" s="2" t="str">
        <f>HYPERLINK("http://snap.windin.com/ns/bulletin.php?id=1834291&amp;type=1", "中南传媒:首发招股说明书（申报稿）")</f>
        <v>中南传媒:首发招股说明书（申报稿）</v>
      </c>
      <c r="D2286" t="s">
        <v>8651</v>
      </c>
      <c r="E2286" t="s">
        <v>5860</v>
      </c>
      <c r="F2286" t="s">
        <v>5513</v>
      </c>
    </row>
    <row r="2287" spans="1:6" x14ac:dyDescent="0.15">
      <c r="A2287" s="1">
        <v>40369</v>
      </c>
      <c r="B2287" t="s">
        <v>3904</v>
      </c>
      <c r="C2287" s="2" t="str">
        <f>HYPERLINK("http://snap.windin.com/ns/bulletin.php?id=1686716&amp;type=1", "立讯精密:首发招股说明书（申报稿）")</f>
        <v>立讯精密:首发招股说明书（申报稿）</v>
      </c>
      <c r="D2287" t="s">
        <v>8652</v>
      </c>
      <c r="E2287" t="s">
        <v>5928</v>
      </c>
      <c r="F2287" t="s">
        <v>5513</v>
      </c>
    </row>
    <row r="2288" spans="1:6" x14ac:dyDescent="0.15">
      <c r="A2288" s="1">
        <v>40368</v>
      </c>
      <c r="B2288" t="s">
        <v>3908</v>
      </c>
      <c r="C2288" s="2" t="str">
        <f>HYPERLINK("http://snap.windin.com/ns/bulletin.php?id=1791628&amp;type=1", "双环传动:首发招股说明书（申报稿）")</f>
        <v>双环传动:首发招股说明书（申报稿）</v>
      </c>
      <c r="D2288" t="s">
        <v>8653</v>
      </c>
      <c r="E2288" t="s">
        <v>5933</v>
      </c>
      <c r="F2288" t="s">
        <v>5513</v>
      </c>
    </row>
    <row r="2289" spans="1:6" x14ac:dyDescent="0.15">
      <c r="A2289" s="1">
        <v>40368</v>
      </c>
      <c r="B2289" t="s">
        <v>279</v>
      </c>
      <c r="C2289" s="2" t="str">
        <f>HYPERLINK("http://snap.windin.com/ns/bulletin.php?id=202677&amp;type=1", "蒙发利:厦门蒙发利科技（集团）股份有限公司首发招股说明书（申报稿）")</f>
        <v>蒙发利:厦门蒙发利科技（集团）股份有限公司首发招股说明书（申报稿）</v>
      </c>
      <c r="D2289" t="s">
        <v>8654</v>
      </c>
      <c r="E2289" t="s">
        <v>764</v>
      </c>
      <c r="F2289" t="s">
        <v>5983</v>
      </c>
    </row>
    <row r="2290" spans="1:6" x14ac:dyDescent="0.15">
      <c r="A2290" s="1">
        <v>40368</v>
      </c>
      <c r="B2290" t="s">
        <v>3684</v>
      </c>
      <c r="C2290" s="2" t="str">
        <f>HYPERLINK("http://snap.windin.com/ns/bulletin.php?id=609027&amp;type=1", "步森股份:首发招股说明书（申报稿）")</f>
        <v>步森股份:首发招股说明书（申报稿）</v>
      </c>
      <c r="D2290" t="s">
        <v>8655</v>
      </c>
      <c r="E2290" t="s">
        <v>5671</v>
      </c>
      <c r="F2290" t="s">
        <v>5513</v>
      </c>
    </row>
    <row r="2291" spans="1:6" x14ac:dyDescent="0.15">
      <c r="A2291" s="1">
        <v>40368</v>
      </c>
      <c r="B2291" t="s">
        <v>332</v>
      </c>
      <c r="C2291" s="2" t="str">
        <f>HYPERLINK("http://snap.windin.com/ns/bulletin.php?id=1108463&amp;type=1", "豪迈科技:首发招股说明书（申报稿）")</f>
        <v>豪迈科技:首发招股说明书（申报稿）</v>
      </c>
      <c r="D2291" t="s">
        <v>8656</v>
      </c>
      <c r="E2291" t="s">
        <v>825</v>
      </c>
      <c r="F2291" t="s">
        <v>5513</v>
      </c>
    </row>
    <row r="2292" spans="1:6" x14ac:dyDescent="0.15">
      <c r="A2292" s="1">
        <v>40365</v>
      </c>
      <c r="B2292" t="s">
        <v>3954</v>
      </c>
      <c r="C2292" s="2" t="str">
        <f>HYPERLINK("http://snap.windin.com/ns/bulletin.php?id=1706254&amp;type=1", "摩恩电气:首次公开发行股票招股说明书")</f>
        <v>摩恩电气:首次公开发行股票招股说明书</v>
      </c>
      <c r="D2292" t="s">
        <v>8657</v>
      </c>
      <c r="E2292" t="s">
        <v>5984</v>
      </c>
      <c r="F2292" t="s">
        <v>399</v>
      </c>
    </row>
    <row r="2293" spans="1:6" x14ac:dyDescent="0.15">
      <c r="A2293" s="1">
        <v>40365</v>
      </c>
      <c r="B2293" t="s">
        <v>3955</v>
      </c>
      <c r="C2293" s="2" t="str">
        <f>HYPERLINK("http://snap.windin.com/ns/bulletin.php?id=1822897&amp;type=1", "长高集团:首次公开发行股票招股说明书")</f>
        <v>长高集团:首次公开发行股票招股说明书</v>
      </c>
      <c r="D2293" t="s">
        <v>8658</v>
      </c>
      <c r="E2293" t="s">
        <v>5985</v>
      </c>
      <c r="F2293" t="s">
        <v>399</v>
      </c>
    </row>
    <row r="2294" spans="1:6" x14ac:dyDescent="0.15">
      <c r="A2294" s="1">
        <v>40365</v>
      </c>
      <c r="B2294" t="s">
        <v>3956</v>
      </c>
      <c r="C2294" s="2" t="str">
        <f>HYPERLINK("http://snap.windin.com/ns/bulletin.php?id=1587363&amp;type=1", "天马精化:首次公开发行股票招股说明书")</f>
        <v>天马精化:首次公开发行股票招股说明书</v>
      </c>
      <c r="D2294" t="s">
        <v>8659</v>
      </c>
      <c r="E2294" t="s">
        <v>5986</v>
      </c>
      <c r="F2294" t="s">
        <v>399</v>
      </c>
    </row>
    <row r="2295" spans="1:6" x14ac:dyDescent="0.15">
      <c r="A2295" s="1">
        <v>40365</v>
      </c>
      <c r="B2295" t="s">
        <v>3957</v>
      </c>
      <c r="C2295" s="2" t="str">
        <f>HYPERLINK("http://snap.windin.com/ns/bulletin.php?id=896329&amp;type=1", "松芝股份:首次公开发行股票招股说明书")</f>
        <v>松芝股份:首次公开发行股票招股说明书</v>
      </c>
      <c r="D2295" t="s">
        <v>8660</v>
      </c>
      <c r="E2295" t="s">
        <v>5987</v>
      </c>
      <c r="F2295" t="s">
        <v>399</v>
      </c>
    </row>
    <row r="2296" spans="1:6" x14ac:dyDescent="0.15">
      <c r="A2296" s="1">
        <v>40361</v>
      </c>
      <c r="B2296" t="s">
        <v>3958</v>
      </c>
      <c r="C2296" s="2" t="str">
        <f>HYPERLINK("http://snap.windin.com/ns/bulletin.php?id=1781701&amp;type=1", "国星光电:首次公开发行股票招股说明书")</f>
        <v>国星光电:首次公开发行股票招股说明书</v>
      </c>
      <c r="D2296" t="s">
        <v>8661</v>
      </c>
      <c r="E2296" t="s">
        <v>5988</v>
      </c>
      <c r="F2296" t="s">
        <v>399</v>
      </c>
    </row>
    <row r="2297" spans="1:6" x14ac:dyDescent="0.15">
      <c r="A2297" s="1">
        <v>40361</v>
      </c>
      <c r="B2297" t="s">
        <v>3959</v>
      </c>
      <c r="C2297" s="2" t="str">
        <f>HYPERLINK("http://snap.windin.com/ns/bulletin.php?id=412730&amp;type=1", "高德红外:首次公开发行股票招股说明书")</f>
        <v>高德红外:首次公开发行股票招股说明书</v>
      </c>
      <c r="D2297" t="s">
        <v>8662</v>
      </c>
      <c r="E2297" t="s">
        <v>5989</v>
      </c>
      <c r="F2297" t="s">
        <v>399</v>
      </c>
    </row>
    <row r="2298" spans="1:6" x14ac:dyDescent="0.15">
      <c r="A2298" s="1">
        <v>40361</v>
      </c>
      <c r="B2298" t="s">
        <v>3960</v>
      </c>
      <c r="C2298" s="2" t="str">
        <f>HYPERLINK("http://snap.windin.com/ns/bulletin.php?id=426432&amp;type=1", "唐山港:首次公开发行股票招股说明书")</f>
        <v>唐山港:首次公开发行股票招股说明书</v>
      </c>
      <c r="D2298" t="s">
        <v>8663</v>
      </c>
      <c r="E2298" t="s">
        <v>5990</v>
      </c>
      <c r="F2298" t="s">
        <v>399</v>
      </c>
    </row>
    <row r="2299" spans="1:6" x14ac:dyDescent="0.15">
      <c r="A2299" s="1">
        <v>40361</v>
      </c>
      <c r="B2299" t="s">
        <v>3961</v>
      </c>
      <c r="C2299" s="2" t="str">
        <f>HYPERLINK("http://snap.windin.com/ns/bulletin.php?id=1907066&amp;type=1", "中原内配:首次公开发行股票招股说明书")</f>
        <v>中原内配:首次公开发行股票招股说明书</v>
      </c>
      <c r="D2299" t="s">
        <v>8664</v>
      </c>
      <c r="E2299" t="s">
        <v>5991</v>
      </c>
      <c r="F2299" t="s">
        <v>399</v>
      </c>
    </row>
    <row r="2300" spans="1:6" x14ac:dyDescent="0.15">
      <c r="A2300" s="1">
        <v>40361</v>
      </c>
      <c r="B2300" t="s">
        <v>3962</v>
      </c>
      <c r="C2300" s="2" t="str">
        <f>HYPERLINK("http://snap.windin.com/ns/bulletin.php?id=1624811&amp;type=1", "康得新:首次公开发行股票招股说明书")</f>
        <v>康得新:首次公开发行股票招股说明书</v>
      </c>
      <c r="D2300" t="s">
        <v>8665</v>
      </c>
      <c r="E2300" t="s">
        <v>5992</v>
      </c>
      <c r="F2300" t="s">
        <v>399</v>
      </c>
    </row>
    <row r="2301" spans="1:6" x14ac:dyDescent="0.15">
      <c r="A2301" s="1">
        <v>40358</v>
      </c>
      <c r="B2301" t="s">
        <v>3963</v>
      </c>
      <c r="C2301" s="2" t="str">
        <f>HYPERLINK("http://snap.windin.com/ns/bulletin.php?id=85989&amp;type=1", "巨星科技:首次公开发行股票招股说明书")</f>
        <v>巨星科技:首次公开发行股票招股说明书</v>
      </c>
      <c r="D2301" t="s">
        <v>8666</v>
      </c>
      <c r="E2301" t="s">
        <v>5993</v>
      </c>
      <c r="F2301" t="s">
        <v>399</v>
      </c>
    </row>
    <row r="2302" spans="1:6" x14ac:dyDescent="0.15">
      <c r="A2302" s="1">
        <v>40358</v>
      </c>
      <c r="B2302" t="s">
        <v>3906</v>
      </c>
      <c r="C2302" s="2" t="str">
        <f>HYPERLINK("http://snap.windin.com/ns/bulletin.php?id=1359553&amp;type=1", "圣莱达:首次公开发行股票招股说明书（申报稿）")</f>
        <v>圣莱达:首次公开发行股票招股说明书（申报稿）</v>
      </c>
      <c r="D2302" t="s">
        <v>8667</v>
      </c>
      <c r="E2302" t="s">
        <v>5931</v>
      </c>
      <c r="F2302" t="s">
        <v>5452</v>
      </c>
    </row>
    <row r="2303" spans="1:6" x14ac:dyDescent="0.15">
      <c r="A2303" s="1">
        <v>40358</v>
      </c>
      <c r="B2303" t="s">
        <v>3790</v>
      </c>
      <c r="C2303" s="2" t="str">
        <f>HYPERLINK("http://snap.windin.com/ns/bulletin.php?id=1404650&amp;type=1", "丰东股份:首次公开发行股票招股说明书（申报稿）")</f>
        <v>丰东股份:首次公开发行股票招股说明书（申报稿）</v>
      </c>
      <c r="D2303" t="s">
        <v>8668</v>
      </c>
      <c r="E2303" t="s">
        <v>5790</v>
      </c>
      <c r="F2303" t="s">
        <v>5452</v>
      </c>
    </row>
    <row r="2304" spans="1:6" x14ac:dyDescent="0.15">
      <c r="A2304" s="1">
        <v>40358</v>
      </c>
      <c r="B2304" t="s">
        <v>3798</v>
      </c>
      <c r="C2304" s="2" t="str">
        <f>HYPERLINK("http://snap.windin.com/ns/bulletin.php?id=1276323&amp;type=1", "新时达:首次公开发行股票招股说明书（申报稿）")</f>
        <v>新时达:首次公开发行股票招股说明书（申报稿）</v>
      </c>
      <c r="D2304" t="s">
        <v>8669</v>
      </c>
      <c r="E2304" t="s">
        <v>5800</v>
      </c>
      <c r="F2304" t="s">
        <v>5452</v>
      </c>
    </row>
    <row r="2305" spans="1:6" x14ac:dyDescent="0.15">
      <c r="A2305" s="1">
        <v>40358</v>
      </c>
      <c r="B2305" t="s">
        <v>3964</v>
      </c>
      <c r="C2305" s="2" t="str">
        <f>HYPERLINK("http://snap.windin.com/ns/bulletin.php?id=1026041&amp;type=1", "盛路通信:首次公开发行股票招股说明书")</f>
        <v>盛路通信:首次公开发行股票招股说明书</v>
      </c>
      <c r="D2305" t="s">
        <v>8670</v>
      </c>
      <c r="E2305" t="s">
        <v>5994</v>
      </c>
      <c r="F2305" t="s">
        <v>399</v>
      </c>
    </row>
    <row r="2306" spans="1:6" x14ac:dyDescent="0.15">
      <c r="A2306" s="1">
        <v>40358</v>
      </c>
      <c r="B2306" t="s">
        <v>3965</v>
      </c>
      <c r="C2306" s="2" t="str">
        <f>HYPERLINK("http://snap.windin.com/ns/bulletin.php?id=694987&amp;type=1", "中南重工:首次公开发行股票招股说明书")</f>
        <v>中南重工:首次公开发行股票招股说明书</v>
      </c>
      <c r="D2306" t="s">
        <v>8671</v>
      </c>
      <c r="E2306" t="s">
        <v>5995</v>
      </c>
      <c r="F2306" t="s">
        <v>399</v>
      </c>
    </row>
    <row r="2307" spans="1:6" x14ac:dyDescent="0.15">
      <c r="A2307" s="1">
        <v>40358</v>
      </c>
      <c r="B2307" t="s">
        <v>3966</v>
      </c>
      <c r="C2307" s="2" t="str">
        <f>HYPERLINK("http://snap.windin.com/ns/bulletin.php?id=973814&amp;type=1", "壹桥苗业:首次公开发行股票招股说明书")</f>
        <v>壹桥苗业:首次公开发行股票招股说明书</v>
      </c>
      <c r="D2307" t="s">
        <v>8672</v>
      </c>
      <c r="E2307" t="s">
        <v>5996</v>
      </c>
      <c r="F2307" t="s">
        <v>399</v>
      </c>
    </row>
    <row r="2308" spans="1:6" x14ac:dyDescent="0.15">
      <c r="A2308" s="1">
        <v>40355</v>
      </c>
      <c r="B2308" t="s">
        <v>3907</v>
      </c>
      <c r="C2308" s="2" t="str">
        <f>HYPERLINK("http://snap.windin.com/ns/bulletin.php?id=80906&amp;type=1", "中超电缆:首发招股说明书（申报稿）")</f>
        <v>中超电缆:首发招股说明书（申报稿）</v>
      </c>
      <c r="D2308" t="s">
        <v>8673</v>
      </c>
      <c r="E2308" t="s">
        <v>5932</v>
      </c>
      <c r="F2308" t="s">
        <v>5513</v>
      </c>
    </row>
    <row r="2309" spans="1:6" x14ac:dyDescent="0.15">
      <c r="A2309" s="1">
        <v>40355</v>
      </c>
      <c r="B2309" t="s">
        <v>3785</v>
      </c>
      <c r="C2309" s="2" t="str">
        <f>HYPERLINK("http://snap.windin.com/ns/bulletin.php?id=2123617&amp;type=1", "天立环保:创业板首发招股说明书（申报稿）")</f>
        <v>天立环保:创业板首发招股说明书（申报稿）</v>
      </c>
      <c r="D2309" t="s">
        <v>8674</v>
      </c>
      <c r="E2309" t="s">
        <v>5784</v>
      </c>
      <c r="F2309" t="s">
        <v>5450</v>
      </c>
    </row>
    <row r="2310" spans="1:6" x14ac:dyDescent="0.15">
      <c r="A2310" s="1">
        <v>40355</v>
      </c>
      <c r="B2310" t="s">
        <v>3917</v>
      </c>
      <c r="C2310" s="2" t="str">
        <f>HYPERLINK("http://snap.windin.com/ns/bulletin.php?id=1862618&amp;type=1", "长盈精密:创业板首发招股说明书（申报稿）")</f>
        <v>长盈精密:创业板首发招股说明书（申报稿）</v>
      </c>
      <c r="D2310" t="s">
        <v>8675</v>
      </c>
      <c r="E2310" t="s">
        <v>5942</v>
      </c>
      <c r="F2310" t="s">
        <v>5450</v>
      </c>
    </row>
    <row r="2311" spans="1:6" x14ac:dyDescent="0.15">
      <c r="A2311" s="1">
        <v>40355</v>
      </c>
      <c r="B2311" t="s">
        <v>3893</v>
      </c>
      <c r="C2311" s="2" t="str">
        <f>HYPERLINK("http://snap.windin.com/ns/bulletin.php?id=1445048&amp;type=1", "常宝股份:首发招股说明书（申报稿）")</f>
        <v>常宝股份:首发招股说明书（申报稿）</v>
      </c>
      <c r="D2311" t="s">
        <v>8676</v>
      </c>
      <c r="E2311" t="s">
        <v>5917</v>
      </c>
      <c r="F2311" t="s">
        <v>5513</v>
      </c>
    </row>
    <row r="2312" spans="1:6" x14ac:dyDescent="0.15">
      <c r="A2312" s="1">
        <v>40355</v>
      </c>
      <c r="B2312" t="s">
        <v>3927</v>
      </c>
      <c r="C2312" s="2" t="str">
        <f>HYPERLINK("http://snap.windin.com/ns/bulletin.php?id=769989&amp;type=1", "双龙股份:创业板首发招股说明书（申报稿）")</f>
        <v>双龙股份:创业板首发招股说明书（申报稿）</v>
      </c>
      <c r="D2312" t="s">
        <v>8677</v>
      </c>
      <c r="E2312" t="s">
        <v>5953</v>
      </c>
      <c r="F2312" t="s">
        <v>5450</v>
      </c>
    </row>
    <row r="2313" spans="1:6" x14ac:dyDescent="0.15">
      <c r="A2313" s="1">
        <v>40354</v>
      </c>
      <c r="B2313" t="s">
        <v>3967</v>
      </c>
      <c r="C2313" s="2" t="str">
        <f>HYPERLINK("http://snap.windin.com/ns/bulletin.php?id=1749386&amp;type=1", "科新机电:首次公开发行股票并在创业板上市招股说明书")</f>
        <v>科新机电:首次公开发行股票并在创业板上市招股说明书</v>
      </c>
      <c r="D2313" t="s">
        <v>8678</v>
      </c>
      <c r="E2313" t="s">
        <v>5997</v>
      </c>
      <c r="F2313" t="s">
        <v>455</v>
      </c>
    </row>
    <row r="2314" spans="1:6" x14ac:dyDescent="0.15">
      <c r="A2314" s="1">
        <v>40354</v>
      </c>
      <c r="B2314" t="s">
        <v>3916</v>
      </c>
      <c r="C2314" s="2" t="str">
        <f>HYPERLINK("http://snap.windin.com/ns/bulletin.php?id=1231745&amp;type=1", "嘉寓股份:创业板首发招股说明书(申报稿)")</f>
        <v>嘉寓股份:创业板首发招股说明书(申报稿)</v>
      </c>
      <c r="D2314" t="s">
        <v>8679</v>
      </c>
      <c r="E2314" t="s">
        <v>5941</v>
      </c>
      <c r="F2314" t="s">
        <v>5462</v>
      </c>
    </row>
    <row r="2315" spans="1:6" x14ac:dyDescent="0.15">
      <c r="A2315" s="1">
        <v>40354</v>
      </c>
      <c r="B2315" t="s">
        <v>3923</v>
      </c>
      <c r="C2315" s="2" t="str">
        <f>HYPERLINK("http://snap.windin.com/ns/bulletin.php?id=541486&amp;type=1", "向日葵:创业板首发招股说明书（申报稿）")</f>
        <v>向日葵:创业板首发招股说明书（申报稿）</v>
      </c>
      <c r="D2315" t="s">
        <v>8680</v>
      </c>
      <c r="E2315" t="s">
        <v>5948</v>
      </c>
      <c r="F2315" t="s">
        <v>5450</v>
      </c>
    </row>
    <row r="2316" spans="1:6" x14ac:dyDescent="0.15">
      <c r="A2316" s="1">
        <v>40354</v>
      </c>
      <c r="B2316" t="s">
        <v>3928</v>
      </c>
      <c r="C2316" s="2" t="str">
        <f>HYPERLINK("http://snap.windin.com/ns/bulletin.php?id=1945120&amp;type=1", "新开源:创业板首发招股说明书（申报稿）")</f>
        <v>新开源:创业板首发招股说明书（申报稿）</v>
      </c>
      <c r="D2316" t="s">
        <v>8681</v>
      </c>
      <c r="E2316" t="s">
        <v>5954</v>
      </c>
      <c r="F2316" t="s">
        <v>5450</v>
      </c>
    </row>
    <row r="2317" spans="1:6" x14ac:dyDescent="0.15">
      <c r="A2317" s="1">
        <v>40354</v>
      </c>
      <c r="B2317" t="s">
        <v>3968</v>
      </c>
      <c r="C2317" s="2" t="str">
        <f>HYPERLINK("http://snap.windin.com/ns/bulletin.php?id=635695&amp;type=1", "国联水产:首次公开发行股票招股说明书")</f>
        <v>国联水产:首次公开发行股票招股说明书</v>
      </c>
      <c r="D2317" t="s">
        <v>8682</v>
      </c>
      <c r="E2317" t="s">
        <v>5998</v>
      </c>
      <c r="F2317" t="s">
        <v>399</v>
      </c>
    </row>
    <row r="2318" spans="1:6" x14ac:dyDescent="0.15">
      <c r="A2318" s="1">
        <v>40354</v>
      </c>
      <c r="B2318" t="s">
        <v>3914</v>
      </c>
      <c r="C2318" s="2" t="str">
        <f>HYPERLINK("http://snap.windin.com/ns/bulletin.php?id=721321&amp;type=1", "坚瑞消防:创业板首发招股说明书（申报稿）")</f>
        <v>坚瑞消防:创业板首发招股说明书（申报稿）</v>
      </c>
      <c r="D2318" t="s">
        <v>8683</v>
      </c>
      <c r="E2318" t="s">
        <v>5939</v>
      </c>
      <c r="F2318" t="s">
        <v>5450</v>
      </c>
    </row>
    <row r="2319" spans="1:6" x14ac:dyDescent="0.15">
      <c r="A2319" s="1">
        <v>40354</v>
      </c>
      <c r="B2319" t="s">
        <v>3969</v>
      </c>
      <c r="C2319" s="2" t="str">
        <f>HYPERLINK("http://snap.windin.com/ns/bulletin.php?id=1084649&amp;type=1", "金刚玻璃:首次公开发行股票并在创业板上市招股说明书")</f>
        <v>金刚玻璃:首次公开发行股票并在创业板上市招股说明书</v>
      </c>
      <c r="D2319" t="s">
        <v>8684</v>
      </c>
      <c r="E2319" t="s">
        <v>5999</v>
      </c>
      <c r="F2319" t="s">
        <v>455</v>
      </c>
    </row>
    <row r="2320" spans="1:6" x14ac:dyDescent="0.15">
      <c r="A2320" s="1">
        <v>40353</v>
      </c>
      <c r="B2320" t="s">
        <v>3874</v>
      </c>
      <c r="C2320" s="2" t="str">
        <f>HYPERLINK("http://snap.windin.com/ns/bulletin.php?id=1756110&amp;type=1", "泰胜风能:创业板首发招股说明书（申报稿）")</f>
        <v>泰胜风能:创业板首发招股说明书（申报稿）</v>
      </c>
      <c r="D2320" t="s">
        <v>8685</v>
      </c>
      <c r="E2320" t="s">
        <v>5896</v>
      </c>
      <c r="F2320" t="s">
        <v>5450</v>
      </c>
    </row>
    <row r="2321" spans="1:6" x14ac:dyDescent="0.15">
      <c r="A2321" s="1">
        <v>40353</v>
      </c>
      <c r="B2321" t="s">
        <v>3862</v>
      </c>
      <c r="C2321" s="2" t="str">
        <f>HYPERLINK("http://snap.windin.com/ns/bulletin.php?id=162648&amp;type=1", "华策影视:创业板首发招股说明书（申报稿）")</f>
        <v>华策影视:创业板首发招股说明书（申报稿）</v>
      </c>
      <c r="D2321" t="s">
        <v>8686</v>
      </c>
      <c r="E2321" t="s">
        <v>5879</v>
      </c>
      <c r="F2321" t="s">
        <v>5450</v>
      </c>
    </row>
    <row r="2322" spans="1:6" x14ac:dyDescent="0.15">
      <c r="A2322" s="1">
        <v>40353</v>
      </c>
      <c r="B2322" t="s">
        <v>3915</v>
      </c>
      <c r="C2322" s="2" t="str">
        <f>HYPERLINK("http://snap.windin.com/ns/bulletin.php?id=710854&amp;type=1", "东方日升:创业板首发招股说明书（申报稿）")</f>
        <v>东方日升:创业板首发招股说明书（申报稿）</v>
      </c>
      <c r="D2322" t="s">
        <v>8687</v>
      </c>
      <c r="E2322" t="s">
        <v>5940</v>
      </c>
      <c r="F2322" t="s">
        <v>5450</v>
      </c>
    </row>
    <row r="2323" spans="1:6" x14ac:dyDescent="0.15">
      <c r="A2323" s="1">
        <v>40353</v>
      </c>
      <c r="B2323" t="s">
        <v>3970</v>
      </c>
      <c r="C2323" s="2" t="str">
        <f>HYPERLINK("http://snap.windin.com/ns/bulletin.php?id=976361&amp;type=1", "金能股份:创业板首发招股说明书（申报稿）")</f>
        <v>金能股份:创业板首发招股说明书（申报稿）</v>
      </c>
      <c r="D2323" t="s">
        <v>8688</v>
      </c>
      <c r="E2323" t="s">
        <v>6000</v>
      </c>
      <c r="F2323" t="s">
        <v>5450</v>
      </c>
    </row>
    <row r="2324" spans="1:6" x14ac:dyDescent="0.15">
      <c r="A2324" s="1">
        <v>40351</v>
      </c>
      <c r="B2324" t="s">
        <v>3971</v>
      </c>
      <c r="C2324" s="2" t="str">
        <f>HYPERLINK("http://snap.windin.com/ns/bulletin.php?id=1730185&amp;type=1", "龙星化工:首次公开发行股票招股说明书")</f>
        <v>龙星化工:首次公开发行股票招股说明书</v>
      </c>
      <c r="D2324" t="s">
        <v>8689</v>
      </c>
      <c r="E2324" t="s">
        <v>6001</v>
      </c>
      <c r="F2324" t="s">
        <v>399</v>
      </c>
    </row>
    <row r="2325" spans="1:6" x14ac:dyDescent="0.15">
      <c r="A2325" s="1">
        <v>40351</v>
      </c>
      <c r="B2325" t="s">
        <v>3972</v>
      </c>
      <c r="C2325" s="2" t="str">
        <f>HYPERLINK("http://snap.windin.com/ns/bulletin.php?id=171728&amp;type=1", "众业达:首次公开发行A股股票招股说明书")</f>
        <v>众业达:首次公开发行A股股票招股说明书</v>
      </c>
      <c r="D2325" t="s">
        <v>8690</v>
      </c>
      <c r="E2325" t="s">
        <v>6002</v>
      </c>
      <c r="F2325" t="s">
        <v>462</v>
      </c>
    </row>
    <row r="2326" spans="1:6" x14ac:dyDescent="0.15">
      <c r="A2326" s="1">
        <v>40351</v>
      </c>
      <c r="B2326" t="s">
        <v>3930</v>
      </c>
      <c r="C2326" s="2" t="str">
        <f>HYPERLINK("http://snap.windin.com/ns/bulletin.php?id=1247252&amp;type=1", "西部牧业:创业板首发招股说明书(申报稿)")</f>
        <v>西部牧业:创业板首发招股说明书(申报稿)</v>
      </c>
      <c r="D2326" t="s">
        <v>8691</v>
      </c>
      <c r="E2326" t="s">
        <v>5956</v>
      </c>
      <c r="F2326" t="s">
        <v>5462</v>
      </c>
    </row>
    <row r="2327" spans="1:6" x14ac:dyDescent="0.15">
      <c r="A2327" s="1">
        <v>40351</v>
      </c>
      <c r="B2327" t="s">
        <v>3974</v>
      </c>
      <c r="C2327" s="2" t="str">
        <f>HYPERLINK("http://snap.windin.com/ns/bulletin.php?id=1365963&amp;type=1", "闰土股份:首次公开发行股票招股说明书")</f>
        <v>闰土股份:首次公开发行股票招股说明书</v>
      </c>
      <c r="D2327" t="s">
        <v>8692</v>
      </c>
      <c r="E2327" t="s">
        <v>6004</v>
      </c>
      <c r="F2327" t="s">
        <v>399</v>
      </c>
    </row>
    <row r="2328" spans="1:6" x14ac:dyDescent="0.15">
      <c r="A2328" s="1">
        <v>40351</v>
      </c>
      <c r="B2328" t="s">
        <v>3973</v>
      </c>
      <c r="C2328" s="2" t="str">
        <f>HYPERLINK("http://snap.windin.com/ns/bulletin.php?id=1143646&amp;type=1", "优机股份:创业板首发招股说明书（申报稿）")</f>
        <v>优机股份:创业板首发招股说明书（申报稿）</v>
      </c>
      <c r="D2328" t="s">
        <v>8693</v>
      </c>
      <c r="E2328" t="s">
        <v>6003</v>
      </c>
      <c r="F2328" t="s">
        <v>5450</v>
      </c>
    </row>
    <row r="2329" spans="1:6" x14ac:dyDescent="0.15">
      <c r="A2329" s="1">
        <v>40351</v>
      </c>
      <c r="B2329" t="s">
        <v>77</v>
      </c>
      <c r="C2329" s="2" t="str">
        <f>HYPERLINK("http://snap.windin.com/ns/bulletin.php?id=678488&amp;type=1", "龙宇燃油:首发招股说明书（申报稿）")</f>
        <v>龙宇燃油:首发招股说明书（申报稿）</v>
      </c>
      <c r="D2329" t="s">
        <v>8694</v>
      </c>
      <c r="E2329" t="s">
        <v>509</v>
      </c>
      <c r="F2329" t="s">
        <v>5513</v>
      </c>
    </row>
    <row r="2330" spans="1:6" x14ac:dyDescent="0.15">
      <c r="A2330" s="1">
        <v>40351</v>
      </c>
      <c r="B2330" t="s">
        <v>3975</v>
      </c>
      <c r="C2330" s="2" t="str">
        <f>HYPERLINK("http://snap.windin.com/ns/bulletin.php?id=2033873&amp;type=1", "广机股份:创业板首发招股说明书(申报稿)")</f>
        <v>广机股份:创业板首发招股说明书(申报稿)</v>
      </c>
      <c r="D2330" t="s">
        <v>8695</v>
      </c>
      <c r="E2330" t="s">
        <v>6005</v>
      </c>
      <c r="F2330" t="s">
        <v>5462</v>
      </c>
    </row>
    <row r="2331" spans="1:6" x14ac:dyDescent="0.15">
      <c r="A2331" s="1">
        <v>40351</v>
      </c>
      <c r="B2331" t="s">
        <v>3924</v>
      </c>
      <c r="C2331" s="2" t="str">
        <f>HYPERLINK("http://snap.windin.com/ns/bulletin.php?id=1911896&amp;type=1", "万讯自控:创业板首发招股说明书（申报稿）")</f>
        <v>万讯自控:创业板首发招股说明书（申报稿）</v>
      </c>
      <c r="D2331" t="s">
        <v>8696</v>
      </c>
      <c r="E2331" t="s">
        <v>5949</v>
      </c>
      <c r="F2331" t="s">
        <v>5450</v>
      </c>
    </row>
    <row r="2332" spans="1:6" x14ac:dyDescent="0.15">
      <c r="A2332" s="1">
        <v>40351</v>
      </c>
      <c r="B2332" t="s">
        <v>3861</v>
      </c>
      <c r="C2332" s="2" t="str">
        <f>HYPERLINK("http://snap.windin.com/ns/bulletin.php?id=1959303&amp;type=1", "兴业证券:首发招股说明书（申报稿）")</f>
        <v>兴业证券:首发招股说明书（申报稿）</v>
      </c>
      <c r="D2332" t="s">
        <v>8697</v>
      </c>
      <c r="E2332" t="s">
        <v>5878</v>
      </c>
      <c r="F2332" t="s">
        <v>5513</v>
      </c>
    </row>
    <row r="2333" spans="1:6" x14ac:dyDescent="0.15">
      <c r="A2333" s="1">
        <v>40351</v>
      </c>
      <c r="B2333" t="s">
        <v>3925</v>
      </c>
      <c r="C2333" s="2" t="str">
        <f>HYPERLINK("http://snap.windin.com/ns/bulletin.php?id=1622113&amp;type=1", "中航电测:创业板首发招股说明书（申报稿）")</f>
        <v>中航电测:创业板首发招股说明书（申报稿）</v>
      </c>
      <c r="D2333" t="s">
        <v>8698</v>
      </c>
      <c r="E2333" t="s">
        <v>5950</v>
      </c>
      <c r="F2333" t="s">
        <v>5450</v>
      </c>
    </row>
    <row r="2334" spans="1:6" x14ac:dyDescent="0.15">
      <c r="A2334" s="1">
        <v>40351</v>
      </c>
      <c r="B2334" t="s">
        <v>3922</v>
      </c>
      <c r="C2334" s="2" t="str">
        <f>HYPERLINK("http://snap.windin.com/ns/bulletin.php?id=655019&amp;type=1", "顺网科技:创业板首发招股说明书(申报稿)")</f>
        <v>顺网科技:创业板首发招股说明书(申报稿)</v>
      </c>
      <c r="D2334" t="s">
        <v>8699</v>
      </c>
      <c r="E2334" t="s">
        <v>5947</v>
      </c>
      <c r="F2334" t="s">
        <v>5462</v>
      </c>
    </row>
    <row r="2335" spans="1:6" x14ac:dyDescent="0.15">
      <c r="A2335" s="1">
        <v>40351</v>
      </c>
      <c r="B2335" t="s">
        <v>3976</v>
      </c>
      <c r="C2335" s="2" t="str">
        <f>HYPERLINK("http://snap.windin.com/ns/bulletin.php?id=996625&amp;type=1", "金洲管道:首次公开发行股票招股说明书")</f>
        <v>金洲管道:首次公开发行股票招股说明书</v>
      </c>
      <c r="D2335" t="s">
        <v>8700</v>
      </c>
      <c r="E2335" t="s">
        <v>6006</v>
      </c>
      <c r="F2335" t="s">
        <v>399</v>
      </c>
    </row>
    <row r="2336" spans="1:6" x14ac:dyDescent="0.15">
      <c r="A2336" s="1">
        <v>40348</v>
      </c>
      <c r="B2336" t="s">
        <v>3588</v>
      </c>
      <c r="C2336" s="2" t="str">
        <f>HYPERLINK("http://snap.windin.com/ns/bulletin.php?id=601502&amp;type=1", "冠华股份:首发招股说明书（申报稿）")</f>
        <v>冠华股份:首发招股说明书（申报稿）</v>
      </c>
      <c r="D2336" t="s">
        <v>8701</v>
      </c>
      <c r="E2336" t="s">
        <v>5568</v>
      </c>
      <c r="F2336" t="s">
        <v>5513</v>
      </c>
    </row>
    <row r="2337" spans="1:6" x14ac:dyDescent="0.15">
      <c r="A2337" s="1">
        <v>40348</v>
      </c>
      <c r="B2337" t="s">
        <v>3870</v>
      </c>
      <c r="C2337" s="2" t="str">
        <f>HYPERLINK("http://snap.windin.com/ns/bulletin.php?id=841462&amp;type=1", "杭齿前进:首发招股说明书（申报稿）")</f>
        <v>杭齿前进:首发招股说明书（申报稿）</v>
      </c>
      <c r="D2337" t="s">
        <v>8702</v>
      </c>
      <c r="E2337" t="s">
        <v>5891</v>
      </c>
      <c r="F2337" t="s">
        <v>5513</v>
      </c>
    </row>
    <row r="2338" spans="1:6" x14ac:dyDescent="0.15">
      <c r="A2338" s="1">
        <v>40347</v>
      </c>
      <c r="B2338" t="s">
        <v>165</v>
      </c>
      <c r="C2338" s="2" t="str">
        <f>HYPERLINK("http://snap.windin.com/ns/bulletin.php?id=1733726&amp;type=1", "裕兴股份:创业板首发招股说明书（申报稿）")</f>
        <v>裕兴股份:创业板首发招股说明书（申报稿）</v>
      </c>
      <c r="D2338" t="s">
        <v>8703</v>
      </c>
      <c r="E2338" t="s">
        <v>623</v>
      </c>
      <c r="F2338" t="s">
        <v>5450</v>
      </c>
    </row>
    <row r="2339" spans="1:6" x14ac:dyDescent="0.15">
      <c r="A2339" s="1">
        <v>40347</v>
      </c>
      <c r="B2339" t="s">
        <v>3931</v>
      </c>
      <c r="C2339" s="2" t="str">
        <f>HYPERLINK("http://snap.windin.com/ns/bulletin.php?id=1095798&amp;type=1", "建新股份:创业板首发招股说明书（申报稿）")</f>
        <v>建新股份:创业板首发招股说明书（申报稿）</v>
      </c>
      <c r="D2339" t="s">
        <v>8704</v>
      </c>
      <c r="E2339" t="s">
        <v>5957</v>
      </c>
      <c r="F2339" t="s">
        <v>5450</v>
      </c>
    </row>
    <row r="2340" spans="1:6" x14ac:dyDescent="0.15">
      <c r="A2340" s="1">
        <v>40341</v>
      </c>
      <c r="B2340" t="s">
        <v>3902</v>
      </c>
      <c r="C2340" s="2" t="str">
        <f>HYPERLINK("http://snap.windin.com/ns/bulletin.php?id=2124167&amp;type=1", "宝莫股份:首发招股说明书（申报稿）")</f>
        <v>宝莫股份:首发招股说明书（申报稿）</v>
      </c>
      <c r="D2340" t="s">
        <v>8705</v>
      </c>
      <c r="E2340" t="s">
        <v>5926</v>
      </c>
      <c r="F2340" t="s">
        <v>5513</v>
      </c>
    </row>
    <row r="2341" spans="1:6" x14ac:dyDescent="0.15">
      <c r="A2341" s="1">
        <v>40341</v>
      </c>
      <c r="B2341" t="s">
        <v>3910</v>
      </c>
      <c r="C2341" s="2" t="str">
        <f>HYPERLINK("http://snap.windin.com/ns/bulletin.php?id=1585991&amp;type=1", "金正大:首发招股说明书（申报稿）")</f>
        <v>金正大:首发招股说明书（申报稿）</v>
      </c>
      <c r="D2341" t="s">
        <v>8706</v>
      </c>
      <c r="E2341" t="s">
        <v>5935</v>
      </c>
      <c r="F2341" t="s">
        <v>5513</v>
      </c>
    </row>
    <row r="2342" spans="1:6" x14ac:dyDescent="0.15">
      <c r="A2342" s="1">
        <v>40339</v>
      </c>
      <c r="B2342" t="s">
        <v>3977</v>
      </c>
      <c r="C2342" s="2" t="str">
        <f>HYPERLINK("http://snap.windin.com/ns/bulletin.php?id=2116482&amp;type=1", "长城集团:首次公开发行股票并在创业板上市招股说明书")</f>
        <v>长城集团:首次公开发行股票并在创业板上市招股说明书</v>
      </c>
      <c r="D2342" t="s">
        <v>8707</v>
      </c>
      <c r="E2342" t="s">
        <v>6007</v>
      </c>
      <c r="F2342" t="s">
        <v>455</v>
      </c>
    </row>
    <row r="2343" spans="1:6" x14ac:dyDescent="0.15">
      <c r="A2343" s="1">
        <v>40339</v>
      </c>
      <c r="B2343" t="s">
        <v>3978</v>
      </c>
      <c r="C2343" s="2" t="str">
        <f>HYPERLINK("http://snap.windin.com/ns/bulletin.php?id=170744&amp;type=1", "金通灵:首次公开发行股票并在创业板上市招股说明书")</f>
        <v>金通灵:首次公开发行股票并在创业板上市招股说明书</v>
      </c>
      <c r="D2343" t="s">
        <v>8708</v>
      </c>
      <c r="E2343" t="s">
        <v>6008</v>
      </c>
      <c r="F2343" t="s">
        <v>455</v>
      </c>
    </row>
    <row r="2344" spans="1:6" x14ac:dyDescent="0.15">
      <c r="A2344" s="1">
        <v>40339</v>
      </c>
      <c r="B2344" t="s">
        <v>3979</v>
      </c>
      <c r="C2344" s="2" t="str">
        <f>HYPERLINK("http://snap.windin.com/ns/bulletin.php?id=1535261&amp;type=1", "盛运股份:首次公开发行股票并在创业板上市招股说明书")</f>
        <v>盛运股份:首次公开发行股票并在创业板上市招股说明书</v>
      </c>
      <c r="D2344" t="s">
        <v>8709</v>
      </c>
      <c r="E2344" t="s">
        <v>6009</v>
      </c>
      <c r="F2344" t="s">
        <v>455</v>
      </c>
    </row>
    <row r="2345" spans="1:6" x14ac:dyDescent="0.15">
      <c r="A2345" s="1">
        <v>40337</v>
      </c>
      <c r="B2345" t="s">
        <v>3601</v>
      </c>
      <c r="C2345" s="2" t="str">
        <f>HYPERLINK("http://snap.windin.com/ns/bulletin.php?id=1245688&amp;type=1", "佳力科技:首发招股说明书（申报稿）")</f>
        <v>佳力科技:首发招股说明书（申报稿）</v>
      </c>
      <c r="D2345" t="s">
        <v>8710</v>
      </c>
      <c r="E2345" t="s">
        <v>5583</v>
      </c>
      <c r="F2345" t="s">
        <v>5513</v>
      </c>
    </row>
    <row r="2346" spans="1:6" x14ac:dyDescent="0.15">
      <c r="A2346" s="1">
        <v>40336</v>
      </c>
      <c r="B2346" t="s">
        <v>3875</v>
      </c>
      <c r="C2346" s="2" t="str">
        <f>HYPERLINK("http://snap.windin.com/ns/bulletin.php?id=18869602&amp;type=1", "金风科技:刊发H股招股说明书、H股发行价格区间及H股香港公开发售等相关事宜")</f>
        <v>金风科技:刊发H股招股说明书、H股发行价格区间及H股香港公开发售等相关事宜</v>
      </c>
      <c r="D2346" t="s">
        <v>8711</v>
      </c>
      <c r="E2346" t="s">
        <v>5897</v>
      </c>
      <c r="F2346" t="s">
        <v>5804</v>
      </c>
    </row>
    <row r="2347" spans="1:6" x14ac:dyDescent="0.15">
      <c r="A2347" s="1">
        <v>40336</v>
      </c>
      <c r="B2347" t="s">
        <v>3875</v>
      </c>
      <c r="C2347" s="2" t="str">
        <f>HYPERLINK("http://snap.windin.com/ns/bulletin.php?id=147479&amp;type=1", "金风科技:H股招股说明书（英文版）")</f>
        <v>金风科技:H股招股说明书（英文版）</v>
      </c>
      <c r="D2347" t="s">
        <v>8712</v>
      </c>
      <c r="E2347" t="s">
        <v>5897</v>
      </c>
      <c r="F2347" t="s">
        <v>5900</v>
      </c>
    </row>
    <row r="2348" spans="1:6" x14ac:dyDescent="0.15">
      <c r="A2348" s="1">
        <v>40336</v>
      </c>
      <c r="B2348" t="s">
        <v>3875</v>
      </c>
      <c r="C2348" s="2" t="str">
        <f>HYPERLINK("http://snap.windin.com/ns/bulletin.php?id=843257&amp;type=1", "金风科技:关于刊发H股招股说明书、H股发行价格区间及H股香港公开发售等相关事宜的公告")</f>
        <v>金风科技:关于刊发H股招股说明书、H股发行价格区间及H股香港公开发售等相关事宜的公告</v>
      </c>
      <c r="D2348" t="s">
        <v>8713</v>
      </c>
      <c r="E2348" t="s">
        <v>5897</v>
      </c>
      <c r="F2348" t="s">
        <v>873</v>
      </c>
    </row>
    <row r="2349" spans="1:6" x14ac:dyDescent="0.15">
      <c r="A2349" s="1">
        <v>40336</v>
      </c>
      <c r="B2349" t="s">
        <v>3875</v>
      </c>
      <c r="C2349" s="2" t="str">
        <f>HYPERLINK("http://snap.windin.com/ns/bulletin.php?id=993597&amp;type=1", "金风科技:H股招股说明书")</f>
        <v>金风科技:H股招股说明书</v>
      </c>
      <c r="D2349" t="s">
        <v>8714</v>
      </c>
      <c r="E2349" t="s">
        <v>5897</v>
      </c>
      <c r="F2349" t="s">
        <v>5898</v>
      </c>
    </row>
    <row r="2350" spans="1:6" x14ac:dyDescent="0.15">
      <c r="A2350" s="1">
        <v>40334</v>
      </c>
      <c r="B2350" t="s">
        <v>3755</v>
      </c>
      <c r="C2350" s="2" t="str">
        <f>HYPERLINK("http://snap.windin.com/ns/bulletin.php?id=170932&amp;type=1", "松德股份:中山市松德包装机械股份有限公司创业板首发招股说明书（申报稿）")</f>
        <v>松德股份:中山市松德包装机械股份有限公司创业板首发招股说明书（申报稿）</v>
      </c>
      <c r="D2350" t="s">
        <v>8715</v>
      </c>
      <c r="E2350" t="s">
        <v>5750</v>
      </c>
      <c r="F2350" t="s">
        <v>5833</v>
      </c>
    </row>
    <row r="2351" spans="1:6" x14ac:dyDescent="0.15">
      <c r="A2351" s="1">
        <v>40334</v>
      </c>
      <c r="B2351" t="s">
        <v>3953</v>
      </c>
      <c r="C2351" s="2" t="str">
        <f>HYPERLINK("http://snap.windin.com/ns/bulletin.php?id=428968&amp;type=1", "农业银行:首次公开发行股票（A股）招股说明书（申报稿）")</f>
        <v>农业银行:首次公开发行股票（A股）招股说明书（申报稿）</v>
      </c>
      <c r="D2351" t="s">
        <v>8716</v>
      </c>
      <c r="E2351" t="s">
        <v>5982</v>
      </c>
      <c r="F2351" t="s">
        <v>6010</v>
      </c>
    </row>
    <row r="2352" spans="1:6" x14ac:dyDescent="0.15">
      <c r="A2352" s="1">
        <v>40334</v>
      </c>
      <c r="B2352" t="s">
        <v>3929</v>
      </c>
      <c r="C2352" s="2" t="str">
        <f>HYPERLINK("http://snap.windin.com/ns/bulletin.php?id=2083907&amp;type=1", "华仁药业:创业板首发招股说明书（申报稿）")</f>
        <v>华仁药业:创业板首发招股说明书（申报稿）</v>
      </c>
      <c r="D2352" t="s">
        <v>8717</v>
      </c>
      <c r="E2352" t="s">
        <v>5955</v>
      </c>
      <c r="F2352" t="s">
        <v>5450</v>
      </c>
    </row>
    <row r="2353" spans="1:6" x14ac:dyDescent="0.15">
      <c r="A2353" s="1">
        <v>40334</v>
      </c>
      <c r="B2353" t="s">
        <v>3913</v>
      </c>
      <c r="C2353" s="2" t="str">
        <f>HYPERLINK("http://snap.windin.com/ns/bulletin.php?id=2041020&amp;type=1", "艾迪西:首发招股说明书（申报稿）")</f>
        <v>艾迪西:首发招股说明书（申报稿）</v>
      </c>
      <c r="D2353" t="s">
        <v>8718</v>
      </c>
      <c r="E2353" t="s">
        <v>5938</v>
      </c>
      <c r="F2353" t="s">
        <v>5513</v>
      </c>
    </row>
    <row r="2354" spans="1:6" x14ac:dyDescent="0.15">
      <c r="A2354" s="1">
        <v>40334</v>
      </c>
      <c r="B2354" t="s">
        <v>3937</v>
      </c>
      <c r="C2354" s="2" t="str">
        <f>HYPERLINK("http://snap.windin.com/ns/bulletin.php?id=2043773&amp;type=1", "乐视网:信息技术（北京）股份有限公司创业板首发招股说明书（申报稿）")</f>
        <v>乐视网:信息技术（北京）股份有限公司创业板首发招股说明书（申报稿）</v>
      </c>
      <c r="D2354" t="s">
        <v>8719</v>
      </c>
      <c r="E2354" t="s">
        <v>5964</v>
      </c>
      <c r="F2354" t="s">
        <v>6011</v>
      </c>
    </row>
    <row r="2355" spans="1:6" x14ac:dyDescent="0.15">
      <c r="A2355" s="1">
        <v>40333</v>
      </c>
      <c r="B2355" t="s">
        <v>3980</v>
      </c>
      <c r="C2355" s="2" t="str">
        <f>HYPERLINK("http://snap.windin.com/ns/bulletin.php?id=1794300&amp;type=1", "星网锐捷:首次公开发行股票招股说明书")</f>
        <v>星网锐捷:首次公开发行股票招股说明书</v>
      </c>
      <c r="D2355" t="s">
        <v>8720</v>
      </c>
      <c r="E2355" t="s">
        <v>6012</v>
      </c>
      <c r="F2355" t="s">
        <v>399</v>
      </c>
    </row>
    <row r="2356" spans="1:6" x14ac:dyDescent="0.15">
      <c r="A2356" s="1">
        <v>40333</v>
      </c>
      <c r="B2356" t="s">
        <v>3981</v>
      </c>
      <c r="C2356" s="2" t="str">
        <f>HYPERLINK("http://snap.windin.com/ns/bulletin.php?id=187032&amp;type=1", "启明星辰:首次公开发行股票招股说明书")</f>
        <v>启明星辰:首次公开发行股票招股说明书</v>
      </c>
      <c r="D2356" t="s">
        <v>8721</v>
      </c>
      <c r="E2356" t="s">
        <v>6013</v>
      </c>
      <c r="F2356" t="s">
        <v>399</v>
      </c>
    </row>
    <row r="2357" spans="1:6" x14ac:dyDescent="0.15">
      <c r="A2357" s="1">
        <v>40333</v>
      </c>
      <c r="B2357" t="s">
        <v>3982</v>
      </c>
      <c r="C2357" s="2" t="str">
        <f>HYPERLINK("http://snap.windin.com/ns/bulletin.php?id=2094166&amp;type=1", "誉衡药业:首次公开发行股票招股说明书")</f>
        <v>誉衡药业:首次公开发行股票招股说明书</v>
      </c>
      <c r="D2357" t="s">
        <v>8722</v>
      </c>
      <c r="E2357" t="s">
        <v>6014</v>
      </c>
      <c r="F2357" t="s">
        <v>399</v>
      </c>
    </row>
    <row r="2358" spans="1:6" x14ac:dyDescent="0.15">
      <c r="A2358" s="1">
        <v>40333</v>
      </c>
      <c r="B2358" t="s">
        <v>3983</v>
      </c>
      <c r="C2358" s="2" t="str">
        <f>HYPERLINK("http://snap.windin.com/ns/bulletin.php?id=780859&amp;type=1", "江苏神通:首次公开发行股票招股说明书")</f>
        <v>江苏神通:首次公开发行股票招股说明书</v>
      </c>
      <c r="D2358" t="s">
        <v>8723</v>
      </c>
      <c r="E2358" t="s">
        <v>6015</v>
      </c>
      <c r="F2358" t="s">
        <v>399</v>
      </c>
    </row>
    <row r="2359" spans="1:6" x14ac:dyDescent="0.15">
      <c r="A2359" s="1">
        <v>40332</v>
      </c>
      <c r="B2359" t="s">
        <v>3882</v>
      </c>
      <c r="C2359" s="2" t="str">
        <f>HYPERLINK("http://snap.windin.com/ns/bulletin.php?id=1287902&amp;type=1", "锐奇股份:创业板首发招股说明书（申报稿）")</f>
        <v>锐奇股份:创业板首发招股说明书（申报稿）</v>
      </c>
      <c r="D2359" t="s">
        <v>8724</v>
      </c>
      <c r="E2359" t="s">
        <v>5906</v>
      </c>
      <c r="F2359" t="s">
        <v>5450</v>
      </c>
    </row>
    <row r="2360" spans="1:6" x14ac:dyDescent="0.15">
      <c r="A2360" s="1">
        <v>40330</v>
      </c>
      <c r="B2360" t="s">
        <v>3887</v>
      </c>
      <c r="C2360" s="2" t="str">
        <f>HYPERLINK("http://snap.windin.com/ns/bulletin.php?id=1710176&amp;type=1", "江海股份:首发招股说明书（申报稿）")</f>
        <v>江海股份:首发招股说明书（申报稿）</v>
      </c>
      <c r="D2360" t="s">
        <v>8725</v>
      </c>
      <c r="E2360" t="s">
        <v>5911</v>
      </c>
      <c r="F2360" t="s">
        <v>5513</v>
      </c>
    </row>
    <row r="2361" spans="1:6" x14ac:dyDescent="0.15">
      <c r="A2361" s="1">
        <v>40330</v>
      </c>
      <c r="B2361" t="s">
        <v>3984</v>
      </c>
      <c r="C2361" s="2" t="str">
        <f>HYPERLINK("http://snap.windin.com/ns/bulletin.php?id=503854&amp;type=1", "万里扬:首次公开发行股票并上市招股说明书")</f>
        <v>万里扬:首次公开发行股票并上市招股说明书</v>
      </c>
      <c r="D2361" t="s">
        <v>8726</v>
      </c>
      <c r="E2361" t="s">
        <v>6016</v>
      </c>
      <c r="F2361" t="s">
        <v>469</v>
      </c>
    </row>
    <row r="2362" spans="1:6" x14ac:dyDescent="0.15">
      <c r="A2362" s="1">
        <v>40330</v>
      </c>
      <c r="B2362" t="s">
        <v>3985</v>
      </c>
      <c r="C2362" s="2" t="str">
        <f>HYPERLINK("http://snap.windin.com/ns/bulletin.php?id=671913&amp;type=1", "长江润发:首次公开发行股票招股说明书")</f>
        <v>长江润发:首次公开发行股票招股说明书</v>
      </c>
      <c r="D2362" t="s">
        <v>8727</v>
      </c>
      <c r="E2362" t="s">
        <v>6017</v>
      </c>
      <c r="F2362" t="s">
        <v>399</v>
      </c>
    </row>
    <row r="2363" spans="1:6" x14ac:dyDescent="0.15">
      <c r="A2363" s="1">
        <v>40330</v>
      </c>
      <c r="B2363" t="s">
        <v>3986</v>
      </c>
      <c r="C2363" s="2" t="str">
        <f>HYPERLINK("http://snap.windin.com/ns/bulletin.php?id=1935705&amp;type=1", "皮宝制药:首次公开发行股票招股说明书")</f>
        <v>皮宝制药:首次公开发行股票招股说明书</v>
      </c>
      <c r="D2363" t="s">
        <v>8728</v>
      </c>
      <c r="E2363" t="s">
        <v>6018</v>
      </c>
      <c r="F2363" t="s">
        <v>399</v>
      </c>
    </row>
    <row r="2364" spans="1:6" x14ac:dyDescent="0.15">
      <c r="A2364" s="1">
        <v>40330</v>
      </c>
      <c r="B2364" t="s">
        <v>3987</v>
      </c>
      <c r="C2364" s="2" t="str">
        <f>HYPERLINK("http://snap.windin.com/ns/bulletin.php?id=589570&amp;type=1", "贵州高峰:创业板首发招股说明书（申报稿）")</f>
        <v>贵州高峰:创业板首发招股说明书（申报稿）</v>
      </c>
      <c r="D2364" t="s">
        <v>8729</v>
      </c>
      <c r="E2364" t="s">
        <v>6019</v>
      </c>
      <c r="F2364" t="s">
        <v>5450</v>
      </c>
    </row>
    <row r="2365" spans="1:6" x14ac:dyDescent="0.15">
      <c r="A2365" s="1">
        <v>40330</v>
      </c>
      <c r="B2365" t="s">
        <v>3876</v>
      </c>
      <c r="C2365" s="2" t="str">
        <f>HYPERLINK("http://snap.windin.com/ns/bulletin.php?id=1098265&amp;type=1", "宁波港:首次公开发行股票招股说明书（申报稿）")</f>
        <v>宁波港:首次公开发行股票招股说明书（申报稿）</v>
      </c>
      <c r="D2365" t="s">
        <v>8730</v>
      </c>
      <c r="E2365" t="s">
        <v>5899</v>
      </c>
      <c r="F2365" t="s">
        <v>5452</v>
      </c>
    </row>
    <row r="2366" spans="1:6" x14ac:dyDescent="0.15">
      <c r="A2366" s="1">
        <v>40330</v>
      </c>
      <c r="B2366" t="s">
        <v>3988</v>
      </c>
      <c r="C2366" s="2" t="str">
        <f>HYPERLINK("http://snap.windin.com/ns/bulletin.php?id=695869&amp;type=1", "兴森科技:首次公开发行股票招股说明书")</f>
        <v>兴森科技:首次公开发行股票招股说明书</v>
      </c>
      <c r="D2366" t="s">
        <v>8731</v>
      </c>
      <c r="E2366" t="s">
        <v>6020</v>
      </c>
      <c r="F2366" t="s">
        <v>399</v>
      </c>
    </row>
    <row r="2367" spans="1:6" x14ac:dyDescent="0.15">
      <c r="A2367" s="1">
        <v>40327</v>
      </c>
      <c r="B2367" t="s">
        <v>3918</v>
      </c>
      <c r="C2367" s="2" t="str">
        <f>HYPERLINK("http://snap.windin.com/ns/bulletin.php?id=1620919&amp;type=1", "海格通信:首发招股说明书（申报稿）")</f>
        <v>海格通信:首发招股说明书（申报稿）</v>
      </c>
      <c r="D2367" t="s">
        <v>8732</v>
      </c>
      <c r="E2367" t="s">
        <v>5943</v>
      </c>
      <c r="F2367" t="s">
        <v>5513</v>
      </c>
    </row>
    <row r="2368" spans="1:6" x14ac:dyDescent="0.15">
      <c r="A2368" s="1">
        <v>40326</v>
      </c>
      <c r="B2368" t="s">
        <v>3989</v>
      </c>
      <c r="C2368" s="2" t="str">
        <f>HYPERLINK("http://snap.windin.com/ns/bulletin.php?id=1656026&amp;type=1", "兆驰股份:首次公开发行股票招股说明书")</f>
        <v>兆驰股份:首次公开发行股票招股说明书</v>
      </c>
      <c r="D2368" t="s">
        <v>8733</v>
      </c>
      <c r="E2368" t="s">
        <v>6021</v>
      </c>
      <c r="F2368" t="s">
        <v>399</v>
      </c>
    </row>
    <row r="2369" spans="1:6" x14ac:dyDescent="0.15">
      <c r="A2369" s="1">
        <v>40326</v>
      </c>
      <c r="B2369" t="s">
        <v>3990</v>
      </c>
      <c r="C2369" s="2" t="str">
        <f>HYPERLINK("http://snap.windin.com/ns/bulletin.php?id=2118480&amp;type=1", "棕榈园林:首次公开发行股票招股说明书")</f>
        <v>棕榈园林:首次公开发行股票招股说明书</v>
      </c>
      <c r="D2369" t="s">
        <v>8734</v>
      </c>
      <c r="E2369" t="s">
        <v>6022</v>
      </c>
      <c r="F2369" t="s">
        <v>399</v>
      </c>
    </row>
    <row r="2370" spans="1:6" x14ac:dyDescent="0.15">
      <c r="A2370" s="1">
        <v>40326</v>
      </c>
      <c r="B2370" t="s">
        <v>3991</v>
      </c>
      <c r="C2370" s="2" t="str">
        <f>HYPERLINK("http://snap.windin.com/ns/bulletin.php?id=1901922&amp;type=1", "九安医疗:首次公开发行股票招股说明书")</f>
        <v>九安医疗:首次公开发行股票招股说明书</v>
      </c>
      <c r="D2370" t="s">
        <v>8735</v>
      </c>
      <c r="E2370" t="s">
        <v>6023</v>
      </c>
      <c r="F2370" t="s">
        <v>399</v>
      </c>
    </row>
    <row r="2371" spans="1:6" x14ac:dyDescent="0.15">
      <c r="A2371" s="1">
        <v>40326</v>
      </c>
      <c r="B2371" t="s">
        <v>3992</v>
      </c>
      <c r="C2371" s="2" t="str">
        <f>HYPERLINK("http://snap.windin.com/ns/bulletin.php?id=752710&amp;type=1", "杭氧股份:首次公开发行股票招股说明书")</f>
        <v>杭氧股份:首次公开发行股票招股说明书</v>
      </c>
      <c r="D2371" t="s">
        <v>8736</v>
      </c>
      <c r="E2371" t="s">
        <v>6024</v>
      </c>
      <c r="F2371" t="s">
        <v>399</v>
      </c>
    </row>
    <row r="2372" spans="1:6" x14ac:dyDescent="0.15">
      <c r="A2372" s="1">
        <v>40323</v>
      </c>
      <c r="B2372" t="s">
        <v>3993</v>
      </c>
      <c r="C2372" s="2" t="str">
        <f>HYPERLINK("http://snap.windin.com/ns/bulletin.php?id=1722118&amp;type=1", "云南锗业:首次公开发行股票招股说明书")</f>
        <v>云南锗业:首次公开发行股票招股说明书</v>
      </c>
      <c r="D2372" t="s">
        <v>8737</v>
      </c>
      <c r="E2372" t="s">
        <v>6025</v>
      </c>
      <c r="F2372" t="s">
        <v>399</v>
      </c>
    </row>
    <row r="2373" spans="1:6" x14ac:dyDescent="0.15">
      <c r="A2373" s="1">
        <v>40323</v>
      </c>
      <c r="B2373" t="s">
        <v>3994</v>
      </c>
      <c r="C2373" s="2" t="str">
        <f>HYPERLINK("http://snap.windin.com/ns/bulletin.php?id=1728439&amp;type=1", "尤夫股份:首次公开发行股票招股说明书（封卷稿）")</f>
        <v>尤夫股份:首次公开发行股票招股说明书（封卷稿）</v>
      </c>
      <c r="D2373" t="s">
        <v>8738</v>
      </c>
      <c r="E2373" t="s">
        <v>6026</v>
      </c>
      <c r="F2373" t="s">
        <v>6027</v>
      </c>
    </row>
    <row r="2374" spans="1:6" x14ac:dyDescent="0.15">
      <c r="A2374" s="1">
        <v>40323</v>
      </c>
      <c r="B2374" t="s">
        <v>3995</v>
      </c>
      <c r="C2374" s="2" t="str">
        <f>HYPERLINK("http://snap.windin.com/ns/bulletin.php?id=512777&amp;type=1", "胜利精密:首次公开发行股票招股说明书")</f>
        <v>胜利精密:首次公开发行股票招股说明书</v>
      </c>
      <c r="D2374" t="s">
        <v>8739</v>
      </c>
      <c r="E2374" t="s">
        <v>6028</v>
      </c>
      <c r="F2374" t="s">
        <v>399</v>
      </c>
    </row>
    <row r="2375" spans="1:6" x14ac:dyDescent="0.15">
      <c r="A2375" s="1">
        <v>40323</v>
      </c>
      <c r="B2375" t="s">
        <v>3850</v>
      </c>
      <c r="C2375" s="2" t="str">
        <f>HYPERLINK("http://snap.windin.com/ns/bulletin.php?id=435317&amp;type=1", "辉丰股份:首次公开发行股票招股说明书（申报稿）")</f>
        <v>辉丰股份:首次公开发行股票招股说明书（申报稿）</v>
      </c>
      <c r="D2375" t="s">
        <v>8740</v>
      </c>
      <c r="E2375" t="s">
        <v>5862</v>
      </c>
      <c r="F2375" t="s">
        <v>5452</v>
      </c>
    </row>
    <row r="2376" spans="1:6" x14ac:dyDescent="0.15">
      <c r="A2376" s="1">
        <v>40323</v>
      </c>
      <c r="B2376" t="s">
        <v>3996</v>
      </c>
      <c r="C2376" s="2" t="str">
        <f>HYPERLINK("http://snap.windin.com/ns/bulletin.php?id=2079876&amp;type=1", "凯撒股份:首次公开发行股票招股说明书")</f>
        <v>凯撒股份:首次公开发行股票招股说明书</v>
      </c>
      <c r="D2376" t="s">
        <v>8741</v>
      </c>
      <c r="E2376" t="s">
        <v>6029</v>
      </c>
      <c r="F2376" t="s">
        <v>399</v>
      </c>
    </row>
    <row r="2377" spans="1:6" x14ac:dyDescent="0.15">
      <c r="A2377" s="1">
        <v>40323</v>
      </c>
      <c r="B2377" t="s">
        <v>3936</v>
      </c>
      <c r="C2377" s="2" t="str">
        <f>HYPERLINK("http://snap.windin.com/ns/bulletin.php?id=1870214&amp;type=1", "乾照光电:创业板首发招股说明书（申报稿）")</f>
        <v>乾照光电:创业板首发招股说明书（申报稿）</v>
      </c>
      <c r="D2377" t="s">
        <v>8742</v>
      </c>
      <c r="E2377" t="s">
        <v>5963</v>
      </c>
      <c r="F2377" t="s">
        <v>5450</v>
      </c>
    </row>
    <row r="2378" spans="1:6" x14ac:dyDescent="0.15">
      <c r="A2378" s="1">
        <v>40323</v>
      </c>
      <c r="B2378" t="s">
        <v>3938</v>
      </c>
      <c r="C2378" s="2" t="str">
        <f>HYPERLINK("http://snap.windin.com/ns/bulletin.php?id=761295&amp;type=1", "达刚路机:创业板首发招股说明书（申报稿）")</f>
        <v>达刚路机:创业板首发招股说明书（申报稿）</v>
      </c>
      <c r="D2378" t="s">
        <v>8743</v>
      </c>
      <c r="E2378" t="s">
        <v>5965</v>
      </c>
      <c r="F2378" t="s">
        <v>5450</v>
      </c>
    </row>
    <row r="2379" spans="1:6" x14ac:dyDescent="0.15">
      <c r="A2379" s="1">
        <v>40320</v>
      </c>
      <c r="B2379" t="s">
        <v>3933</v>
      </c>
      <c r="C2379" s="2" t="str">
        <f>HYPERLINK("http://snap.windin.com/ns/bulletin.php?id=669016&amp;type=1", "珠江啤酒:首发招股说明书（申报稿）")</f>
        <v>珠江啤酒:首发招股说明书（申报稿）</v>
      </c>
      <c r="D2379" t="s">
        <v>8744</v>
      </c>
      <c r="E2379" t="s">
        <v>5959</v>
      </c>
      <c r="F2379" t="s">
        <v>5513</v>
      </c>
    </row>
    <row r="2380" spans="1:6" x14ac:dyDescent="0.15">
      <c r="A2380" s="1">
        <v>40320</v>
      </c>
      <c r="B2380" t="s">
        <v>3980</v>
      </c>
      <c r="C2380" s="2" t="str">
        <f>HYPERLINK("http://snap.windin.com/ns/bulletin.php?id=569804&amp;type=1", "星网锐捷:首发招股说明书（申报稿）")</f>
        <v>星网锐捷:首发招股说明书（申报稿）</v>
      </c>
      <c r="D2380" t="s">
        <v>8745</v>
      </c>
      <c r="E2380" t="s">
        <v>6012</v>
      </c>
      <c r="F2380" t="s">
        <v>5513</v>
      </c>
    </row>
    <row r="2381" spans="1:6" x14ac:dyDescent="0.15">
      <c r="A2381" s="1">
        <v>40319</v>
      </c>
      <c r="B2381" t="s">
        <v>3997</v>
      </c>
      <c r="C2381" s="2" t="str">
        <f>HYPERLINK("http://snap.windin.com/ns/bulletin.php?id=2003064&amp;type=1", "中原特钢:首次公开发行股票招股说明书")</f>
        <v>中原特钢:首次公开发行股票招股说明书</v>
      </c>
      <c r="D2381" t="s">
        <v>8746</v>
      </c>
      <c r="E2381" t="s">
        <v>6030</v>
      </c>
      <c r="F2381" t="s">
        <v>399</v>
      </c>
    </row>
    <row r="2382" spans="1:6" x14ac:dyDescent="0.15">
      <c r="A2382" s="1">
        <v>40319</v>
      </c>
      <c r="B2382" t="s">
        <v>3998</v>
      </c>
      <c r="C2382" s="2" t="str">
        <f>HYPERLINK("http://snap.windin.com/ns/bulletin.php?id=1100207&amp;type=1", "贵州百灵:首次公开发行股票招股说明书")</f>
        <v>贵州百灵:首次公开发行股票招股说明书</v>
      </c>
      <c r="D2382" t="s">
        <v>8747</v>
      </c>
      <c r="E2382" t="s">
        <v>6031</v>
      </c>
      <c r="F2382" t="s">
        <v>399</v>
      </c>
    </row>
    <row r="2383" spans="1:6" x14ac:dyDescent="0.15">
      <c r="A2383" s="1">
        <v>40319</v>
      </c>
      <c r="B2383" t="s">
        <v>3999</v>
      </c>
      <c r="C2383" s="2" t="str">
        <f>HYPERLINK("http://snap.windin.com/ns/bulletin.php?id=689367&amp;type=1", "达实智能:首次公开发行股票招股说明书")</f>
        <v>达实智能:首次公开发行股票招股说明书</v>
      </c>
      <c r="D2383" t="s">
        <v>8748</v>
      </c>
      <c r="E2383" t="s">
        <v>6032</v>
      </c>
      <c r="F2383" t="s">
        <v>399</v>
      </c>
    </row>
    <row r="2384" spans="1:6" x14ac:dyDescent="0.15">
      <c r="A2384" s="1">
        <v>40319</v>
      </c>
      <c r="B2384" t="s">
        <v>4000</v>
      </c>
      <c r="C2384" s="2" t="str">
        <f>HYPERLINK("http://snap.windin.com/ns/bulletin.php?id=849485&amp;type=1", "科伦药业:首次公开发行股票招股说明书")</f>
        <v>科伦药业:首次公开发行股票招股说明书</v>
      </c>
      <c r="D2384" t="s">
        <v>8749</v>
      </c>
      <c r="E2384" t="s">
        <v>6033</v>
      </c>
      <c r="F2384" t="s">
        <v>399</v>
      </c>
    </row>
    <row r="2385" spans="1:6" x14ac:dyDescent="0.15">
      <c r="A2385" s="1">
        <v>40318</v>
      </c>
      <c r="B2385" t="s">
        <v>3944</v>
      </c>
      <c r="C2385" s="2" t="str">
        <f>HYPERLINK("http://snap.windin.com/ns/bulletin.php?id=428458&amp;type=1", "双林股份:创业板首发招股说明书（申报稿）")</f>
        <v>双林股份:创业板首发招股说明书（申报稿）</v>
      </c>
      <c r="D2385" t="s">
        <v>8750</v>
      </c>
      <c r="E2385" t="s">
        <v>5971</v>
      </c>
      <c r="F2385" t="s">
        <v>5450</v>
      </c>
    </row>
    <row r="2386" spans="1:6" x14ac:dyDescent="0.15">
      <c r="A2386" s="1">
        <v>40318</v>
      </c>
      <c r="B2386" t="s">
        <v>3967</v>
      </c>
      <c r="C2386" s="2" t="str">
        <f>HYPERLINK("http://snap.windin.com/ns/bulletin.php?id=1867852&amp;type=1", "科新机电:创业板首发招股说明书（申报稿）")</f>
        <v>科新机电:创业板首发招股说明书（申报稿）</v>
      </c>
      <c r="D2386" t="s">
        <v>8751</v>
      </c>
      <c r="E2386" t="s">
        <v>5997</v>
      </c>
      <c r="F2386" t="s">
        <v>5450</v>
      </c>
    </row>
    <row r="2387" spans="1:6" x14ac:dyDescent="0.15">
      <c r="A2387" s="1">
        <v>40316</v>
      </c>
      <c r="B2387" t="s">
        <v>4001</v>
      </c>
      <c r="C2387" s="2" t="str">
        <f>HYPERLINK("http://snap.windin.com/ns/bulletin.php?id=1667469&amp;type=1", "康盛股份:首次公开发行股票招股说明书")</f>
        <v>康盛股份:首次公开发行股票招股说明书</v>
      </c>
      <c r="D2387" t="s">
        <v>8752</v>
      </c>
      <c r="E2387" t="s">
        <v>6034</v>
      </c>
      <c r="F2387" t="s">
        <v>399</v>
      </c>
    </row>
    <row r="2388" spans="1:6" x14ac:dyDescent="0.15">
      <c r="A2388" s="1">
        <v>40316</v>
      </c>
      <c r="B2388" t="s">
        <v>4002</v>
      </c>
      <c r="C2388" s="2" t="str">
        <f>HYPERLINK("http://snap.windin.com/ns/bulletin.php?id=208659&amp;type=1", "三元达:首次公开发行股票招股说明书")</f>
        <v>三元达:首次公开发行股票招股说明书</v>
      </c>
      <c r="D2388" t="s">
        <v>8753</v>
      </c>
      <c r="E2388" t="s">
        <v>6035</v>
      </c>
      <c r="F2388" t="s">
        <v>399</v>
      </c>
    </row>
    <row r="2389" spans="1:6" x14ac:dyDescent="0.15">
      <c r="A2389" s="1">
        <v>40316</v>
      </c>
      <c r="B2389" t="s">
        <v>4003</v>
      </c>
      <c r="C2389" s="2" t="str">
        <f>HYPERLINK("http://snap.windin.com/ns/bulletin.php?id=1458998&amp;type=1", "天虹商场:首次公开发行股票招股说明书")</f>
        <v>天虹商场:首次公开发行股票招股说明书</v>
      </c>
      <c r="D2389" t="s">
        <v>8754</v>
      </c>
      <c r="E2389" t="s">
        <v>6036</v>
      </c>
      <c r="F2389" t="s">
        <v>399</v>
      </c>
    </row>
    <row r="2390" spans="1:6" x14ac:dyDescent="0.15">
      <c r="A2390" s="1">
        <v>40316</v>
      </c>
      <c r="B2390" t="s">
        <v>4004</v>
      </c>
      <c r="C2390" s="2" t="str">
        <f>HYPERLINK("http://snap.windin.com/ns/bulletin.php?id=828846&amp;type=1", "毅昌股份:首次公开发行股票招股说明书")</f>
        <v>毅昌股份:首次公开发行股票招股说明书</v>
      </c>
      <c r="D2390" t="s">
        <v>8755</v>
      </c>
      <c r="E2390" t="s">
        <v>6037</v>
      </c>
      <c r="F2390" t="s">
        <v>399</v>
      </c>
    </row>
    <row r="2391" spans="1:6" x14ac:dyDescent="0.15">
      <c r="A2391" s="1">
        <v>40312</v>
      </c>
      <c r="B2391" t="s">
        <v>4005</v>
      </c>
      <c r="C2391" s="2" t="str">
        <f>HYPERLINK("http://snap.windin.com/ns/bulletin.php?id=1684247&amp;type=1", "常发股份:首次公开发行股票招股说明书")</f>
        <v>常发股份:首次公开发行股票招股说明书</v>
      </c>
      <c r="D2391" t="s">
        <v>8756</v>
      </c>
      <c r="E2391" t="s">
        <v>6038</v>
      </c>
      <c r="F2391" t="s">
        <v>399</v>
      </c>
    </row>
    <row r="2392" spans="1:6" x14ac:dyDescent="0.15">
      <c r="A2392" s="1">
        <v>40312</v>
      </c>
      <c r="B2392" t="s">
        <v>313</v>
      </c>
      <c r="C2392" s="2" t="str">
        <f>HYPERLINK("http://snap.windin.com/ns/bulletin.php?id=1787408&amp;type=1", "天玑科技:创业板首发招股说明书（申报稿）")</f>
        <v>天玑科技:创业板首发招股说明书（申报稿）</v>
      </c>
      <c r="D2392" t="s">
        <v>8757</v>
      </c>
      <c r="E2392" t="s">
        <v>803</v>
      </c>
      <c r="F2392" t="s">
        <v>5450</v>
      </c>
    </row>
    <row r="2393" spans="1:6" x14ac:dyDescent="0.15">
      <c r="A2393" s="1">
        <v>40312</v>
      </c>
      <c r="B2393" t="s">
        <v>4006</v>
      </c>
      <c r="C2393" s="2" t="str">
        <f>HYPERLINK("http://snap.windin.com/ns/bulletin.php?id=208200&amp;type=1", "卧龙电气:增发招股说明书")</f>
        <v>卧龙电气:增发招股说明书</v>
      </c>
      <c r="D2393" t="s">
        <v>8758</v>
      </c>
      <c r="E2393" t="s">
        <v>6039</v>
      </c>
      <c r="F2393" t="s">
        <v>5566</v>
      </c>
    </row>
    <row r="2394" spans="1:6" x14ac:dyDescent="0.15">
      <c r="A2394" s="1">
        <v>40312</v>
      </c>
      <c r="B2394" t="s">
        <v>4007</v>
      </c>
      <c r="C2394" s="2" t="str">
        <f>HYPERLINK("http://snap.windin.com/ns/bulletin.php?id=2074041&amp;type=1", "爱施德:首次公开发行股票招股说明书")</f>
        <v>爱施德:首次公开发行股票招股说明书</v>
      </c>
      <c r="D2394" t="s">
        <v>8759</v>
      </c>
      <c r="E2394" t="s">
        <v>6040</v>
      </c>
      <c r="F2394" t="s">
        <v>399</v>
      </c>
    </row>
    <row r="2395" spans="1:6" x14ac:dyDescent="0.15">
      <c r="A2395" s="1">
        <v>40312</v>
      </c>
      <c r="B2395" t="s">
        <v>4008</v>
      </c>
      <c r="C2395" s="2" t="str">
        <f>HYPERLINK("http://snap.windin.com/ns/bulletin.php?id=874448&amp;type=1", "海康威视:首次公开发行股票招股说明书")</f>
        <v>海康威视:首次公开发行股票招股说明书</v>
      </c>
      <c r="D2395" t="s">
        <v>8760</v>
      </c>
      <c r="E2395" t="s">
        <v>6041</v>
      </c>
      <c r="F2395" t="s">
        <v>399</v>
      </c>
    </row>
    <row r="2396" spans="1:6" x14ac:dyDescent="0.15">
      <c r="A2396" s="1">
        <v>40312</v>
      </c>
      <c r="B2396" t="s">
        <v>3952</v>
      </c>
      <c r="C2396" s="2" t="str">
        <f>HYPERLINK("http://snap.windin.com/ns/bulletin.php?id=952692&amp;type=1", "华伍股份:创业板首发招股说明书（申报稿）")</f>
        <v>华伍股份:创业板首发招股说明书（申报稿）</v>
      </c>
      <c r="D2396" t="s">
        <v>8761</v>
      </c>
      <c r="E2396" t="s">
        <v>5981</v>
      </c>
      <c r="F2396" t="s">
        <v>5450</v>
      </c>
    </row>
    <row r="2397" spans="1:6" x14ac:dyDescent="0.15">
      <c r="A2397" s="1">
        <v>40310</v>
      </c>
      <c r="B2397" t="s">
        <v>4009</v>
      </c>
      <c r="C2397" s="2" t="str">
        <f>HYPERLINK("http://snap.windin.com/ns/bulletin.php?id=175317&amp;type=1", "荃银高科:首次公开发行股票并在创业板上市招股说明书")</f>
        <v>荃银高科:首次公开发行股票并在创业板上市招股说明书</v>
      </c>
      <c r="D2397" t="s">
        <v>8762</v>
      </c>
      <c r="E2397" t="s">
        <v>6042</v>
      </c>
      <c r="F2397" t="s">
        <v>455</v>
      </c>
    </row>
    <row r="2398" spans="1:6" x14ac:dyDescent="0.15">
      <c r="A2398" s="1">
        <v>40310</v>
      </c>
      <c r="B2398" t="s">
        <v>4010</v>
      </c>
      <c r="C2398" s="2" t="str">
        <f>HYPERLINK("http://snap.windin.com/ns/bulletin.php?id=1387334&amp;type=1", "银之杰:首次公开发行股票并在创业板上市招股说明书")</f>
        <v>银之杰:首次公开发行股票并在创业板上市招股说明书</v>
      </c>
      <c r="D2398" t="s">
        <v>8763</v>
      </c>
      <c r="E2398" t="s">
        <v>6043</v>
      </c>
      <c r="F2398" t="s">
        <v>455</v>
      </c>
    </row>
    <row r="2399" spans="1:6" x14ac:dyDescent="0.15">
      <c r="A2399" s="1">
        <v>40310</v>
      </c>
      <c r="B2399" t="s">
        <v>4011</v>
      </c>
      <c r="C2399" s="2" t="str">
        <f>HYPERLINK("http://snap.windin.com/ns/bulletin.php?id=900412&amp;type=1", "长信科技:首次公开发行股票并在创业板上市招股说明书")</f>
        <v>长信科技:首次公开发行股票并在创业板上市招股说明书</v>
      </c>
      <c r="D2399" t="s">
        <v>8764</v>
      </c>
      <c r="E2399" t="s">
        <v>6044</v>
      </c>
      <c r="F2399" t="s">
        <v>455</v>
      </c>
    </row>
    <row r="2400" spans="1:6" x14ac:dyDescent="0.15">
      <c r="A2400" s="1">
        <v>40310</v>
      </c>
      <c r="B2400" t="s">
        <v>4012</v>
      </c>
      <c r="C2400" s="2" t="str">
        <f>HYPERLINK("http://snap.windin.com/ns/bulletin.php?id=908043&amp;type=1", "康芝药业:首次公开发行股票并在创业板上市招股说明书")</f>
        <v>康芝药业:首次公开发行股票并在创业板上市招股说明书</v>
      </c>
      <c r="D2400" t="s">
        <v>8765</v>
      </c>
      <c r="E2400" t="s">
        <v>6045</v>
      </c>
      <c r="F2400" t="s">
        <v>455</v>
      </c>
    </row>
    <row r="2401" spans="1:6" x14ac:dyDescent="0.15">
      <c r="A2401" s="1">
        <v>40309</v>
      </c>
      <c r="B2401" t="s">
        <v>135</v>
      </c>
      <c r="C2401" s="2" t="str">
        <f>HYPERLINK("http://snap.windin.com/ns/bulletin.php?id=923742&amp;type=1", "同大股份:公创业板首发招股说明书（申报稿）")</f>
        <v>同大股份:公创业板首发招股说明书（申报稿）</v>
      </c>
      <c r="D2401" t="s">
        <v>8766</v>
      </c>
      <c r="E2401" t="s">
        <v>581</v>
      </c>
      <c r="F2401" t="s">
        <v>6046</v>
      </c>
    </row>
    <row r="2402" spans="1:6" x14ac:dyDescent="0.15">
      <c r="A2402" s="1">
        <v>40308</v>
      </c>
      <c r="B2402" t="s">
        <v>4013</v>
      </c>
      <c r="C2402" s="2" t="str">
        <f>HYPERLINK("http://snap.windin.com/ns/bulletin.php?id=2008987&amp;type=1", "汉森制药:首次公开发行股票招股说明书")</f>
        <v>汉森制药:首次公开发行股票招股说明书</v>
      </c>
      <c r="D2402" t="s">
        <v>8767</v>
      </c>
      <c r="E2402" t="s">
        <v>6047</v>
      </c>
      <c r="F2402" t="s">
        <v>399</v>
      </c>
    </row>
    <row r="2403" spans="1:6" x14ac:dyDescent="0.15">
      <c r="A2403" s="1">
        <v>40308</v>
      </c>
      <c r="B2403" t="s">
        <v>4014</v>
      </c>
      <c r="C2403" s="2" t="str">
        <f>HYPERLINK("http://snap.windin.com/ns/bulletin.php?id=1249160&amp;type=1", "九九久:首次公开发行股票招股说明书")</f>
        <v>九九久:首次公开发行股票招股说明书</v>
      </c>
      <c r="D2403" t="s">
        <v>8768</v>
      </c>
      <c r="E2403" t="s">
        <v>6048</v>
      </c>
      <c r="F2403" t="s">
        <v>399</v>
      </c>
    </row>
    <row r="2404" spans="1:6" x14ac:dyDescent="0.15">
      <c r="A2404" s="1">
        <v>40308</v>
      </c>
      <c r="B2404" t="s">
        <v>4015</v>
      </c>
      <c r="C2404" s="2" t="str">
        <f>HYPERLINK("http://snap.windin.com/ns/bulletin.php?id=1848157&amp;type=1", "雅克科技:首次公开发行股票招股说明书")</f>
        <v>雅克科技:首次公开发行股票招股说明书</v>
      </c>
      <c r="D2404" t="s">
        <v>8769</v>
      </c>
      <c r="E2404" t="s">
        <v>6049</v>
      </c>
      <c r="F2404" t="s">
        <v>399</v>
      </c>
    </row>
    <row r="2405" spans="1:6" x14ac:dyDescent="0.15">
      <c r="A2405" s="1">
        <v>40308</v>
      </c>
      <c r="B2405" t="s">
        <v>4016</v>
      </c>
      <c r="C2405" s="2" t="str">
        <f>HYPERLINK("http://snap.windin.com/ns/bulletin.php?id=1908073&amp;type=1", "广联达:首次公开发行股票招股说明书")</f>
        <v>广联达:首次公开发行股票招股说明书</v>
      </c>
      <c r="D2405" t="s">
        <v>8770</v>
      </c>
      <c r="E2405" t="s">
        <v>6050</v>
      </c>
      <c r="F2405" t="s">
        <v>399</v>
      </c>
    </row>
    <row r="2406" spans="1:6" x14ac:dyDescent="0.15">
      <c r="A2406" s="1">
        <v>40304</v>
      </c>
      <c r="B2406" t="s">
        <v>3792</v>
      </c>
      <c r="C2406" s="2" t="str">
        <f>HYPERLINK("http://snap.windin.com/ns/bulletin.php?id=2061028&amp;type=1", "燃控科技:创业板首发招股说明书（申报稿）")</f>
        <v>燃控科技:创业板首发招股说明书（申报稿）</v>
      </c>
      <c r="D2406" t="s">
        <v>8771</v>
      </c>
      <c r="E2406" t="s">
        <v>5794</v>
      </c>
      <c r="F2406" t="s">
        <v>5450</v>
      </c>
    </row>
    <row r="2407" spans="1:6" x14ac:dyDescent="0.15">
      <c r="A2407" s="1">
        <v>40303</v>
      </c>
      <c r="B2407" t="s">
        <v>4017</v>
      </c>
      <c r="C2407" s="2" t="str">
        <f>HYPERLINK("http://snap.windin.com/ns/bulletin.php?id=177275&amp;type=1", "奥克股份:首次公开发行股票并在创业板上市招股说明书")</f>
        <v>奥克股份:首次公开发行股票并在创业板上市招股说明书</v>
      </c>
      <c r="D2407" t="s">
        <v>8772</v>
      </c>
      <c r="E2407" t="s">
        <v>6051</v>
      </c>
      <c r="F2407" t="s">
        <v>455</v>
      </c>
    </row>
    <row r="2408" spans="1:6" x14ac:dyDescent="0.15">
      <c r="A2408" s="1">
        <v>40303</v>
      </c>
      <c r="B2408" t="s">
        <v>4018</v>
      </c>
      <c r="C2408" s="2" t="str">
        <f>HYPERLINK("http://snap.windin.com/ns/bulletin.php?id=1554493&amp;type=1", "劲胜股份:首次公开发行股票并在创业板上市招股说明书")</f>
        <v>劲胜股份:首次公开发行股票并在创业板上市招股说明书</v>
      </c>
      <c r="D2408" t="s">
        <v>8773</v>
      </c>
      <c r="E2408" t="s">
        <v>6052</v>
      </c>
      <c r="F2408" t="s">
        <v>455</v>
      </c>
    </row>
    <row r="2409" spans="1:6" x14ac:dyDescent="0.15">
      <c r="A2409" s="1">
        <v>40303</v>
      </c>
      <c r="B2409" t="s">
        <v>4019</v>
      </c>
      <c r="C2409" s="2" t="str">
        <f>HYPERLINK("http://snap.windin.com/ns/bulletin.php?id=1417420&amp;type=1", "新大新材:首次公开发行股票并在创业板上市招股说明书")</f>
        <v>新大新材:首次公开发行股票并在创业板上市招股说明书</v>
      </c>
      <c r="D2409" t="s">
        <v>8774</v>
      </c>
      <c r="E2409" t="s">
        <v>6053</v>
      </c>
      <c r="F2409" t="s">
        <v>455</v>
      </c>
    </row>
    <row r="2410" spans="1:6" x14ac:dyDescent="0.15">
      <c r="A2410" s="1">
        <v>40303</v>
      </c>
      <c r="B2410" t="s">
        <v>4020</v>
      </c>
      <c r="C2410" s="2" t="str">
        <f>HYPERLINK("http://snap.windin.com/ns/bulletin.php?id=795653&amp;type=1", "海默科技:首次公开发行股票并在创业板上市招股说明书")</f>
        <v>海默科技:首次公开发行股票并在创业板上市招股说明书</v>
      </c>
      <c r="D2410" t="s">
        <v>8775</v>
      </c>
      <c r="E2410" t="s">
        <v>6054</v>
      </c>
      <c r="F2410" t="s">
        <v>455</v>
      </c>
    </row>
    <row r="2411" spans="1:6" x14ac:dyDescent="0.15">
      <c r="A2411" s="1">
        <v>40303</v>
      </c>
      <c r="B2411" t="s">
        <v>4021</v>
      </c>
      <c r="C2411" s="2" t="str">
        <f>HYPERLINK("http://snap.windin.com/ns/bulletin.php?id=957245&amp;type=1", "恒信移动:首次公开发行股票并在创业板上市招股说明书")</f>
        <v>恒信移动:首次公开发行股票并在创业板上市招股说明书</v>
      </c>
      <c r="D2411" t="s">
        <v>8776</v>
      </c>
      <c r="E2411" t="s">
        <v>6055</v>
      </c>
      <c r="F2411" t="s">
        <v>455</v>
      </c>
    </row>
    <row r="2412" spans="1:6" x14ac:dyDescent="0.15">
      <c r="A2412" s="1">
        <v>40298</v>
      </c>
      <c r="B2412" t="s">
        <v>4022</v>
      </c>
      <c r="C2412" s="2" t="str">
        <f>HYPERLINK("http://snap.windin.com/ns/bulletin.php?id=124983&amp;type=1", "齐翔腾达:首次公开发行股票招股说明书")</f>
        <v>齐翔腾达:首次公开发行股票招股说明书</v>
      </c>
      <c r="D2412" t="s">
        <v>8777</v>
      </c>
      <c r="E2412" t="s">
        <v>6056</v>
      </c>
      <c r="F2412" t="s">
        <v>399</v>
      </c>
    </row>
    <row r="2413" spans="1:6" x14ac:dyDescent="0.15">
      <c r="A2413" s="1">
        <v>40298</v>
      </c>
      <c r="B2413" t="s">
        <v>4023</v>
      </c>
      <c r="C2413" s="2" t="str">
        <f>HYPERLINK("http://snap.windin.com/ns/bulletin.php?id=1547057&amp;type=1", "多氟多:首次公开发行股票招股说明书")</f>
        <v>多氟多:首次公开发行股票招股说明书</v>
      </c>
      <c r="D2413" t="s">
        <v>8778</v>
      </c>
      <c r="E2413" t="s">
        <v>6057</v>
      </c>
      <c r="F2413" t="s">
        <v>399</v>
      </c>
    </row>
    <row r="2414" spans="1:6" x14ac:dyDescent="0.15">
      <c r="A2414" s="1">
        <v>40298</v>
      </c>
      <c r="B2414" t="s">
        <v>4024</v>
      </c>
      <c r="C2414" s="2" t="str">
        <f>HYPERLINK("http://snap.windin.com/ns/bulletin.php?id=1089851&amp;type=1", "远东传动:首次公开发行股票招股说明书")</f>
        <v>远东传动:首次公开发行股票招股说明书</v>
      </c>
      <c r="D2414" t="s">
        <v>8779</v>
      </c>
      <c r="E2414" t="s">
        <v>6058</v>
      </c>
      <c r="F2414" t="s">
        <v>399</v>
      </c>
    </row>
    <row r="2415" spans="1:6" x14ac:dyDescent="0.15">
      <c r="A2415" s="1">
        <v>40298</v>
      </c>
      <c r="B2415" t="s">
        <v>4025</v>
      </c>
      <c r="C2415" s="2" t="str">
        <f>HYPERLINK("http://snap.windin.com/ns/bulletin.php?id=941249&amp;type=1", "四维图新:首次公开发行股票招股说明书")</f>
        <v>四维图新:首次公开发行股票招股说明书</v>
      </c>
      <c r="D2415" t="s">
        <v>8780</v>
      </c>
      <c r="E2415" t="s">
        <v>6059</v>
      </c>
      <c r="F2415" t="s">
        <v>399</v>
      </c>
    </row>
    <row r="2416" spans="1:6" x14ac:dyDescent="0.15">
      <c r="A2416" s="1">
        <v>40295</v>
      </c>
      <c r="B2416" t="s">
        <v>3968</v>
      </c>
      <c r="C2416" s="2" t="str">
        <f>HYPERLINK("http://snap.windin.com/ns/bulletin.php?id=1638646&amp;type=1", "国联水产:创业板首发招股说明书（申报稿）")</f>
        <v>国联水产:创业板首发招股说明书（申报稿）</v>
      </c>
      <c r="D2416" t="s">
        <v>8781</v>
      </c>
      <c r="E2416" t="s">
        <v>5998</v>
      </c>
      <c r="F2416" t="s">
        <v>5450</v>
      </c>
    </row>
    <row r="2417" spans="1:6" x14ac:dyDescent="0.15">
      <c r="A2417" s="1">
        <v>40295</v>
      </c>
      <c r="B2417" t="s">
        <v>4017</v>
      </c>
      <c r="C2417" s="2" t="str">
        <f>HYPERLINK("http://snap.windin.com/ns/bulletin.php?id=1796486&amp;type=1", "奥克股份:招股说明书确认函")</f>
        <v>奥克股份:招股说明书确认函</v>
      </c>
      <c r="D2417" t="s">
        <v>8782</v>
      </c>
      <c r="E2417" t="s">
        <v>6051</v>
      </c>
      <c r="F2417" t="s">
        <v>6060</v>
      </c>
    </row>
    <row r="2418" spans="1:6" x14ac:dyDescent="0.15">
      <c r="A2418" s="1">
        <v>40295</v>
      </c>
      <c r="B2418" t="s">
        <v>4026</v>
      </c>
      <c r="C2418" s="2" t="str">
        <f>HYPERLINK("http://snap.windin.com/ns/bulletin.php?id=213220&amp;type=1", "陕鼓动力:首次公开发行股票招股说明书")</f>
        <v>陕鼓动力:首次公开发行股票招股说明书</v>
      </c>
      <c r="D2418" t="s">
        <v>8783</v>
      </c>
      <c r="E2418" t="s">
        <v>6061</v>
      </c>
      <c r="F2418" t="s">
        <v>399</v>
      </c>
    </row>
    <row r="2419" spans="1:6" x14ac:dyDescent="0.15">
      <c r="A2419" s="1">
        <v>40295</v>
      </c>
      <c r="B2419" t="s">
        <v>4027</v>
      </c>
      <c r="C2419" s="2" t="str">
        <f>HYPERLINK("http://snap.windin.com/ns/bulletin.php?id=554056&amp;type=1", "和而泰:首次公开发行股票招股说明书")</f>
        <v>和而泰:首次公开发行股票招股说明书</v>
      </c>
      <c r="D2419" t="s">
        <v>8784</v>
      </c>
      <c r="E2419" t="s">
        <v>6062</v>
      </c>
      <c r="F2419" t="s">
        <v>399</v>
      </c>
    </row>
    <row r="2420" spans="1:6" x14ac:dyDescent="0.15">
      <c r="A2420" s="1">
        <v>40295</v>
      </c>
      <c r="B2420" t="s">
        <v>3977</v>
      </c>
      <c r="C2420" s="2" t="str">
        <f>HYPERLINK("http://snap.windin.com/ns/bulletin.php?id=1934552&amp;type=1", "长城集团:创业板首发招股说明书（申报稿）")</f>
        <v>长城集团:创业板首发招股说明书（申报稿）</v>
      </c>
      <c r="D2420" t="s">
        <v>8785</v>
      </c>
      <c r="E2420" t="s">
        <v>6007</v>
      </c>
      <c r="F2420" t="s">
        <v>5450</v>
      </c>
    </row>
    <row r="2421" spans="1:6" x14ac:dyDescent="0.15">
      <c r="A2421" s="1">
        <v>40295</v>
      </c>
      <c r="B2421" t="s">
        <v>293</v>
      </c>
      <c r="C2421" s="2" t="str">
        <f>HYPERLINK("http://snap.windin.com/ns/bulletin.php?id=1780396&amp;type=1", "卫宁软件:创业板首发招股说明书（申报稿）")</f>
        <v>卫宁软件:创业板首发招股说明书（申报稿）</v>
      </c>
      <c r="D2421" t="s">
        <v>8786</v>
      </c>
      <c r="E2421" t="s">
        <v>780</v>
      </c>
      <c r="F2421" t="s">
        <v>5450</v>
      </c>
    </row>
    <row r="2422" spans="1:6" x14ac:dyDescent="0.15">
      <c r="A2422" s="1">
        <v>40295</v>
      </c>
      <c r="B2422" t="s">
        <v>4028</v>
      </c>
      <c r="C2422" s="2" t="str">
        <f>HYPERLINK("http://snap.windin.com/ns/bulletin.php?id=1501567&amp;type=1", "爱仕达:首次公开发行股票招股说明书")</f>
        <v>爱仕达:首次公开发行股票招股说明书</v>
      </c>
      <c r="D2422" t="s">
        <v>8787</v>
      </c>
      <c r="E2422" t="s">
        <v>6063</v>
      </c>
      <c r="F2422" t="s">
        <v>399</v>
      </c>
    </row>
    <row r="2423" spans="1:6" x14ac:dyDescent="0.15">
      <c r="A2423" s="1">
        <v>40295</v>
      </c>
      <c r="B2423" t="s">
        <v>3890</v>
      </c>
      <c r="C2423" s="2" t="str">
        <f>HYPERLINK("http://snap.windin.com/ns/bulletin.php?id=865031&amp;type=1", "汇川技术:创业板首发招股说明书（申报稿）")</f>
        <v>汇川技术:创业板首发招股说明书（申报稿）</v>
      </c>
      <c r="D2423" t="s">
        <v>8788</v>
      </c>
      <c r="E2423" t="s">
        <v>5914</v>
      </c>
      <c r="F2423" t="s">
        <v>5450</v>
      </c>
    </row>
    <row r="2424" spans="1:6" x14ac:dyDescent="0.15">
      <c r="A2424" s="1">
        <v>40295</v>
      </c>
      <c r="B2424" t="s">
        <v>4029</v>
      </c>
      <c r="C2424" s="2" t="str">
        <f>HYPERLINK("http://snap.windin.com/ns/bulletin.php?id=711924&amp;type=1", "嘉欣丝绸:首次公开发行股票招股说明书")</f>
        <v>嘉欣丝绸:首次公开发行股票招股说明书</v>
      </c>
      <c r="D2424" t="s">
        <v>8789</v>
      </c>
      <c r="E2424" t="s">
        <v>6064</v>
      </c>
      <c r="F2424" t="s">
        <v>399</v>
      </c>
    </row>
    <row r="2425" spans="1:6" x14ac:dyDescent="0.15">
      <c r="A2425" s="1">
        <v>40292</v>
      </c>
      <c r="B2425" t="s">
        <v>3920</v>
      </c>
      <c r="C2425" s="2" t="str">
        <f>HYPERLINK("http://snap.windin.com/ns/bulletin.php?id=2107798&amp;type=1", "金利科技:首发招股说明书（申报稿）")</f>
        <v>金利科技:首发招股说明书（申报稿）</v>
      </c>
      <c r="D2425" t="s">
        <v>8790</v>
      </c>
      <c r="E2425" t="s">
        <v>5945</v>
      </c>
      <c r="F2425" t="s">
        <v>5513</v>
      </c>
    </row>
    <row r="2426" spans="1:6" x14ac:dyDescent="0.15">
      <c r="A2426" s="1">
        <v>40292</v>
      </c>
      <c r="B2426" t="s">
        <v>3926</v>
      </c>
      <c r="C2426" s="2" t="str">
        <f>HYPERLINK("http://snap.windin.com/ns/bulletin.php?id=756354&amp;type=1", "际华集团:首次公开发行股票招股说明书（申报稿）")</f>
        <v>际华集团:首次公开发行股票招股说明书（申报稿）</v>
      </c>
      <c r="D2426" t="s">
        <v>8791</v>
      </c>
      <c r="E2426" t="s">
        <v>5951</v>
      </c>
      <c r="F2426" t="s">
        <v>5452</v>
      </c>
    </row>
    <row r="2427" spans="1:6" x14ac:dyDescent="0.15">
      <c r="A2427" s="1">
        <v>40291</v>
      </c>
      <c r="B2427" t="s">
        <v>4030</v>
      </c>
      <c r="C2427" s="2" t="str">
        <f>HYPERLINK("http://snap.windin.com/ns/bulletin.php?id=1689318&amp;type=1", "省广股份:首次公开发行股票招股说明书")</f>
        <v>省广股份:首次公开发行股票招股说明书</v>
      </c>
      <c r="D2427" t="s">
        <v>8792</v>
      </c>
      <c r="E2427" t="s">
        <v>6065</v>
      </c>
      <c r="F2427" t="s">
        <v>399</v>
      </c>
    </row>
    <row r="2428" spans="1:6" x14ac:dyDescent="0.15">
      <c r="A2428" s="1">
        <v>40291</v>
      </c>
      <c r="B2428" t="s">
        <v>3935</v>
      </c>
      <c r="C2428" s="2" t="str">
        <f>HYPERLINK("http://snap.windin.com/ns/bulletin.php?id=1753730&amp;type=1", "嘉事堂:首发招股说明书（申报稿）")</f>
        <v>嘉事堂:首发招股说明书（申报稿）</v>
      </c>
      <c r="D2428" t="s">
        <v>8793</v>
      </c>
      <c r="E2428" t="s">
        <v>5961</v>
      </c>
      <c r="F2428" t="s">
        <v>5513</v>
      </c>
    </row>
    <row r="2429" spans="1:6" x14ac:dyDescent="0.15">
      <c r="A2429" s="1">
        <v>40291</v>
      </c>
      <c r="B2429" t="s">
        <v>3969</v>
      </c>
      <c r="C2429" s="2" t="str">
        <f>HYPERLINK("http://snap.windin.com/ns/bulletin.php?id=184745&amp;type=1", "金刚玻璃:创业板首发招股说明书（申报稿）")</f>
        <v>金刚玻璃:创业板首发招股说明书（申报稿）</v>
      </c>
      <c r="D2429" t="s">
        <v>8794</v>
      </c>
      <c r="E2429" t="s">
        <v>5999</v>
      </c>
      <c r="F2429" t="s">
        <v>5450</v>
      </c>
    </row>
    <row r="2430" spans="1:6" x14ac:dyDescent="0.15">
      <c r="A2430" s="1">
        <v>40291</v>
      </c>
      <c r="B2430" t="s">
        <v>4031</v>
      </c>
      <c r="C2430" s="2" t="str">
        <f>HYPERLINK("http://snap.windin.com/ns/bulletin.php?id=87762&amp;type=1", "海普瑞:首次公开发行股票招股说明书")</f>
        <v>海普瑞:首次公开发行股票招股说明书</v>
      </c>
      <c r="D2430" t="s">
        <v>8795</v>
      </c>
      <c r="E2430" t="s">
        <v>6066</v>
      </c>
      <c r="F2430" t="s">
        <v>399</v>
      </c>
    </row>
    <row r="2431" spans="1:6" x14ac:dyDescent="0.15">
      <c r="A2431" s="1">
        <v>40291</v>
      </c>
      <c r="B2431" t="s">
        <v>4032</v>
      </c>
      <c r="C2431" s="2" t="str">
        <f>HYPERLINK("http://snap.windin.com/ns/bulletin.php?id=1256772&amp;type=1", "交技发展:首次公开发行股票招股说明书")</f>
        <v>交技发展:首次公开发行股票招股说明书</v>
      </c>
      <c r="D2431" t="s">
        <v>8796</v>
      </c>
      <c r="E2431" t="s">
        <v>6067</v>
      </c>
      <c r="F2431" t="s">
        <v>399</v>
      </c>
    </row>
    <row r="2432" spans="1:6" x14ac:dyDescent="0.15">
      <c r="A2432" s="1">
        <v>40291</v>
      </c>
      <c r="B2432" t="s">
        <v>4033</v>
      </c>
      <c r="C2432" s="2" t="str">
        <f>HYPERLINK("http://snap.windin.com/ns/bulletin.php?id=1245420&amp;type=1", "建研集团:首次公开发行股票招股说明书")</f>
        <v>建研集团:首次公开发行股票招股说明书</v>
      </c>
      <c r="D2432" t="s">
        <v>8797</v>
      </c>
      <c r="E2432" t="s">
        <v>6068</v>
      </c>
      <c r="F2432" t="s">
        <v>399</v>
      </c>
    </row>
    <row r="2433" spans="1:6" x14ac:dyDescent="0.15">
      <c r="A2433" s="1">
        <v>40291</v>
      </c>
      <c r="B2433" t="s">
        <v>3934</v>
      </c>
      <c r="C2433" s="2" t="str">
        <f>HYPERLINK("http://snap.windin.com/ns/bulletin.php?id=805111&amp;type=1", "沪电股份:首发招股说明书（申报稿）")</f>
        <v>沪电股份:首发招股说明书（申报稿）</v>
      </c>
      <c r="D2433" t="s">
        <v>8798</v>
      </c>
      <c r="E2433" t="s">
        <v>5960</v>
      </c>
      <c r="F2433" t="s">
        <v>5513</v>
      </c>
    </row>
    <row r="2434" spans="1:6" x14ac:dyDescent="0.15">
      <c r="A2434" s="1">
        <v>40291</v>
      </c>
      <c r="B2434" t="s">
        <v>3943</v>
      </c>
      <c r="C2434" s="2" t="str">
        <f>HYPERLINK("http://snap.windin.com/ns/bulletin.php?id=961185&amp;type=1", "尤洛卡:山东省尤洛卡自动化装备股份有限公司创业板首发招股说明书（申报稿）")</f>
        <v>尤洛卡:山东省尤洛卡自动化装备股份有限公司创业板首发招股说明书（申报稿）</v>
      </c>
      <c r="D2434" t="s">
        <v>8799</v>
      </c>
      <c r="E2434" t="s">
        <v>5970</v>
      </c>
      <c r="F2434" t="s">
        <v>6069</v>
      </c>
    </row>
    <row r="2435" spans="1:6" x14ac:dyDescent="0.15">
      <c r="A2435" s="1">
        <v>40288</v>
      </c>
      <c r="B2435" t="s">
        <v>3744</v>
      </c>
      <c r="C2435" s="2" t="str">
        <f>HYPERLINK("http://snap.windin.com/ns/bulletin.php?id=1720214&amp;type=1", "四方达:创业板首发招股说明书（申报稿）")</f>
        <v>四方达:创业板首发招股说明书（申报稿）</v>
      </c>
      <c r="D2435" t="s">
        <v>8800</v>
      </c>
      <c r="E2435" t="s">
        <v>5739</v>
      </c>
      <c r="F2435" t="s">
        <v>5450</v>
      </c>
    </row>
    <row r="2436" spans="1:6" x14ac:dyDescent="0.15">
      <c r="A2436" s="1">
        <v>40288</v>
      </c>
      <c r="B2436" t="s">
        <v>3909</v>
      </c>
      <c r="C2436" s="2" t="str">
        <f>HYPERLINK("http://snap.windin.com/ns/bulletin.php?id=1775604&amp;type=1", "二六三:首次公开发行股票招股说明书（申报稿）")</f>
        <v>二六三:首次公开发行股票招股说明书（申报稿）</v>
      </c>
      <c r="D2436" t="s">
        <v>8801</v>
      </c>
      <c r="E2436" t="s">
        <v>5934</v>
      </c>
      <c r="F2436" t="s">
        <v>5452</v>
      </c>
    </row>
    <row r="2437" spans="1:6" x14ac:dyDescent="0.15">
      <c r="A2437" s="1">
        <v>40288</v>
      </c>
      <c r="B2437" t="s">
        <v>4034</v>
      </c>
      <c r="C2437" s="2" t="str">
        <f>HYPERLINK("http://snap.windin.com/ns/bulletin.php?id=1303402&amp;type=1", "数码视讯:首次公开发行股票并在创业板上市招股说明书")</f>
        <v>数码视讯:首次公开发行股票并在创业板上市招股说明书</v>
      </c>
      <c r="D2437" t="s">
        <v>8802</v>
      </c>
      <c r="E2437" t="s">
        <v>6070</v>
      </c>
      <c r="F2437" t="s">
        <v>455</v>
      </c>
    </row>
    <row r="2438" spans="1:6" x14ac:dyDescent="0.15">
      <c r="A2438" s="1">
        <v>40288</v>
      </c>
      <c r="B2438" t="s">
        <v>55</v>
      </c>
      <c r="C2438" s="2" t="str">
        <f>HYPERLINK("http://snap.windin.com/ns/bulletin.php?id=1217787&amp;type=1", "郑煤机:首发招股说明书（申报稿）")</f>
        <v>郑煤机:首发招股说明书（申报稿）</v>
      </c>
      <c r="D2438" t="s">
        <v>8803</v>
      </c>
      <c r="E2438" t="s">
        <v>483</v>
      </c>
      <c r="F2438" t="s">
        <v>5513</v>
      </c>
    </row>
    <row r="2439" spans="1:6" x14ac:dyDescent="0.15">
      <c r="A2439" s="1">
        <v>40288</v>
      </c>
      <c r="B2439" t="s">
        <v>4035</v>
      </c>
      <c r="C2439" s="2" t="str">
        <f>HYPERLINK("http://snap.windin.com/ns/bulletin.php?id=681344&amp;type=1", "宁波GQY:首次公开发行股票并在创业板上市招股说明书")</f>
        <v>宁波GQY:首次公开发行股票并在创业板上市招股说明书</v>
      </c>
      <c r="D2439" t="s">
        <v>8804</v>
      </c>
      <c r="E2439" t="s">
        <v>6071</v>
      </c>
      <c r="F2439" t="s">
        <v>455</v>
      </c>
    </row>
    <row r="2440" spans="1:6" x14ac:dyDescent="0.15">
      <c r="A2440" s="1">
        <v>40288</v>
      </c>
      <c r="B2440" t="s">
        <v>3949</v>
      </c>
      <c r="C2440" s="2" t="str">
        <f>HYPERLINK("http://snap.windin.com/ns/bulletin.php?id=1932530&amp;type=1", "智云股份:创业板首发招股说明书（申报稿）")</f>
        <v>智云股份:创业板首发招股说明书（申报稿）</v>
      </c>
      <c r="D2440" t="s">
        <v>8805</v>
      </c>
      <c r="E2440" t="s">
        <v>5978</v>
      </c>
      <c r="F2440" t="s">
        <v>5450</v>
      </c>
    </row>
    <row r="2441" spans="1:6" x14ac:dyDescent="0.15">
      <c r="A2441" s="1">
        <v>40288</v>
      </c>
      <c r="B2441" t="s">
        <v>4036</v>
      </c>
      <c r="C2441" s="2" t="str">
        <f>HYPERLINK("http://snap.windin.com/ns/bulletin.php?id=1535157&amp;type=1", "国民技术:首次公开发行股票并在创业板上市招股说明书")</f>
        <v>国民技术:首次公开发行股票并在创业板上市招股说明书</v>
      </c>
      <c r="D2441" t="s">
        <v>8806</v>
      </c>
      <c r="E2441" t="s">
        <v>6072</v>
      </c>
      <c r="F2441" t="s">
        <v>455</v>
      </c>
    </row>
    <row r="2442" spans="1:6" x14ac:dyDescent="0.15">
      <c r="A2442" s="1">
        <v>40288</v>
      </c>
      <c r="B2442" t="s">
        <v>4037</v>
      </c>
      <c r="C2442" s="2" t="str">
        <f>HYPERLINK("http://snap.windin.com/ns/bulletin.php?id=1080106&amp;type=1", "中瑞思创:首次公开发行股票并在创业板上市招股说明书")</f>
        <v>中瑞思创:首次公开发行股票并在创业板上市招股说明书</v>
      </c>
      <c r="D2442" t="s">
        <v>8807</v>
      </c>
      <c r="E2442" t="s">
        <v>6073</v>
      </c>
      <c r="F2442" t="s">
        <v>455</v>
      </c>
    </row>
    <row r="2443" spans="1:6" x14ac:dyDescent="0.15">
      <c r="A2443" s="1">
        <v>40285</v>
      </c>
      <c r="B2443" t="s">
        <v>3956</v>
      </c>
      <c r="C2443" s="2" t="str">
        <f>HYPERLINK("http://snap.windin.com/ns/bulletin.php?id=1165459&amp;type=1", "天马精化:首发招股说明书（申报稿）")</f>
        <v>天马精化:首发招股说明书（申报稿）</v>
      </c>
      <c r="D2443" t="s">
        <v>8808</v>
      </c>
      <c r="E2443" t="s">
        <v>5986</v>
      </c>
      <c r="F2443" t="s">
        <v>5513</v>
      </c>
    </row>
    <row r="2444" spans="1:6" x14ac:dyDescent="0.15">
      <c r="A2444" s="1">
        <v>40285</v>
      </c>
      <c r="B2444" t="s">
        <v>3939</v>
      </c>
      <c r="C2444" s="2" t="str">
        <f>HYPERLINK("http://snap.windin.com/ns/bulletin.php?id=428409&amp;type=1", "赣锋锂业:首次公开发行股票招股说明书(申报稿)")</f>
        <v>赣锋锂业:首次公开发行股票招股说明书(申报稿)</v>
      </c>
      <c r="D2444" t="s">
        <v>8809</v>
      </c>
      <c r="E2444" t="s">
        <v>5966</v>
      </c>
      <c r="F2444" t="s">
        <v>5466</v>
      </c>
    </row>
    <row r="2445" spans="1:6" x14ac:dyDescent="0.15">
      <c r="A2445" s="1">
        <v>40285</v>
      </c>
      <c r="B2445" t="s">
        <v>3955</v>
      </c>
      <c r="C2445" s="2" t="str">
        <f>HYPERLINK("http://snap.windin.com/ns/bulletin.php?id=1457192&amp;type=1", "长高集团:首发招股说明书（申报稿）")</f>
        <v>长高集团:首发招股说明书（申报稿）</v>
      </c>
      <c r="D2445" t="s">
        <v>8810</v>
      </c>
      <c r="E2445" t="s">
        <v>5985</v>
      </c>
      <c r="F2445" t="s">
        <v>5513</v>
      </c>
    </row>
    <row r="2446" spans="1:6" x14ac:dyDescent="0.15">
      <c r="A2446" s="1">
        <v>40285</v>
      </c>
      <c r="B2446" t="s">
        <v>4010</v>
      </c>
      <c r="C2446" s="2" t="str">
        <f>HYPERLINK("http://snap.windin.com/ns/bulletin.php?id=850696&amp;type=1", "银之杰:创业板首发招股说明书（申报稿）")</f>
        <v>银之杰:创业板首发招股说明书（申报稿）</v>
      </c>
      <c r="D2446" t="s">
        <v>8811</v>
      </c>
      <c r="E2446" t="s">
        <v>6043</v>
      </c>
      <c r="F2446" t="s">
        <v>5450</v>
      </c>
    </row>
    <row r="2447" spans="1:6" x14ac:dyDescent="0.15">
      <c r="A2447" s="1">
        <v>40285</v>
      </c>
      <c r="B2447" t="s">
        <v>3957</v>
      </c>
      <c r="C2447" s="2" t="str">
        <f>HYPERLINK("http://snap.windin.com/ns/bulletin.php?id=988075&amp;type=1", "松芝股份:首发招股说明书（申报稿）")</f>
        <v>松芝股份:首发招股说明书（申报稿）</v>
      </c>
      <c r="D2447" t="s">
        <v>8812</v>
      </c>
      <c r="E2447" t="s">
        <v>5987</v>
      </c>
      <c r="F2447" t="s">
        <v>5513</v>
      </c>
    </row>
    <row r="2448" spans="1:6" x14ac:dyDescent="0.15">
      <c r="A2448" s="1">
        <v>40284</v>
      </c>
      <c r="B2448" t="s">
        <v>3960</v>
      </c>
      <c r="C2448" s="2" t="str">
        <f>HYPERLINK("http://snap.windin.com/ns/bulletin.php?id=1855388&amp;type=1", "唐山港:首发招股说明书（申报稿）")</f>
        <v>唐山港:首发招股说明书（申报稿）</v>
      </c>
      <c r="D2448" t="s">
        <v>8813</v>
      </c>
      <c r="E2448" t="s">
        <v>5990</v>
      </c>
      <c r="F2448" t="s">
        <v>5513</v>
      </c>
    </row>
    <row r="2449" spans="1:6" x14ac:dyDescent="0.15">
      <c r="A2449" s="1">
        <v>40284</v>
      </c>
      <c r="B2449" t="s">
        <v>4038</v>
      </c>
      <c r="C2449" s="2" t="str">
        <f>HYPERLINK("http://snap.windin.com/ns/bulletin.php?id=1796875&amp;type=1", "梦洁家纺:首次公开发行股票招股说明书")</f>
        <v>梦洁家纺:首次公开发行股票招股说明书</v>
      </c>
      <c r="D2449" t="s">
        <v>8814</v>
      </c>
      <c r="E2449" t="s">
        <v>6074</v>
      </c>
      <c r="F2449" t="s">
        <v>399</v>
      </c>
    </row>
    <row r="2450" spans="1:6" x14ac:dyDescent="0.15">
      <c r="A2450" s="1">
        <v>40284</v>
      </c>
      <c r="B2450" t="s">
        <v>4039</v>
      </c>
      <c r="C2450" s="2" t="str">
        <f>HYPERLINK("http://snap.windin.com/ns/bulletin.php?id=1608007&amp;type=1", "双象股份:首次公开发行股票招股说明书")</f>
        <v>双象股份:首次公开发行股票招股说明书</v>
      </c>
      <c r="D2450" t="s">
        <v>8815</v>
      </c>
      <c r="E2450" t="s">
        <v>6075</v>
      </c>
      <c r="F2450" t="s">
        <v>399</v>
      </c>
    </row>
    <row r="2451" spans="1:6" x14ac:dyDescent="0.15">
      <c r="A2451" s="1">
        <v>40281</v>
      </c>
      <c r="B2451" t="s">
        <v>3797</v>
      </c>
      <c r="C2451" s="2" t="str">
        <f>HYPERLINK("http://snap.windin.com/ns/bulletin.php?id=144509&amp;type=1", "海源机械:首发招股说明书（申报稿）")</f>
        <v>海源机械:首发招股说明书（申报稿）</v>
      </c>
      <c r="D2451" t="s">
        <v>8816</v>
      </c>
      <c r="E2451" t="s">
        <v>5799</v>
      </c>
      <c r="F2451" t="s">
        <v>5513</v>
      </c>
    </row>
    <row r="2452" spans="1:6" x14ac:dyDescent="0.15">
      <c r="A2452" s="1">
        <v>40281</v>
      </c>
      <c r="B2452" t="s">
        <v>4040</v>
      </c>
      <c r="C2452" s="2" t="str">
        <f>HYPERLINK("http://snap.windin.com/ns/bulletin.php?id=1357428&amp;type=1", "三聚环保:首次公开发行股票并在创业板上市招股说明书")</f>
        <v>三聚环保:首次公开发行股票并在创业板上市招股说明书</v>
      </c>
      <c r="D2452" t="s">
        <v>8817</v>
      </c>
      <c r="E2452" t="s">
        <v>6076</v>
      </c>
      <c r="F2452" t="s">
        <v>455</v>
      </c>
    </row>
    <row r="2453" spans="1:6" x14ac:dyDescent="0.15">
      <c r="A2453" s="1">
        <v>40281</v>
      </c>
      <c r="B2453" t="s">
        <v>3951</v>
      </c>
      <c r="C2453" s="2" t="str">
        <f>HYPERLINK("http://snap.windin.com/ns/bulletin.php?id=464797&amp;type=1", "易联众:创业板首发招股说明书（申报稿）")</f>
        <v>易联众:创业板首发招股说明书（申报稿）</v>
      </c>
      <c r="D2453" t="s">
        <v>8818</v>
      </c>
      <c r="E2453" t="s">
        <v>5980</v>
      </c>
      <c r="F2453" t="s">
        <v>5450</v>
      </c>
    </row>
    <row r="2454" spans="1:6" x14ac:dyDescent="0.15">
      <c r="A2454" s="1">
        <v>40281</v>
      </c>
      <c r="B2454" t="s">
        <v>4041</v>
      </c>
      <c r="C2454" s="2" t="str">
        <f>HYPERLINK("http://snap.windin.com/ns/bulletin.php?id=521307&amp;type=1", "数字政通:首次公开发行股票并在创业板上市招股说明书")</f>
        <v>数字政通:首次公开发行股票并在创业板上市招股说明书</v>
      </c>
      <c r="D2454" t="s">
        <v>8819</v>
      </c>
      <c r="E2454" t="s">
        <v>6077</v>
      </c>
      <c r="F2454" t="s">
        <v>455</v>
      </c>
    </row>
    <row r="2455" spans="1:6" x14ac:dyDescent="0.15">
      <c r="A2455" s="1">
        <v>40281</v>
      </c>
      <c r="B2455" t="s">
        <v>4011</v>
      </c>
      <c r="C2455" s="2" t="str">
        <f>HYPERLINK("http://snap.windin.com/ns/bulletin.php?id=2112359&amp;type=1", "长信科技:创业板首发招股说明书（申报稿）")</f>
        <v>长信科技:创业板首发招股说明书（申报稿）</v>
      </c>
      <c r="D2455" t="s">
        <v>8820</v>
      </c>
      <c r="E2455" t="s">
        <v>6044</v>
      </c>
      <c r="F2455" t="s">
        <v>5450</v>
      </c>
    </row>
    <row r="2456" spans="1:6" x14ac:dyDescent="0.15">
      <c r="A2456" s="1">
        <v>40281</v>
      </c>
      <c r="B2456" t="s">
        <v>3945</v>
      </c>
      <c r="C2456" s="2" t="str">
        <f>HYPERLINK("http://snap.windin.com/ns/bulletin.php?id=2060577&amp;type=1", "青龙管业:首发招股说明书（申报稿）")</f>
        <v>青龙管业:首发招股说明书（申报稿）</v>
      </c>
      <c r="D2456" t="s">
        <v>8821</v>
      </c>
      <c r="E2456" t="s">
        <v>5972</v>
      </c>
      <c r="F2456" t="s">
        <v>5513</v>
      </c>
    </row>
    <row r="2457" spans="1:6" x14ac:dyDescent="0.15">
      <c r="A2457" s="1">
        <v>40281</v>
      </c>
      <c r="B2457" t="s">
        <v>4042</v>
      </c>
      <c r="C2457" s="2" t="str">
        <f>HYPERLINK("http://snap.windin.com/ns/bulletin.php?id=1839250&amp;type=1", "联发股份:首次公开发行股票招股说明书")</f>
        <v>联发股份:首次公开发行股票招股说明书</v>
      </c>
      <c r="D2457" t="s">
        <v>8822</v>
      </c>
      <c r="E2457" t="s">
        <v>6078</v>
      </c>
      <c r="F2457" t="s">
        <v>399</v>
      </c>
    </row>
    <row r="2458" spans="1:6" x14ac:dyDescent="0.15">
      <c r="A2458" s="1">
        <v>40281</v>
      </c>
      <c r="B2458" t="s">
        <v>4042</v>
      </c>
      <c r="C2458" s="2" t="str">
        <f>HYPERLINK("http://snap.windin.com/ns/bulletin.php?id=1485239&amp;type=1", "联发股份:首次公开发行股票招股说明书")</f>
        <v>联发股份:首次公开发行股票招股说明书</v>
      </c>
      <c r="D2458" t="s">
        <v>8823</v>
      </c>
      <c r="E2458" t="s">
        <v>6078</v>
      </c>
      <c r="F2458" t="s">
        <v>399</v>
      </c>
    </row>
    <row r="2459" spans="1:6" x14ac:dyDescent="0.15">
      <c r="A2459" s="1">
        <v>40281</v>
      </c>
      <c r="B2459" t="s">
        <v>249</v>
      </c>
      <c r="C2459" s="2" t="str">
        <f>HYPERLINK("http://snap.windin.com/ns/bulletin.php?id=1528038&amp;type=1", "开能环保:创业板首发招股说明书（申报稿）")</f>
        <v>开能环保:创业板首发招股说明书（申报稿）</v>
      </c>
      <c r="D2459" t="s">
        <v>8824</v>
      </c>
      <c r="E2459" t="s">
        <v>730</v>
      </c>
      <c r="F2459" t="s">
        <v>5450</v>
      </c>
    </row>
    <row r="2460" spans="1:6" x14ac:dyDescent="0.15">
      <c r="A2460" s="1">
        <v>40281</v>
      </c>
      <c r="B2460" t="s">
        <v>3979</v>
      </c>
      <c r="C2460" s="2" t="str">
        <f>HYPERLINK("http://snap.windin.com/ns/bulletin.php?id=930890&amp;type=1", "盛运股份:创业板首发招股说明书（申报稿）")</f>
        <v>盛运股份:创业板首发招股说明书（申报稿）</v>
      </c>
      <c r="D2460" t="s">
        <v>8825</v>
      </c>
      <c r="E2460" t="s">
        <v>6009</v>
      </c>
      <c r="F2460" t="s">
        <v>5450</v>
      </c>
    </row>
    <row r="2461" spans="1:6" x14ac:dyDescent="0.15">
      <c r="A2461" s="1">
        <v>40281</v>
      </c>
      <c r="B2461" t="s">
        <v>4043</v>
      </c>
      <c r="C2461" s="2" t="str">
        <f>HYPERLINK("http://snap.windin.com/ns/bulletin.php?id=1298354&amp;type=1", "当升科技:首次公开发行股票并在创业板上市招股说明书")</f>
        <v>当升科技:首次公开发行股票并在创业板上市招股说明书</v>
      </c>
      <c r="D2461" t="s">
        <v>8826</v>
      </c>
      <c r="E2461" t="s">
        <v>6079</v>
      </c>
      <c r="F2461" t="s">
        <v>455</v>
      </c>
    </row>
    <row r="2462" spans="1:6" x14ac:dyDescent="0.15">
      <c r="A2462" s="1">
        <v>40281</v>
      </c>
      <c r="B2462" t="s">
        <v>4044</v>
      </c>
      <c r="C2462" s="2" t="str">
        <f>HYPERLINK("http://snap.windin.com/ns/bulletin.php?id=1025963&amp;type=1", "华平股份:首次公开发行股票并在创业板上市招股说明书")</f>
        <v>华平股份:首次公开发行股票并在创业板上市招股说明书</v>
      </c>
      <c r="D2462" t="s">
        <v>8827</v>
      </c>
      <c r="E2462" t="s">
        <v>6080</v>
      </c>
      <c r="F2462" t="s">
        <v>455</v>
      </c>
    </row>
    <row r="2463" spans="1:6" x14ac:dyDescent="0.15">
      <c r="A2463" s="1">
        <v>40280</v>
      </c>
      <c r="B2463" t="s">
        <v>4045</v>
      </c>
      <c r="C2463" s="2" t="str">
        <f>HYPERLINK("http://snap.windin.com/ns/bulletin.php?id=1427174&amp;type=1", "力生制药:首次公开发行股票招股说明书")</f>
        <v>力生制药:首次公开发行股票招股说明书</v>
      </c>
      <c r="D2463" t="s">
        <v>8828</v>
      </c>
      <c r="E2463" t="s">
        <v>6081</v>
      </c>
      <c r="F2463" t="s">
        <v>399</v>
      </c>
    </row>
    <row r="2464" spans="1:6" x14ac:dyDescent="0.15">
      <c r="A2464" s="1">
        <v>40280</v>
      </c>
      <c r="B2464" t="s">
        <v>4046</v>
      </c>
      <c r="C2464" s="2" t="str">
        <f>HYPERLINK("http://snap.windin.com/ns/bulletin.php?id=756019&amp;type=1", "北京利尔:首次公开发行股票招股说明书")</f>
        <v>北京利尔:首次公开发行股票招股说明书</v>
      </c>
      <c r="D2464" t="s">
        <v>8829</v>
      </c>
      <c r="E2464" t="s">
        <v>6082</v>
      </c>
      <c r="F2464" t="s">
        <v>399</v>
      </c>
    </row>
    <row r="2465" spans="1:6" x14ac:dyDescent="0.15">
      <c r="A2465" s="1">
        <v>40278</v>
      </c>
      <c r="B2465" t="s">
        <v>3776</v>
      </c>
      <c r="C2465" s="2" t="str">
        <f>HYPERLINK("http://snap.windin.com/ns/bulletin.php?id=70884&amp;type=1", "四方股份:首发招股说明书(申报稿)")</f>
        <v>四方股份:首发招股说明书(申报稿)</v>
      </c>
      <c r="D2465" t="s">
        <v>8830</v>
      </c>
      <c r="E2465" t="s">
        <v>5775</v>
      </c>
      <c r="F2465" t="s">
        <v>5523</v>
      </c>
    </row>
    <row r="2466" spans="1:6" x14ac:dyDescent="0.15">
      <c r="A2466" s="1">
        <v>40278</v>
      </c>
      <c r="B2466" t="s">
        <v>3954</v>
      </c>
      <c r="C2466" s="2" t="str">
        <f>HYPERLINK("http://snap.windin.com/ns/bulletin.php?id=1426088&amp;type=1", "摩恩电气:首发招股说明书（申报稿）")</f>
        <v>摩恩电气:首发招股说明书（申报稿）</v>
      </c>
      <c r="D2466" t="s">
        <v>8831</v>
      </c>
      <c r="E2466" t="s">
        <v>5984</v>
      </c>
      <c r="F2466" t="s">
        <v>5513</v>
      </c>
    </row>
    <row r="2467" spans="1:6" x14ac:dyDescent="0.15">
      <c r="A2467" s="1">
        <v>40277</v>
      </c>
      <c r="B2467" t="s">
        <v>3940</v>
      </c>
      <c r="C2467" s="2" t="str">
        <f>HYPERLINK("http://snap.windin.com/ns/bulletin.php?id=1300415&amp;type=1", "益生股份:首发招股说明书（申报稿）")</f>
        <v>益生股份:首发招股说明书（申报稿）</v>
      </c>
      <c r="D2467" t="s">
        <v>8832</v>
      </c>
      <c r="E2467" t="s">
        <v>5967</v>
      </c>
      <c r="F2467" t="s">
        <v>5513</v>
      </c>
    </row>
    <row r="2468" spans="1:6" x14ac:dyDescent="0.15">
      <c r="A2468" s="1">
        <v>40275</v>
      </c>
      <c r="B2468" t="s">
        <v>4047</v>
      </c>
      <c r="C2468" s="2" t="str">
        <f>HYPERLINK("http://snap.windin.com/ns/bulletin.php?id=1604179&amp;type=1", "碧水源:首次公开发行股票并在创业板上市招股说明书")</f>
        <v>碧水源:首次公开发行股票并在创业板上市招股说明书</v>
      </c>
      <c r="D2468" t="s">
        <v>8833</v>
      </c>
      <c r="E2468" t="s">
        <v>6083</v>
      </c>
      <c r="F2468" t="s">
        <v>455</v>
      </c>
    </row>
    <row r="2469" spans="1:6" x14ac:dyDescent="0.15">
      <c r="A2469" s="1">
        <v>40275</v>
      </c>
      <c r="B2469" t="s">
        <v>4048</v>
      </c>
      <c r="C2469" s="2" t="str">
        <f>HYPERLINK("http://snap.windin.com/ns/bulletin.php?id=1393532&amp;type=1", "金利华电:首次公开发行股票并在创业板上市招股说明书")</f>
        <v>金利华电:首次公开发行股票并在创业板上市招股说明书</v>
      </c>
      <c r="D2469" t="s">
        <v>8834</v>
      </c>
      <c r="E2469" t="s">
        <v>6084</v>
      </c>
      <c r="F2469" t="s">
        <v>455</v>
      </c>
    </row>
    <row r="2470" spans="1:6" x14ac:dyDescent="0.15">
      <c r="A2470" s="1">
        <v>40275</v>
      </c>
      <c r="B2470" t="s">
        <v>4049</v>
      </c>
      <c r="C2470" s="2" t="str">
        <f>HYPERLINK("http://snap.windin.com/ns/bulletin.php?id=1549951&amp;type=1", "安诺其:首次公开发行股票并在创业板上市招股说明书")</f>
        <v>安诺其:首次公开发行股票并在创业板上市招股说明书</v>
      </c>
      <c r="D2470" t="s">
        <v>8835</v>
      </c>
      <c r="E2470" t="s">
        <v>6085</v>
      </c>
      <c r="F2470" t="s">
        <v>455</v>
      </c>
    </row>
    <row r="2471" spans="1:6" x14ac:dyDescent="0.15">
      <c r="A2471" s="1">
        <v>40275</v>
      </c>
      <c r="B2471" t="s">
        <v>4050</v>
      </c>
      <c r="C2471" s="2" t="str">
        <f>HYPERLINK("http://snap.windin.com/ns/bulletin.php?id=1282431&amp;type=1", "南都电源:首次公开发行股票并在创业板上市招股说明书")</f>
        <v>南都电源:首次公开发行股票并在创业板上市招股说明书</v>
      </c>
      <c r="D2471" t="s">
        <v>8836</v>
      </c>
      <c r="E2471" t="s">
        <v>6086</v>
      </c>
      <c r="F2471" t="s">
        <v>455</v>
      </c>
    </row>
    <row r="2472" spans="1:6" x14ac:dyDescent="0.15">
      <c r="A2472" s="1">
        <v>40275</v>
      </c>
      <c r="B2472" t="s">
        <v>4051</v>
      </c>
      <c r="C2472" s="2" t="str">
        <f>HYPERLINK("http://snap.windin.com/ns/bulletin.php?id=811549&amp;type=1", "华谊嘉信:首次公开发行股票并在创业板上市招股说明书")</f>
        <v>华谊嘉信:首次公开发行股票并在创业板上市招股说明书</v>
      </c>
      <c r="D2472" t="s">
        <v>8837</v>
      </c>
      <c r="E2472" t="s">
        <v>6087</v>
      </c>
      <c r="F2472" t="s">
        <v>455</v>
      </c>
    </row>
    <row r="2473" spans="1:6" x14ac:dyDescent="0.15">
      <c r="A2473" s="1">
        <v>40271</v>
      </c>
      <c r="B2473" t="s">
        <v>3961</v>
      </c>
      <c r="C2473" s="2" t="str">
        <f>HYPERLINK("http://snap.windin.com/ns/bulletin.php?id=1385412&amp;type=1", "中原内配:首发招股说明书(申报稿)")</f>
        <v>中原内配:首发招股说明书(申报稿)</v>
      </c>
      <c r="D2473" t="s">
        <v>8838</v>
      </c>
      <c r="E2473" t="s">
        <v>5991</v>
      </c>
      <c r="F2473" t="s">
        <v>5523</v>
      </c>
    </row>
    <row r="2474" spans="1:6" x14ac:dyDescent="0.15">
      <c r="A2474" s="1">
        <v>40271</v>
      </c>
      <c r="B2474" t="s">
        <v>3962</v>
      </c>
      <c r="C2474" s="2" t="str">
        <f>HYPERLINK("http://snap.windin.com/ns/bulletin.php?id=1623513&amp;type=1", "康得新:首发招股说明书（申报稿）")</f>
        <v>康得新:首发招股说明书（申报稿）</v>
      </c>
      <c r="D2474" t="s">
        <v>8839</v>
      </c>
      <c r="E2474" t="s">
        <v>5992</v>
      </c>
      <c r="F2474" t="s">
        <v>5513</v>
      </c>
    </row>
    <row r="2475" spans="1:6" x14ac:dyDescent="0.15">
      <c r="A2475" s="1">
        <v>40271</v>
      </c>
      <c r="B2475" t="s">
        <v>3978</v>
      </c>
      <c r="C2475" s="2" t="str">
        <f>HYPERLINK("http://snap.windin.com/ns/bulletin.php?id=1501897&amp;type=1", "金通灵:江苏金通灵风机股份有限公司创业板首发招股说明书（申报稿）")</f>
        <v>金通灵:江苏金通灵风机股份有限公司创业板首发招股说明书（申报稿）</v>
      </c>
      <c r="D2475" t="s">
        <v>8840</v>
      </c>
      <c r="E2475" t="s">
        <v>6008</v>
      </c>
      <c r="F2475" t="s">
        <v>6088</v>
      </c>
    </row>
    <row r="2476" spans="1:6" x14ac:dyDescent="0.15">
      <c r="A2476" s="1">
        <v>40271</v>
      </c>
      <c r="B2476" t="s">
        <v>4021</v>
      </c>
      <c r="C2476" s="2" t="str">
        <f>HYPERLINK("http://snap.windin.com/ns/bulletin.php?id=943551&amp;type=1", "恒信移动:创业板首发招股说明书（申报稿）")</f>
        <v>恒信移动:创业板首发招股说明书（申报稿）</v>
      </c>
      <c r="D2476" t="s">
        <v>8841</v>
      </c>
      <c r="E2476" t="s">
        <v>6055</v>
      </c>
      <c r="F2476" t="s">
        <v>5450</v>
      </c>
    </row>
    <row r="2477" spans="1:6" x14ac:dyDescent="0.15">
      <c r="A2477" s="1">
        <v>40270</v>
      </c>
      <c r="B2477" t="s">
        <v>4052</v>
      </c>
      <c r="C2477" s="2" t="str">
        <f>HYPERLINK("http://snap.windin.com/ns/bulletin.php?id=1697834&amp;type=1", "信邦制药:首次公开发行股票招股说明书")</f>
        <v>信邦制药:首次公开发行股票招股说明书</v>
      </c>
      <c r="D2477" t="s">
        <v>8842</v>
      </c>
      <c r="E2477" t="s">
        <v>6089</v>
      </c>
      <c r="F2477" t="s">
        <v>399</v>
      </c>
    </row>
    <row r="2478" spans="1:6" x14ac:dyDescent="0.15">
      <c r="A2478" s="1">
        <v>40270</v>
      </c>
      <c r="B2478" t="s">
        <v>4026</v>
      </c>
      <c r="C2478" s="2" t="str">
        <f>HYPERLINK("http://snap.windin.com/ns/bulletin.php?id=416482&amp;type=1", "陕鼓动力:首次公开发行股票招股说明书附录")</f>
        <v>陕鼓动力:首次公开发行股票招股说明书附录</v>
      </c>
      <c r="D2478" t="s">
        <v>8843</v>
      </c>
      <c r="E2478" t="s">
        <v>6061</v>
      </c>
      <c r="F2478" t="s">
        <v>6090</v>
      </c>
    </row>
    <row r="2479" spans="1:6" x14ac:dyDescent="0.15">
      <c r="A2479" s="1">
        <v>40270</v>
      </c>
      <c r="B2479" t="s">
        <v>4026</v>
      </c>
      <c r="C2479" s="2" t="str">
        <f>HYPERLINK("http://snap.windin.com/ns/bulletin.php?id=1513917&amp;type=1", "陕鼓动力:首次公开发行股票招股说明书")</f>
        <v>陕鼓动力:首次公开发行股票招股说明书</v>
      </c>
      <c r="D2479" t="s">
        <v>8844</v>
      </c>
      <c r="E2479" t="s">
        <v>6061</v>
      </c>
      <c r="F2479" t="s">
        <v>399</v>
      </c>
    </row>
    <row r="2480" spans="1:6" x14ac:dyDescent="0.15">
      <c r="A2480" s="1">
        <v>40270</v>
      </c>
      <c r="B2480" t="s">
        <v>4053</v>
      </c>
      <c r="C2480" s="2" t="str">
        <f>HYPERLINK("http://snap.windin.com/ns/bulletin.php?id=1022018&amp;type=1", "长青股份:首次公开发行股票招股说明书")</f>
        <v>长青股份:首次公开发行股票招股说明书</v>
      </c>
      <c r="D2480" t="s">
        <v>8845</v>
      </c>
      <c r="E2480" t="s">
        <v>6091</v>
      </c>
      <c r="F2480" t="s">
        <v>399</v>
      </c>
    </row>
    <row r="2481" spans="1:6" x14ac:dyDescent="0.15">
      <c r="A2481" s="1">
        <v>40267</v>
      </c>
      <c r="B2481" t="s">
        <v>3942</v>
      </c>
      <c r="C2481" s="2" t="str">
        <f>HYPERLINK("http://snap.windin.com/ns/bulletin.php?id=210061&amp;type=1", "国腾电子:创业板首发招股说明书（申报稿）")</f>
        <v>国腾电子:创业板首发招股说明书（申报稿）</v>
      </c>
      <c r="D2481" t="s">
        <v>8846</v>
      </c>
      <c r="E2481" t="s">
        <v>5969</v>
      </c>
      <c r="F2481" t="s">
        <v>5450</v>
      </c>
    </row>
    <row r="2482" spans="1:6" x14ac:dyDescent="0.15">
      <c r="A2482" s="1">
        <v>40267</v>
      </c>
      <c r="B2482" t="s">
        <v>4054</v>
      </c>
      <c r="C2482" s="2" t="str">
        <f>HYPERLINK("http://snap.windin.com/ns/bulletin.php?id=1327406&amp;type=1", "南洋科技:首次公开发行股票招股说明书")</f>
        <v>南洋科技:首次公开发行股票招股说明书</v>
      </c>
      <c r="D2482" t="s">
        <v>8847</v>
      </c>
      <c r="E2482" t="s">
        <v>6092</v>
      </c>
      <c r="F2482" t="s">
        <v>399</v>
      </c>
    </row>
    <row r="2483" spans="1:6" x14ac:dyDescent="0.15">
      <c r="A2483" s="1">
        <v>40267</v>
      </c>
      <c r="B2483" t="s">
        <v>4055</v>
      </c>
      <c r="C2483" s="2" t="str">
        <f>HYPERLINK("http://snap.windin.com/ns/bulletin.php?id=2043775&amp;type=1", "昊华能源:首次公开发行股票招股说明书")</f>
        <v>昊华能源:首次公开发行股票招股说明书</v>
      </c>
      <c r="D2483" t="s">
        <v>8848</v>
      </c>
      <c r="E2483" t="s">
        <v>6093</v>
      </c>
      <c r="F2483" t="s">
        <v>399</v>
      </c>
    </row>
    <row r="2484" spans="1:6" x14ac:dyDescent="0.15">
      <c r="A2484" s="1">
        <v>40267</v>
      </c>
      <c r="B2484" t="s">
        <v>3766</v>
      </c>
      <c r="C2484" s="2" t="str">
        <f>HYPERLINK("http://snap.windin.com/ns/bulletin.php?id=1861542&amp;type=1", "海南橡胶:首发招股说明书（申报稿）")</f>
        <v>海南橡胶:首发招股说明书（申报稿）</v>
      </c>
      <c r="D2484" t="s">
        <v>8849</v>
      </c>
      <c r="E2484" t="s">
        <v>5765</v>
      </c>
      <c r="F2484" t="s">
        <v>5513</v>
      </c>
    </row>
    <row r="2485" spans="1:6" x14ac:dyDescent="0.15">
      <c r="A2485" s="1">
        <v>40267</v>
      </c>
      <c r="B2485" t="s">
        <v>4056</v>
      </c>
      <c r="C2485" s="2" t="str">
        <f>HYPERLINK("http://snap.windin.com/ns/bulletin.php?id=1788467&amp;type=1", "黑牛食品:首次公开发行股票招股说明书")</f>
        <v>黑牛食品:首次公开发行股票招股说明书</v>
      </c>
      <c r="D2485" t="s">
        <v>8850</v>
      </c>
      <c r="E2485" t="s">
        <v>6094</v>
      </c>
      <c r="F2485" t="s">
        <v>399</v>
      </c>
    </row>
    <row r="2486" spans="1:6" x14ac:dyDescent="0.15">
      <c r="A2486" s="1">
        <v>40267</v>
      </c>
      <c r="B2486" t="s">
        <v>4012</v>
      </c>
      <c r="C2486" s="2" t="str">
        <f>HYPERLINK("http://snap.windin.com/ns/bulletin.php?id=1044911&amp;type=1", "康芝药业:创业板首发招股说明书（申报稿）")</f>
        <v>康芝药业:创业板首发招股说明书（申报稿）</v>
      </c>
      <c r="D2486" t="s">
        <v>8851</v>
      </c>
      <c r="E2486" t="s">
        <v>6045</v>
      </c>
      <c r="F2486" t="s">
        <v>5450</v>
      </c>
    </row>
    <row r="2487" spans="1:6" x14ac:dyDescent="0.15">
      <c r="A2487" s="1">
        <v>40267</v>
      </c>
      <c r="B2487" t="s">
        <v>3958</v>
      </c>
      <c r="C2487" s="2" t="str">
        <f>HYPERLINK("http://snap.windin.com/ns/bulletin.php?id=1099855&amp;type=1", "国星光电:首发招股说明书（申报稿）")</f>
        <v>国星光电:首发招股说明书（申报稿）</v>
      </c>
      <c r="D2487" t="s">
        <v>8852</v>
      </c>
      <c r="E2487" t="s">
        <v>5988</v>
      </c>
      <c r="F2487" t="s">
        <v>5513</v>
      </c>
    </row>
    <row r="2488" spans="1:6" x14ac:dyDescent="0.15">
      <c r="A2488" s="1">
        <v>40267</v>
      </c>
      <c r="B2488" t="s">
        <v>4057</v>
      </c>
      <c r="C2488" s="2" t="str">
        <f>HYPERLINK("http://snap.windin.com/ns/bulletin.php?id=833834&amp;type=1", "新亚制程:首次公开发行股票招股说明书")</f>
        <v>新亚制程:首次公开发行股票招股说明书</v>
      </c>
      <c r="D2488" t="s">
        <v>8853</v>
      </c>
      <c r="E2488" t="s">
        <v>6095</v>
      </c>
      <c r="F2488" t="s">
        <v>399</v>
      </c>
    </row>
    <row r="2489" spans="1:6" x14ac:dyDescent="0.15">
      <c r="A2489" s="1">
        <v>40264</v>
      </c>
      <c r="B2489" t="s">
        <v>3965</v>
      </c>
      <c r="C2489" s="2" t="str">
        <f>HYPERLINK("http://snap.windin.com/ns/bulletin.php?id=485385&amp;type=1", "中南重工:首发招股说明书（申报稿）")</f>
        <v>中南重工:首发招股说明书（申报稿）</v>
      </c>
      <c r="D2489" t="s">
        <v>8854</v>
      </c>
      <c r="E2489" t="s">
        <v>5995</v>
      </c>
      <c r="F2489" t="s">
        <v>5513</v>
      </c>
    </row>
    <row r="2490" spans="1:6" x14ac:dyDescent="0.15">
      <c r="A2490" s="1">
        <v>40264</v>
      </c>
      <c r="B2490" t="s">
        <v>324</v>
      </c>
      <c r="C2490" s="2" t="str">
        <f>HYPERLINK("http://snap.windin.com/ns/bulletin.php?id=1512647&amp;type=1", "冠昊生物:创业板首发招股说明书（申报稿）")</f>
        <v>冠昊生物:创业板首发招股说明书（申报稿）</v>
      </c>
      <c r="D2490" t="s">
        <v>8855</v>
      </c>
      <c r="E2490" t="s">
        <v>817</v>
      </c>
      <c r="F2490" t="s">
        <v>5450</v>
      </c>
    </row>
    <row r="2491" spans="1:6" x14ac:dyDescent="0.15">
      <c r="A2491" s="1">
        <v>40264</v>
      </c>
      <c r="B2491" t="s">
        <v>3919</v>
      </c>
      <c r="C2491" s="2" t="str">
        <f>HYPERLINK("http://snap.windin.com/ns/bulletin.php?id=1544475&amp;type=1", "天齐锂业:首发招股说明书（申报稿）")</f>
        <v>天齐锂业:首发招股说明书（申报稿）</v>
      </c>
      <c r="D2491" t="s">
        <v>8856</v>
      </c>
      <c r="E2491" t="s">
        <v>5944</v>
      </c>
      <c r="F2491" t="s">
        <v>5513</v>
      </c>
    </row>
    <row r="2492" spans="1:6" x14ac:dyDescent="0.15">
      <c r="A2492" s="1">
        <v>40264</v>
      </c>
      <c r="B2492" t="s">
        <v>3860</v>
      </c>
      <c r="C2492" s="2" t="str">
        <f>HYPERLINK("http://snap.windin.com/ns/bulletin.php?id=1062342&amp;type=1", "恒基达鑫:首发招股说明书（申报稿）")</f>
        <v>恒基达鑫:首发招股说明书（申报稿）</v>
      </c>
      <c r="D2492" t="s">
        <v>8857</v>
      </c>
      <c r="E2492" t="s">
        <v>5874</v>
      </c>
      <c r="F2492" t="s">
        <v>5513</v>
      </c>
    </row>
    <row r="2493" spans="1:6" x14ac:dyDescent="0.15">
      <c r="A2493" s="1">
        <v>40263</v>
      </c>
      <c r="B2493" t="s">
        <v>4058</v>
      </c>
      <c r="C2493" s="2" t="str">
        <f>HYPERLINK("http://snap.windin.com/ns/bulletin.php?id=115215&amp;type=1", "东山精密:首次公开发行股票招股说明书")</f>
        <v>东山精密:首次公开发行股票招股说明书</v>
      </c>
      <c r="D2493" t="s">
        <v>8858</v>
      </c>
      <c r="E2493" t="s">
        <v>6096</v>
      </c>
      <c r="F2493" t="s">
        <v>399</v>
      </c>
    </row>
    <row r="2494" spans="1:6" x14ac:dyDescent="0.15">
      <c r="A2494" s="1">
        <v>40263</v>
      </c>
      <c r="B2494" t="s">
        <v>3964</v>
      </c>
      <c r="C2494" s="2" t="str">
        <f>HYPERLINK("http://snap.windin.com/ns/bulletin.php?id=220834&amp;type=1", "盛路通信:首发招股说明书（申报稿）")</f>
        <v>盛路通信:首发招股说明书（申报稿）</v>
      </c>
      <c r="D2494" t="s">
        <v>8859</v>
      </c>
      <c r="E2494" t="s">
        <v>5994</v>
      </c>
      <c r="F2494" t="s">
        <v>5513</v>
      </c>
    </row>
    <row r="2495" spans="1:6" x14ac:dyDescent="0.15">
      <c r="A2495" s="1">
        <v>40263</v>
      </c>
      <c r="B2495" t="s">
        <v>4059</v>
      </c>
      <c r="C2495" s="2" t="str">
        <f>HYPERLINK("http://snap.windin.com/ns/bulletin.php?id=1317887&amp;type=1", "重庆水务:首次公开发行A股招股说明书")</f>
        <v>重庆水务:首次公开发行A股招股说明书</v>
      </c>
      <c r="D2495" t="s">
        <v>8860</v>
      </c>
      <c r="E2495" t="s">
        <v>6097</v>
      </c>
      <c r="F2495" t="s">
        <v>6098</v>
      </c>
    </row>
    <row r="2496" spans="1:6" x14ac:dyDescent="0.15">
      <c r="A2496" s="1">
        <v>40263</v>
      </c>
      <c r="B2496" t="s">
        <v>330</v>
      </c>
      <c r="C2496" s="2" t="str">
        <f>HYPERLINK("http://snap.windin.com/ns/bulletin.php?id=2046151&amp;type=1", "方直科技:创业板首发招股说明书（申报稿）")</f>
        <v>方直科技:创业板首发招股说明书（申报稿）</v>
      </c>
      <c r="D2496" t="s">
        <v>8861</v>
      </c>
      <c r="E2496" t="s">
        <v>823</v>
      </c>
      <c r="F2496" t="s">
        <v>5450</v>
      </c>
    </row>
    <row r="2497" spans="1:6" x14ac:dyDescent="0.15">
      <c r="A2497" s="1">
        <v>40263</v>
      </c>
      <c r="B2497" t="s">
        <v>4060</v>
      </c>
      <c r="C2497" s="2" t="str">
        <f>HYPERLINK("http://snap.windin.com/ns/bulletin.php?id=2076188&amp;type=1", "大北农:首次公开发行股票招股说明书")</f>
        <v>大北农:首次公开发行股票招股说明书</v>
      </c>
      <c r="D2497" t="s">
        <v>8862</v>
      </c>
      <c r="E2497" t="s">
        <v>6099</v>
      </c>
      <c r="F2497" t="s">
        <v>399</v>
      </c>
    </row>
    <row r="2498" spans="1:6" x14ac:dyDescent="0.15">
      <c r="A2498" s="1">
        <v>40263</v>
      </c>
      <c r="B2498" t="s">
        <v>3963</v>
      </c>
      <c r="C2498" s="2" t="str">
        <f>HYPERLINK("http://snap.windin.com/ns/bulletin.php?id=1802312&amp;type=1", "巨星科技:首次公开发行股票招股说明书（申报稿）")</f>
        <v>巨星科技:首次公开发行股票招股说明书（申报稿）</v>
      </c>
      <c r="D2498" t="s">
        <v>8863</v>
      </c>
      <c r="E2498" t="s">
        <v>5993</v>
      </c>
      <c r="F2498" t="s">
        <v>5452</v>
      </c>
    </row>
    <row r="2499" spans="1:6" x14ac:dyDescent="0.15">
      <c r="A2499" s="1">
        <v>40263</v>
      </c>
      <c r="B2499" t="s">
        <v>4061</v>
      </c>
      <c r="C2499" s="2" t="str">
        <f>HYPERLINK("http://snap.windin.com/ns/bulletin.php?id=1823609&amp;type=1", "天原集团:首次公开发行股票招股说明书")</f>
        <v>天原集团:首次公开发行股票招股说明书</v>
      </c>
      <c r="D2499" t="s">
        <v>8864</v>
      </c>
      <c r="E2499" t="s">
        <v>6100</v>
      </c>
      <c r="F2499" t="s">
        <v>399</v>
      </c>
    </row>
    <row r="2500" spans="1:6" x14ac:dyDescent="0.15">
      <c r="A2500" s="1">
        <v>40263</v>
      </c>
      <c r="B2500" t="s">
        <v>4020</v>
      </c>
      <c r="C2500" s="2" t="str">
        <f>HYPERLINK("http://snap.windin.com/ns/bulletin.php?id=570321&amp;type=1", "海默科技:创业板首发招股说明书(申报稿)")</f>
        <v>海默科技:创业板首发招股说明书(申报稿)</v>
      </c>
      <c r="D2500" t="s">
        <v>8865</v>
      </c>
      <c r="E2500" t="s">
        <v>6054</v>
      </c>
      <c r="F2500" t="s">
        <v>5462</v>
      </c>
    </row>
    <row r="2501" spans="1:6" x14ac:dyDescent="0.15">
      <c r="A2501" s="1">
        <v>40260</v>
      </c>
      <c r="B2501" t="s">
        <v>3911</v>
      </c>
      <c r="C2501" s="2" t="str">
        <f>HYPERLINK("http://snap.windin.com/ns/bulletin.php?id=1742879&amp;type=1", "三维工程:首发招股说明书（申报稿）")</f>
        <v>三维工程:首发招股说明书（申报稿）</v>
      </c>
      <c r="D2501" t="s">
        <v>8866</v>
      </c>
      <c r="E2501" t="s">
        <v>5936</v>
      </c>
      <c r="F2501" t="s">
        <v>5513</v>
      </c>
    </row>
    <row r="2502" spans="1:6" x14ac:dyDescent="0.15">
      <c r="A2502" s="1">
        <v>40260</v>
      </c>
      <c r="B2502" t="s">
        <v>4062</v>
      </c>
      <c r="C2502" s="2" t="str">
        <f>HYPERLINK("http://snap.windin.com/ns/bulletin.php?id=1729985&amp;type=1", "蓝帆股份:首次公开发行股票招股说明书")</f>
        <v>蓝帆股份:首次公开发行股票招股说明书</v>
      </c>
      <c r="D2502" t="s">
        <v>8867</v>
      </c>
      <c r="E2502" t="s">
        <v>6101</v>
      </c>
      <c r="F2502" t="s">
        <v>399</v>
      </c>
    </row>
    <row r="2503" spans="1:6" x14ac:dyDescent="0.15">
      <c r="A2503" s="1">
        <v>40260</v>
      </c>
      <c r="B2503" t="s">
        <v>4063</v>
      </c>
      <c r="C2503" s="2" t="str">
        <f>HYPERLINK("http://snap.windin.com/ns/bulletin.php?id=189362&amp;type=1", "合众思壮:首次公开发行股票招股说明书")</f>
        <v>合众思壮:首次公开发行股票招股说明书</v>
      </c>
      <c r="D2503" t="s">
        <v>8868</v>
      </c>
      <c r="E2503" t="s">
        <v>6102</v>
      </c>
      <c r="F2503" t="s">
        <v>399</v>
      </c>
    </row>
    <row r="2504" spans="1:6" x14ac:dyDescent="0.15">
      <c r="A2504" s="1">
        <v>40260</v>
      </c>
      <c r="B2504" t="s">
        <v>3983</v>
      </c>
      <c r="C2504" s="2" t="str">
        <f>HYPERLINK("http://snap.windin.com/ns/bulletin.php?id=1269155&amp;type=1", "江苏神通:首发招股说明书（申报稿）")</f>
        <v>江苏神通:首发招股说明书（申报稿）</v>
      </c>
      <c r="D2504" t="s">
        <v>8869</v>
      </c>
      <c r="E2504" t="s">
        <v>6015</v>
      </c>
      <c r="F2504" t="s">
        <v>5513</v>
      </c>
    </row>
    <row r="2505" spans="1:6" x14ac:dyDescent="0.15">
      <c r="A2505" s="1">
        <v>40260</v>
      </c>
      <c r="B2505" t="s">
        <v>4017</v>
      </c>
      <c r="C2505" s="2" t="str">
        <f>HYPERLINK("http://snap.windin.com/ns/bulletin.php?id=1147261&amp;type=1", "奥克股份:创业板首发招股说明书（申报稿）")</f>
        <v>奥克股份:创业板首发招股说明书（申报稿）</v>
      </c>
      <c r="D2505" t="s">
        <v>8870</v>
      </c>
      <c r="E2505" t="s">
        <v>6051</v>
      </c>
      <c r="F2505" t="s">
        <v>5450</v>
      </c>
    </row>
    <row r="2506" spans="1:6" x14ac:dyDescent="0.15">
      <c r="A2506" s="1">
        <v>40260</v>
      </c>
      <c r="B2506" t="s">
        <v>4064</v>
      </c>
      <c r="C2506" s="2" t="str">
        <f>HYPERLINK("http://snap.windin.com/ns/bulletin.php?id=1810732&amp;type=1", "双箭股份:首次公开发行股票招股说明书")</f>
        <v>双箭股份:首次公开发行股票招股说明书</v>
      </c>
      <c r="D2506" t="s">
        <v>8871</v>
      </c>
      <c r="E2506" t="s">
        <v>6103</v>
      </c>
      <c r="F2506" t="s">
        <v>399</v>
      </c>
    </row>
    <row r="2507" spans="1:6" x14ac:dyDescent="0.15">
      <c r="A2507" s="1">
        <v>40260</v>
      </c>
      <c r="B2507" t="s">
        <v>3972</v>
      </c>
      <c r="C2507" s="2" t="str">
        <f>HYPERLINK("http://snap.windin.com/ns/bulletin.php?id=1540109&amp;type=1", "众业达:首发招股说明书（申报稿）")</f>
        <v>众业达:首发招股说明书（申报稿）</v>
      </c>
      <c r="D2507" t="s">
        <v>8872</v>
      </c>
      <c r="E2507" t="s">
        <v>6002</v>
      </c>
      <c r="F2507" t="s">
        <v>5513</v>
      </c>
    </row>
    <row r="2508" spans="1:6" x14ac:dyDescent="0.15">
      <c r="A2508" s="1">
        <v>40260</v>
      </c>
      <c r="B2508" t="s">
        <v>4036</v>
      </c>
      <c r="C2508" s="2" t="str">
        <f>HYPERLINK("http://snap.windin.com/ns/bulletin.php?id=687171&amp;type=1", "国民技术:创业板首发招股说明书（申报稿）")</f>
        <v>国民技术:创业板首发招股说明书（申报稿）</v>
      </c>
      <c r="D2508" t="s">
        <v>8873</v>
      </c>
      <c r="E2508" t="s">
        <v>6072</v>
      </c>
      <c r="F2508" t="s">
        <v>5450</v>
      </c>
    </row>
    <row r="2509" spans="1:6" x14ac:dyDescent="0.15">
      <c r="A2509" s="1">
        <v>40257</v>
      </c>
      <c r="B2509" t="s">
        <v>161</v>
      </c>
      <c r="C2509" s="2" t="str">
        <f>HYPERLINK("http://snap.windin.com/ns/bulletin.php?id=216270&amp;type=1", "隆基股份:首发招股说明书（申报稿）")</f>
        <v>隆基股份:首发招股说明书（申报稿）</v>
      </c>
      <c r="D2509" t="s">
        <v>8874</v>
      </c>
      <c r="E2509" t="s">
        <v>617</v>
      </c>
      <c r="F2509" t="s">
        <v>5513</v>
      </c>
    </row>
    <row r="2510" spans="1:6" x14ac:dyDescent="0.15">
      <c r="A2510" s="1">
        <v>40257</v>
      </c>
      <c r="B2510" t="s">
        <v>138</v>
      </c>
      <c r="C2510" s="2" t="str">
        <f>HYPERLINK("http://snap.windin.com/ns/bulletin.php?id=608739&amp;type=1", "宏昌电子:首次公开发行A股股票招股说明书（申报稿）")</f>
        <v>宏昌电子:首次公开发行A股股票招股说明书（申报稿）</v>
      </c>
      <c r="D2510" t="s">
        <v>8875</v>
      </c>
      <c r="E2510" t="s">
        <v>585</v>
      </c>
      <c r="F2510" t="s">
        <v>5493</v>
      </c>
    </row>
    <row r="2511" spans="1:6" x14ac:dyDescent="0.15">
      <c r="A2511" s="1">
        <v>40256</v>
      </c>
      <c r="B2511" t="s">
        <v>3981</v>
      </c>
      <c r="C2511" s="2" t="str">
        <f>HYPERLINK("http://snap.windin.com/ns/bulletin.php?id=1571537&amp;type=1", "启明星辰:招股说明书（申报稿）")</f>
        <v>启明星辰:招股说明书（申报稿）</v>
      </c>
      <c r="D2511" t="s">
        <v>8876</v>
      </c>
      <c r="E2511" t="s">
        <v>6013</v>
      </c>
      <c r="F2511" t="s">
        <v>5488</v>
      </c>
    </row>
    <row r="2512" spans="1:6" x14ac:dyDescent="0.15">
      <c r="A2512" s="1">
        <v>40255</v>
      </c>
      <c r="B2512" t="s">
        <v>4065</v>
      </c>
      <c r="C2512" s="2" t="str">
        <f>HYPERLINK("http://snap.windin.com/ns/bulletin.php?id=1770882&amp;type=1", "科远股份:首次公开发行股票招股说明书")</f>
        <v>科远股份:首次公开发行股票招股说明书</v>
      </c>
      <c r="D2512" t="s">
        <v>8877</v>
      </c>
      <c r="E2512" t="s">
        <v>6104</v>
      </c>
      <c r="F2512" t="s">
        <v>399</v>
      </c>
    </row>
    <row r="2513" spans="1:6" x14ac:dyDescent="0.15">
      <c r="A2513" s="1">
        <v>40255</v>
      </c>
      <c r="B2513" t="s">
        <v>4066</v>
      </c>
      <c r="C2513" s="2" t="str">
        <f>HYPERLINK("http://snap.windin.com/ns/bulletin.php?id=1542531&amp;type=1", "鲁丰股份:首次公开发行股票招股说明书")</f>
        <v>鲁丰股份:首次公开发行股票招股说明书</v>
      </c>
      <c r="D2513" t="s">
        <v>8878</v>
      </c>
      <c r="E2513" t="s">
        <v>6105</v>
      </c>
      <c r="F2513" t="s">
        <v>399</v>
      </c>
    </row>
    <row r="2514" spans="1:6" x14ac:dyDescent="0.15">
      <c r="A2514" s="1">
        <v>40255</v>
      </c>
      <c r="B2514" t="s">
        <v>4067</v>
      </c>
      <c r="C2514" s="2" t="str">
        <f>HYPERLINK("http://snap.windin.com/ns/bulletin.php?id=1017519&amp;type=1", "章源钨业:首次公开发行股票招股说明书")</f>
        <v>章源钨业:首次公开发行股票招股说明书</v>
      </c>
      <c r="D2514" t="s">
        <v>8879</v>
      </c>
      <c r="E2514" t="s">
        <v>6106</v>
      </c>
      <c r="F2514" t="s">
        <v>399</v>
      </c>
    </row>
    <row r="2515" spans="1:6" x14ac:dyDescent="0.15">
      <c r="A2515" s="1">
        <v>40253</v>
      </c>
      <c r="B2515" t="s">
        <v>4068</v>
      </c>
      <c r="C2515" s="2" t="str">
        <f>HYPERLINK("http://snap.windin.com/ns/bulletin.php?id=128758&amp;type=1", "三川股份:首次公开发行股票并在创业板上市招股说明书")</f>
        <v>三川股份:首次公开发行股票并在创业板上市招股说明书</v>
      </c>
      <c r="D2515" t="s">
        <v>8880</v>
      </c>
      <c r="E2515" t="s">
        <v>6107</v>
      </c>
      <c r="F2515" t="s">
        <v>455</v>
      </c>
    </row>
    <row r="2516" spans="1:6" x14ac:dyDescent="0.15">
      <c r="A2516" s="1">
        <v>40253</v>
      </c>
      <c r="B2516" t="s">
        <v>4037</v>
      </c>
      <c r="C2516" s="2" t="str">
        <f>HYPERLINK("http://snap.windin.com/ns/bulletin.php?id=1376198&amp;type=1", "中瑞思创:创业板首发招股说明书（申报稿）")</f>
        <v>中瑞思创:创业板首发招股说明书（申报稿）</v>
      </c>
      <c r="D2516" t="s">
        <v>8881</v>
      </c>
      <c r="E2516" t="s">
        <v>6073</v>
      </c>
      <c r="F2516" t="s">
        <v>5450</v>
      </c>
    </row>
    <row r="2517" spans="1:6" x14ac:dyDescent="0.15">
      <c r="A2517" s="1">
        <v>40253</v>
      </c>
      <c r="B2517" t="s">
        <v>4069</v>
      </c>
      <c r="C2517" s="2" t="str">
        <f>HYPERLINK("http://snap.windin.com/ns/bulletin.php?id=1875490&amp;type=1", "豫金刚石:首次公开发行股票并在创业板上市招股说明书")</f>
        <v>豫金刚石:首次公开发行股票并在创业板上市招股说明书</v>
      </c>
      <c r="D2517" t="s">
        <v>8882</v>
      </c>
      <c r="E2517" t="s">
        <v>6108</v>
      </c>
      <c r="F2517" t="s">
        <v>455</v>
      </c>
    </row>
    <row r="2518" spans="1:6" x14ac:dyDescent="0.15">
      <c r="A2518" s="1">
        <v>40253</v>
      </c>
      <c r="B2518" t="s">
        <v>4044</v>
      </c>
      <c r="C2518" s="2" t="str">
        <f>HYPERLINK("http://snap.windin.com/ns/bulletin.php?id=1833274&amp;type=1", "华平股份:上海华平信息技术股份有限公司创业板首发招股说明书（申报稿）")</f>
        <v>华平股份:上海华平信息技术股份有限公司创业板首发招股说明书（申报稿）</v>
      </c>
      <c r="D2518" t="s">
        <v>8883</v>
      </c>
      <c r="E2518" t="s">
        <v>6080</v>
      </c>
      <c r="F2518" t="s">
        <v>6109</v>
      </c>
    </row>
    <row r="2519" spans="1:6" x14ac:dyDescent="0.15">
      <c r="A2519" s="1">
        <v>40253</v>
      </c>
      <c r="B2519" t="s">
        <v>4070</v>
      </c>
      <c r="C2519" s="2" t="str">
        <f>HYPERLINK("http://snap.windin.com/ns/bulletin.php?id=1594292&amp;type=1", "天龙集团:首次公开发行股票并在创业板上市招股说明书")</f>
        <v>天龙集团:首次公开发行股票并在创业板上市招股说明书</v>
      </c>
      <c r="D2519" t="s">
        <v>8884</v>
      </c>
      <c r="E2519" t="s">
        <v>6110</v>
      </c>
      <c r="F2519" t="s">
        <v>455</v>
      </c>
    </row>
    <row r="2520" spans="1:6" x14ac:dyDescent="0.15">
      <c r="A2520" s="1">
        <v>40253</v>
      </c>
      <c r="B2520" t="s">
        <v>4018</v>
      </c>
      <c r="C2520" s="2" t="str">
        <f>HYPERLINK("http://snap.windin.com/ns/bulletin.php?id=1579808&amp;type=1", "劲胜股份:创业板首发招股说明书（申报稿）")</f>
        <v>劲胜股份:创业板首发招股说明书（申报稿）</v>
      </c>
      <c r="D2520" t="s">
        <v>8885</v>
      </c>
      <c r="E2520" t="s">
        <v>6052</v>
      </c>
      <c r="F2520" t="s">
        <v>5450</v>
      </c>
    </row>
    <row r="2521" spans="1:6" x14ac:dyDescent="0.15">
      <c r="A2521" s="1">
        <v>40253</v>
      </c>
      <c r="B2521" t="s">
        <v>4071</v>
      </c>
      <c r="C2521" s="2" t="str">
        <f>HYPERLINK("http://snap.windin.com/ns/bulletin.php?id=603139&amp;type=1", "海兰信:首次公开发行股票并在创业板上市招股说明书")</f>
        <v>海兰信:首次公开发行股票并在创业板上市招股说明书</v>
      </c>
      <c r="D2521" t="s">
        <v>8886</v>
      </c>
      <c r="E2521" t="s">
        <v>6111</v>
      </c>
      <c r="F2521" t="s">
        <v>455</v>
      </c>
    </row>
    <row r="2522" spans="1:6" x14ac:dyDescent="0.15">
      <c r="A2522" s="1">
        <v>40253</v>
      </c>
      <c r="B2522" t="s">
        <v>283</v>
      </c>
      <c r="C2522" s="2" t="str">
        <f>HYPERLINK("http://snap.windin.com/ns/bulletin.php?id=1061008&amp;type=1", "北玻股份:首发招股说明书（申报稿）")</f>
        <v>北玻股份:首发招股说明书（申报稿）</v>
      </c>
      <c r="D2522" t="s">
        <v>8887</v>
      </c>
      <c r="E2522" t="s">
        <v>770</v>
      </c>
      <c r="F2522" t="s">
        <v>5513</v>
      </c>
    </row>
    <row r="2523" spans="1:6" x14ac:dyDescent="0.15">
      <c r="A2523" s="1">
        <v>40253</v>
      </c>
      <c r="B2523" t="s">
        <v>4034</v>
      </c>
      <c r="C2523" s="2" t="str">
        <f>HYPERLINK("http://snap.windin.com/ns/bulletin.php?id=807643&amp;type=1", "数码视讯:创业板首发招股说明书（申报稿）")</f>
        <v>数码视讯:创业板首发招股说明书（申报稿）</v>
      </c>
      <c r="D2523" t="s">
        <v>8888</v>
      </c>
      <c r="E2523" t="s">
        <v>6070</v>
      </c>
      <c r="F2523" t="s">
        <v>5450</v>
      </c>
    </row>
    <row r="2524" spans="1:6" x14ac:dyDescent="0.15">
      <c r="A2524" s="1">
        <v>40250</v>
      </c>
      <c r="B2524" t="s">
        <v>4019</v>
      </c>
      <c r="C2524" s="2" t="str">
        <f>HYPERLINK("http://snap.windin.com/ns/bulletin.php?id=406839&amp;type=1", "新大新材:创业板首发招股说明书（申报稿）")</f>
        <v>新大新材:创业板首发招股说明书（申报稿）</v>
      </c>
      <c r="D2524" t="s">
        <v>8889</v>
      </c>
      <c r="E2524" t="s">
        <v>6053</v>
      </c>
      <c r="F2524" t="s">
        <v>5450</v>
      </c>
    </row>
    <row r="2525" spans="1:6" x14ac:dyDescent="0.15">
      <c r="A2525" s="1">
        <v>40250</v>
      </c>
      <c r="B2525" t="s">
        <v>258</v>
      </c>
      <c r="C2525" s="2" t="str">
        <f>HYPERLINK("http://snap.windin.com/ns/bulletin.php?id=409237&amp;type=1", "永大集团:首发招股说明书（申报稿）")</f>
        <v>永大集团:首发招股说明书（申报稿）</v>
      </c>
      <c r="D2525" t="s">
        <v>8890</v>
      </c>
      <c r="E2525" t="s">
        <v>740</v>
      </c>
      <c r="F2525" t="s">
        <v>5513</v>
      </c>
    </row>
    <row r="2526" spans="1:6" x14ac:dyDescent="0.15">
      <c r="A2526" s="1">
        <v>40250</v>
      </c>
      <c r="B2526" t="s">
        <v>4041</v>
      </c>
      <c r="C2526" s="2" t="str">
        <f>HYPERLINK("http://snap.windin.com/ns/bulletin.php?id=1955527&amp;type=1", "数字政通:创业板首发招股说明书（申报稿）")</f>
        <v>数字政通:创业板首发招股说明书（申报稿）</v>
      </c>
      <c r="D2526" t="s">
        <v>8891</v>
      </c>
      <c r="E2526" t="s">
        <v>6077</v>
      </c>
      <c r="F2526" t="s">
        <v>5450</v>
      </c>
    </row>
    <row r="2527" spans="1:6" x14ac:dyDescent="0.15">
      <c r="A2527" s="1">
        <v>40249</v>
      </c>
      <c r="B2527" t="s">
        <v>3982</v>
      </c>
      <c r="C2527" s="2" t="str">
        <f>HYPERLINK("http://snap.windin.com/ns/bulletin.php?id=1642058&amp;type=1", "誉衡药业:首发招股说明书（申报稿）")</f>
        <v>誉衡药业:首发招股说明书（申报稿）</v>
      </c>
      <c r="D2527" t="s">
        <v>8892</v>
      </c>
      <c r="E2527" t="s">
        <v>6014</v>
      </c>
      <c r="F2527" t="s">
        <v>5513</v>
      </c>
    </row>
    <row r="2528" spans="1:6" x14ac:dyDescent="0.15">
      <c r="A2528" s="1">
        <v>40249</v>
      </c>
      <c r="B2528" t="s">
        <v>3976</v>
      </c>
      <c r="C2528" s="2" t="str">
        <f>HYPERLINK("http://snap.windin.com/ns/bulletin.php?id=603578&amp;type=1", "金洲管道:首发招股说明书（申报稿）")</f>
        <v>金洲管道:首发招股说明书（申报稿）</v>
      </c>
      <c r="D2528" t="s">
        <v>8893</v>
      </c>
      <c r="E2528" t="s">
        <v>6006</v>
      </c>
      <c r="F2528" t="s">
        <v>5513</v>
      </c>
    </row>
    <row r="2529" spans="1:6" x14ac:dyDescent="0.15">
      <c r="A2529" s="1">
        <v>40249</v>
      </c>
      <c r="B2529" t="s">
        <v>4055</v>
      </c>
      <c r="C2529" s="2" t="str">
        <f>HYPERLINK("http://snap.windin.com/ns/bulletin.php?id=593321&amp;type=1", "昊华能源:首次公开发行股票招股说明书附录")</f>
        <v>昊华能源:首次公开发行股票招股说明书附录</v>
      </c>
      <c r="D2529" t="s">
        <v>8894</v>
      </c>
      <c r="E2529" t="s">
        <v>6093</v>
      </c>
      <c r="F2529" t="s">
        <v>6090</v>
      </c>
    </row>
    <row r="2530" spans="1:6" x14ac:dyDescent="0.15">
      <c r="A2530" s="1">
        <v>40248</v>
      </c>
      <c r="B2530" t="s">
        <v>4072</v>
      </c>
      <c r="C2530" s="2" t="str">
        <f>HYPERLINK("http://snap.windin.com/ns/bulletin.php?id=1160775&amp;type=1", "新北洋:首次公开发行股票招股说明书")</f>
        <v>新北洋:首次公开发行股票招股说明书</v>
      </c>
      <c r="D2530" t="s">
        <v>8895</v>
      </c>
      <c r="E2530" t="s">
        <v>6112</v>
      </c>
      <c r="F2530" t="s">
        <v>399</v>
      </c>
    </row>
    <row r="2531" spans="1:6" x14ac:dyDescent="0.15">
      <c r="A2531" s="1">
        <v>40248</v>
      </c>
      <c r="B2531" t="s">
        <v>4073</v>
      </c>
      <c r="C2531" s="2" t="str">
        <f>HYPERLINK("http://snap.windin.com/ns/bulletin.php?id=502382&amp;type=1", "亚厦股份:首次公开发行股票招股说明书")</f>
        <v>亚厦股份:首次公开发行股票招股说明书</v>
      </c>
      <c r="D2531" t="s">
        <v>8896</v>
      </c>
      <c r="E2531" t="s">
        <v>6113</v>
      </c>
      <c r="F2531" t="s">
        <v>399</v>
      </c>
    </row>
    <row r="2532" spans="1:6" x14ac:dyDescent="0.15">
      <c r="A2532" s="1">
        <v>40248</v>
      </c>
      <c r="B2532" t="s">
        <v>4074</v>
      </c>
      <c r="C2532" s="2" t="str">
        <f>HYPERLINK("http://snap.windin.com/ns/bulletin.php?id=430169&amp;type=1", "国创高新:首次公开发行股票招股说明书")</f>
        <v>国创高新:首次公开发行股票招股说明书</v>
      </c>
      <c r="D2532" t="s">
        <v>8897</v>
      </c>
      <c r="E2532" t="s">
        <v>6114</v>
      </c>
      <c r="F2532" t="s">
        <v>399</v>
      </c>
    </row>
    <row r="2533" spans="1:6" x14ac:dyDescent="0.15">
      <c r="A2533" s="1">
        <v>40246</v>
      </c>
      <c r="B2533" t="s">
        <v>3974</v>
      </c>
      <c r="C2533" s="2" t="str">
        <f>HYPERLINK("http://snap.windin.com/ns/bulletin.php?id=1760986&amp;type=1", "闰土股份:首发招股说明书（申报稿）")</f>
        <v>闰土股份:首发招股说明书（申报稿）</v>
      </c>
      <c r="D2533" t="s">
        <v>8898</v>
      </c>
      <c r="E2533" t="s">
        <v>6004</v>
      </c>
      <c r="F2533" t="s">
        <v>5513</v>
      </c>
    </row>
    <row r="2534" spans="1:6" x14ac:dyDescent="0.15">
      <c r="A2534" s="1">
        <v>40246</v>
      </c>
      <c r="B2534" t="s">
        <v>3985</v>
      </c>
      <c r="C2534" s="2" t="str">
        <f>HYPERLINK("http://snap.windin.com/ns/bulletin.php?id=2068721&amp;type=1", "长江润发:首发招股说明书（申报稿）")</f>
        <v>长江润发:首发招股说明书（申报稿）</v>
      </c>
      <c r="D2534" t="s">
        <v>8899</v>
      </c>
      <c r="E2534" t="s">
        <v>6017</v>
      </c>
      <c r="F2534" t="s">
        <v>5513</v>
      </c>
    </row>
    <row r="2535" spans="1:6" x14ac:dyDescent="0.15">
      <c r="A2535" s="1">
        <v>40245</v>
      </c>
      <c r="B2535" t="s">
        <v>4075</v>
      </c>
      <c r="C2535" s="2" t="str">
        <f>HYPERLINK("http://snap.windin.com/ns/bulletin.php?id=1649883&amp;type=1", "康耐特:首次公开发行股票并在创业板上市招股说明书")</f>
        <v>康耐特:首次公开发行股票并在创业板上市招股说明书</v>
      </c>
      <c r="D2535" t="s">
        <v>8900</v>
      </c>
      <c r="E2535" t="s">
        <v>6115</v>
      </c>
      <c r="F2535" t="s">
        <v>455</v>
      </c>
    </row>
    <row r="2536" spans="1:6" x14ac:dyDescent="0.15">
      <c r="A2536" s="1">
        <v>40245</v>
      </c>
      <c r="B2536" t="s">
        <v>4076</v>
      </c>
      <c r="C2536" s="2" t="str">
        <f>HYPERLINK("http://snap.windin.com/ns/bulletin.php?id=1995240&amp;type=1", "中能电气:首次公开发行股票并在创业板上市招股说明书")</f>
        <v>中能电气:首次公开发行股票并在创业板上市招股说明书</v>
      </c>
      <c r="D2536" t="s">
        <v>8901</v>
      </c>
      <c r="E2536" t="s">
        <v>6116</v>
      </c>
      <c r="F2536" t="s">
        <v>455</v>
      </c>
    </row>
    <row r="2537" spans="1:6" x14ac:dyDescent="0.15">
      <c r="A2537" s="1">
        <v>40245</v>
      </c>
      <c r="B2537" t="s">
        <v>4077</v>
      </c>
      <c r="C2537" s="2" t="str">
        <f>HYPERLINK("http://snap.windin.com/ns/bulletin.php?id=860993&amp;type=1", "东方财富:首次公开发行股票并在创业板上市招股说明书")</f>
        <v>东方财富:首次公开发行股票并在创业板上市招股说明书</v>
      </c>
      <c r="D2537" t="s">
        <v>8902</v>
      </c>
      <c r="E2537" t="s">
        <v>6117</v>
      </c>
      <c r="F2537" t="s">
        <v>455</v>
      </c>
    </row>
    <row r="2538" spans="1:6" x14ac:dyDescent="0.15">
      <c r="A2538" s="1">
        <v>40243</v>
      </c>
      <c r="B2538" t="s">
        <v>4035</v>
      </c>
      <c r="C2538" s="2" t="str">
        <f>HYPERLINK("http://snap.windin.com/ns/bulletin.php?id=1644112&amp;type=1", "宁波GQY:视讯股份有限公司创业板首发招股说明书（申报稿）")</f>
        <v>宁波GQY:视讯股份有限公司创业板首发招股说明书（申报稿）</v>
      </c>
      <c r="D2538" t="s">
        <v>8903</v>
      </c>
      <c r="E2538" t="s">
        <v>6071</v>
      </c>
      <c r="F2538" t="s">
        <v>6118</v>
      </c>
    </row>
    <row r="2539" spans="1:6" x14ac:dyDescent="0.15">
      <c r="A2539" s="1">
        <v>40243</v>
      </c>
      <c r="B2539" t="s">
        <v>3988</v>
      </c>
      <c r="C2539" s="2" t="str">
        <f>HYPERLINK("http://snap.windin.com/ns/bulletin.php?id=158991&amp;type=1", "兴森科技:首发招股说明书（申报稿）")</f>
        <v>兴森科技:首发招股说明书（申报稿）</v>
      </c>
      <c r="D2539" t="s">
        <v>8904</v>
      </c>
      <c r="E2539" t="s">
        <v>6020</v>
      </c>
      <c r="F2539" t="s">
        <v>5513</v>
      </c>
    </row>
    <row r="2540" spans="1:6" x14ac:dyDescent="0.15">
      <c r="A2540" s="1">
        <v>40243</v>
      </c>
      <c r="B2540" t="s">
        <v>4040</v>
      </c>
      <c r="C2540" s="2" t="str">
        <f>HYPERLINK("http://snap.windin.com/ns/bulletin.php?id=1387050&amp;type=1", "三聚环保:创业板首发招股说明书（申报稿）")</f>
        <v>三聚环保:创业板首发招股说明书（申报稿）</v>
      </c>
      <c r="D2540" t="s">
        <v>8905</v>
      </c>
      <c r="E2540" t="s">
        <v>6076</v>
      </c>
      <c r="F2540" t="s">
        <v>5450</v>
      </c>
    </row>
    <row r="2541" spans="1:6" x14ac:dyDescent="0.15">
      <c r="A2541" s="1">
        <v>40243</v>
      </c>
      <c r="B2541" t="s">
        <v>4049</v>
      </c>
      <c r="C2541" s="2" t="str">
        <f>HYPERLINK("http://snap.windin.com/ns/bulletin.php?id=2073017&amp;type=1", "安诺其:创业板首发招股说明书（申报稿）")</f>
        <v>安诺其:创业板首发招股说明书（申报稿）</v>
      </c>
      <c r="D2541" t="s">
        <v>8906</v>
      </c>
      <c r="E2541" t="s">
        <v>6085</v>
      </c>
      <c r="F2541" t="s">
        <v>5450</v>
      </c>
    </row>
    <row r="2542" spans="1:6" x14ac:dyDescent="0.15">
      <c r="A2542" s="1">
        <v>40243</v>
      </c>
      <c r="B2542" t="s">
        <v>3932</v>
      </c>
      <c r="C2542" s="2" t="str">
        <f>HYPERLINK("http://snap.windin.com/ns/bulletin.php?id=1909380&amp;type=1", "龙源技术:创业板首发招股说明书（申报稿）")</f>
        <v>龙源技术:创业板首发招股说明书（申报稿）</v>
      </c>
      <c r="D2542" t="s">
        <v>8907</v>
      </c>
      <c r="E2542" t="s">
        <v>5958</v>
      </c>
      <c r="F2542" t="s">
        <v>5450</v>
      </c>
    </row>
    <row r="2543" spans="1:6" x14ac:dyDescent="0.15">
      <c r="A2543" s="1">
        <v>40243</v>
      </c>
      <c r="B2543" t="s">
        <v>4048</v>
      </c>
      <c r="C2543" s="2" t="str">
        <f>HYPERLINK("http://snap.windin.com/ns/bulletin.php?id=1134301&amp;type=1", "金利华电:创业板首发招股说明书（申报稿）")</f>
        <v>金利华电:创业板首发招股说明书（申报稿）</v>
      </c>
      <c r="D2543" t="s">
        <v>8908</v>
      </c>
      <c r="E2543" t="s">
        <v>6084</v>
      </c>
      <c r="F2543" t="s">
        <v>5450</v>
      </c>
    </row>
    <row r="2544" spans="1:6" x14ac:dyDescent="0.15">
      <c r="A2544" s="1">
        <v>40243</v>
      </c>
      <c r="B2544" t="s">
        <v>3984</v>
      </c>
      <c r="C2544" s="2" t="str">
        <f>HYPERLINK("http://snap.windin.com/ns/bulletin.php?id=1052305&amp;type=1", "万里扬:首发招股说明书（申报稿）")</f>
        <v>万里扬:首发招股说明书（申报稿）</v>
      </c>
      <c r="D2544" t="s">
        <v>8909</v>
      </c>
      <c r="E2544" t="s">
        <v>6016</v>
      </c>
      <c r="F2544" t="s">
        <v>5513</v>
      </c>
    </row>
    <row r="2545" spans="1:6" x14ac:dyDescent="0.15">
      <c r="A2545" s="1">
        <v>40242</v>
      </c>
      <c r="B2545" t="s">
        <v>4078</v>
      </c>
      <c r="C2545" s="2" t="str">
        <f>HYPERLINK("http://snap.windin.com/ns/bulletin.php?id=195486&amp;type=1", "丽鹏股份:首次公开发行股票招股说明书")</f>
        <v>丽鹏股份:首次公开发行股票招股说明书</v>
      </c>
      <c r="D2545" t="s">
        <v>8910</v>
      </c>
      <c r="E2545" t="s">
        <v>6119</v>
      </c>
      <c r="F2545" t="s">
        <v>399</v>
      </c>
    </row>
    <row r="2546" spans="1:6" x14ac:dyDescent="0.15">
      <c r="A2546" s="1">
        <v>40242</v>
      </c>
      <c r="B2546" t="s">
        <v>4079</v>
      </c>
      <c r="C2546" s="2" t="str">
        <f>HYPERLINK("http://snap.windin.com/ns/bulletin.php?id=89068&amp;type=1", "联信永益:首次公开发行股票招股说明书")</f>
        <v>联信永益:首次公开发行股票招股说明书</v>
      </c>
      <c r="D2546" t="s">
        <v>8911</v>
      </c>
      <c r="E2546" t="s">
        <v>6120</v>
      </c>
      <c r="F2546" t="s">
        <v>399</v>
      </c>
    </row>
    <row r="2547" spans="1:6" x14ac:dyDescent="0.15">
      <c r="A2547" s="1">
        <v>40242</v>
      </c>
      <c r="B2547" t="s">
        <v>3991</v>
      </c>
      <c r="C2547" s="2" t="str">
        <f>HYPERLINK("http://snap.windin.com/ns/bulletin.php?id=2129514&amp;type=1", "九安医疗:首发招股说明书（申报稿）")</f>
        <v>九安医疗:首发招股说明书（申报稿）</v>
      </c>
      <c r="D2547" t="s">
        <v>8912</v>
      </c>
      <c r="E2547" t="s">
        <v>6023</v>
      </c>
      <c r="F2547" t="s">
        <v>5513</v>
      </c>
    </row>
    <row r="2548" spans="1:6" x14ac:dyDescent="0.15">
      <c r="A2548" s="1">
        <v>40242</v>
      </c>
      <c r="B2548" t="s">
        <v>3989</v>
      </c>
      <c r="C2548" s="2" t="str">
        <f>HYPERLINK("http://snap.windin.com/ns/bulletin.php?id=606281&amp;type=1", "兆驰股份:首发招股说明书（申报稿）")</f>
        <v>兆驰股份:首发招股说明书（申报稿）</v>
      </c>
      <c r="D2548" t="s">
        <v>8913</v>
      </c>
      <c r="E2548" t="s">
        <v>6021</v>
      </c>
      <c r="F2548" t="s">
        <v>5513</v>
      </c>
    </row>
    <row r="2549" spans="1:6" x14ac:dyDescent="0.15">
      <c r="A2549" s="1">
        <v>40242</v>
      </c>
      <c r="B2549" t="s">
        <v>4080</v>
      </c>
      <c r="C2549" s="2" t="str">
        <f>HYPERLINK("http://snap.windin.com/ns/bulletin.php?id=708736&amp;type=1", "伟星新材:首次公开发行股票招股说明书")</f>
        <v>伟星新材:首次公开发行股票招股说明书</v>
      </c>
      <c r="D2549" t="s">
        <v>8914</v>
      </c>
      <c r="E2549" t="s">
        <v>6121</v>
      </c>
      <c r="F2549" t="s">
        <v>399</v>
      </c>
    </row>
    <row r="2550" spans="1:6" x14ac:dyDescent="0.15">
      <c r="A2550" s="1">
        <v>40239</v>
      </c>
      <c r="B2550" t="s">
        <v>3941</v>
      </c>
      <c r="C2550" s="2" t="str">
        <f>HYPERLINK("http://snap.windin.com/ns/bulletin.php?id=75336&amp;type=1", "天业通联:首发招股说明书（申报稿）")</f>
        <v>天业通联:首发招股说明书（申报稿）</v>
      </c>
      <c r="D2550" t="s">
        <v>8915</v>
      </c>
      <c r="E2550" t="s">
        <v>5968</v>
      </c>
      <c r="F2550" t="s">
        <v>5513</v>
      </c>
    </row>
    <row r="2551" spans="1:6" x14ac:dyDescent="0.15">
      <c r="A2551" s="1">
        <v>40239</v>
      </c>
      <c r="B2551" t="s">
        <v>4081</v>
      </c>
      <c r="C2551" s="2" t="str">
        <f>HYPERLINK("http://snap.windin.com/ns/bulletin.php?id=2072838&amp;type=1", "亚太药业:首次公开发行股票招股说明书")</f>
        <v>亚太药业:首次公开发行股票招股说明书</v>
      </c>
      <c r="D2551" t="s">
        <v>8916</v>
      </c>
      <c r="E2551" t="s">
        <v>6122</v>
      </c>
      <c r="F2551" t="s">
        <v>399</v>
      </c>
    </row>
    <row r="2552" spans="1:6" x14ac:dyDescent="0.15">
      <c r="A2552" s="1">
        <v>40239</v>
      </c>
      <c r="B2552" t="s">
        <v>220</v>
      </c>
      <c r="C2552" s="2" t="str">
        <f>HYPERLINK("http://snap.windin.com/ns/bulletin.php?id=1478295&amp;type=1", "佛慈制药:首发招股说明书（申报稿）")</f>
        <v>佛慈制药:首发招股说明书（申报稿）</v>
      </c>
      <c r="D2552" t="s">
        <v>8917</v>
      </c>
      <c r="E2552" t="s">
        <v>693</v>
      </c>
      <c r="F2552" t="s">
        <v>5513</v>
      </c>
    </row>
    <row r="2553" spans="1:6" x14ac:dyDescent="0.15">
      <c r="A2553" s="1">
        <v>40239</v>
      </c>
      <c r="B2553" t="s">
        <v>3992</v>
      </c>
      <c r="C2553" s="2" t="str">
        <f>HYPERLINK("http://snap.windin.com/ns/bulletin.php?id=596225&amp;type=1", "杭氧股份:首发招股说明书（申报稿）")</f>
        <v>杭氧股份:首发招股说明书（申报稿）</v>
      </c>
      <c r="D2553" t="s">
        <v>8918</v>
      </c>
      <c r="E2553" t="s">
        <v>6024</v>
      </c>
      <c r="F2553" t="s">
        <v>5513</v>
      </c>
    </row>
    <row r="2554" spans="1:6" x14ac:dyDescent="0.15">
      <c r="A2554" s="1">
        <v>40239</v>
      </c>
      <c r="B2554" t="s">
        <v>4082</v>
      </c>
      <c r="C2554" s="2" t="str">
        <f>HYPERLINK("http://snap.windin.com/ns/bulletin.php?id=932023&amp;type=1", "七星电子:首次公开发行股票招股说明书")</f>
        <v>七星电子:首次公开发行股票招股说明书</v>
      </c>
      <c r="D2554" t="s">
        <v>8919</v>
      </c>
      <c r="E2554" t="s">
        <v>6123</v>
      </c>
      <c r="F2554" t="s">
        <v>399</v>
      </c>
    </row>
    <row r="2555" spans="1:6" x14ac:dyDescent="0.15">
      <c r="A2555" s="1">
        <v>40239</v>
      </c>
      <c r="B2555" t="s">
        <v>4047</v>
      </c>
      <c r="C2555" s="2" t="str">
        <f>HYPERLINK("http://snap.windin.com/ns/bulletin.php?id=740572&amp;type=1", "碧水源:创业板首发招股说明书（申报稿）")</f>
        <v>碧水源:创业板首发招股说明书（申报稿）</v>
      </c>
      <c r="D2555" t="s">
        <v>8920</v>
      </c>
      <c r="E2555" t="s">
        <v>6083</v>
      </c>
      <c r="F2555" t="s">
        <v>5450</v>
      </c>
    </row>
    <row r="2556" spans="1:6" x14ac:dyDescent="0.15">
      <c r="A2556" s="1">
        <v>40239</v>
      </c>
      <c r="B2556" t="s">
        <v>4043</v>
      </c>
      <c r="C2556" s="2" t="str">
        <f>HYPERLINK("http://snap.windin.com/ns/bulletin.php?id=1271319&amp;type=1", "当升科技:创业板首发招股说明书（申报稿）")</f>
        <v>当升科技:创业板首发招股说明书（申报稿）</v>
      </c>
      <c r="D2556" t="s">
        <v>8921</v>
      </c>
      <c r="E2556" t="s">
        <v>6079</v>
      </c>
      <c r="F2556" t="s">
        <v>5450</v>
      </c>
    </row>
    <row r="2557" spans="1:6" x14ac:dyDescent="0.15">
      <c r="A2557" s="1">
        <v>40239</v>
      </c>
      <c r="B2557" t="s">
        <v>4083</v>
      </c>
      <c r="C2557" s="2" t="str">
        <f>HYPERLINK("http://snap.windin.com/ns/bulletin.php?id=692948&amp;type=1", "卓翼科技:首次公开发行股票招股说明书")</f>
        <v>卓翼科技:首次公开发行股票招股说明书</v>
      </c>
      <c r="D2557" t="s">
        <v>8922</v>
      </c>
      <c r="E2557" t="s">
        <v>6124</v>
      </c>
      <c r="F2557" t="s">
        <v>399</v>
      </c>
    </row>
    <row r="2558" spans="1:6" x14ac:dyDescent="0.15">
      <c r="A2558" s="1">
        <v>40239</v>
      </c>
      <c r="B2558" t="s">
        <v>3966</v>
      </c>
      <c r="C2558" s="2" t="str">
        <f>HYPERLINK("http://snap.windin.com/ns/bulletin.php?id=828305&amp;type=1", "壹桥苗业:首发招股说明书（申报稿）")</f>
        <v>壹桥苗业:首发招股说明书（申报稿）</v>
      </c>
      <c r="D2558" t="s">
        <v>8923</v>
      </c>
      <c r="E2558" t="s">
        <v>5996</v>
      </c>
      <c r="F2558" t="s">
        <v>5513</v>
      </c>
    </row>
    <row r="2559" spans="1:6" x14ac:dyDescent="0.15">
      <c r="A2559" s="1">
        <v>40238</v>
      </c>
      <c r="B2559" t="s">
        <v>4084</v>
      </c>
      <c r="C2559" s="2" t="str">
        <f>HYPERLINK("http://snap.windin.com/ns/bulletin.php?id=1726039&amp;type=1", "康力电梯:首次公开发行股票招股说明书")</f>
        <v>康力电梯:首次公开发行股票招股说明书</v>
      </c>
      <c r="D2559" t="s">
        <v>8924</v>
      </c>
      <c r="E2559" t="s">
        <v>6125</v>
      </c>
      <c r="F2559" t="s">
        <v>399</v>
      </c>
    </row>
    <row r="2560" spans="1:6" x14ac:dyDescent="0.15">
      <c r="A2560" s="1">
        <v>40238</v>
      </c>
      <c r="B2560" t="s">
        <v>4085</v>
      </c>
      <c r="C2560" s="2" t="str">
        <f>HYPERLINK("http://snap.windin.com/ns/bulletin.php?id=1222353&amp;type=1", "丹甫股份:首次公开发行股票招股说明书")</f>
        <v>丹甫股份:首次公开发行股票招股说明书</v>
      </c>
      <c r="D2560" t="s">
        <v>8925</v>
      </c>
      <c r="E2560" t="s">
        <v>6126</v>
      </c>
      <c r="F2560" t="s">
        <v>399</v>
      </c>
    </row>
    <row r="2561" spans="1:6" x14ac:dyDescent="0.15">
      <c r="A2561" s="1">
        <v>40238</v>
      </c>
      <c r="B2561" t="s">
        <v>4086</v>
      </c>
      <c r="C2561" s="2" t="str">
        <f>HYPERLINK("http://snap.windin.com/ns/bulletin.php?id=1113325&amp;type=1", "太极股份:首次公开发行股票招股说明书")</f>
        <v>太极股份:首次公开发行股票招股说明书</v>
      </c>
      <c r="D2561" t="s">
        <v>8926</v>
      </c>
      <c r="E2561" t="s">
        <v>6127</v>
      </c>
      <c r="F2561" t="s">
        <v>399</v>
      </c>
    </row>
    <row r="2562" spans="1:6" x14ac:dyDescent="0.15">
      <c r="A2562" s="1">
        <v>40236</v>
      </c>
      <c r="B2562" t="s">
        <v>3990</v>
      </c>
      <c r="C2562" s="2" t="str">
        <f>HYPERLINK("http://snap.windin.com/ns/bulletin.php?id=1713811&amp;type=1", "棕榈园林:广东棕榈园林股份有限公司首发招股说明书(申报稿)")</f>
        <v>棕榈园林:广东棕榈园林股份有限公司首发招股说明书(申报稿)</v>
      </c>
      <c r="D2562" t="s">
        <v>8927</v>
      </c>
      <c r="E2562" t="s">
        <v>6022</v>
      </c>
      <c r="F2562" t="s">
        <v>6128</v>
      </c>
    </row>
    <row r="2563" spans="1:6" x14ac:dyDescent="0.15">
      <c r="A2563" s="1">
        <v>40236</v>
      </c>
      <c r="B2563" t="s">
        <v>3947</v>
      </c>
      <c r="C2563" s="2" t="str">
        <f>HYPERLINK("http://snap.windin.com/ns/bulletin.php?id=819844&amp;type=1", "欧菲光:首发招股说明书(申报稿)")</f>
        <v>欧菲光:首发招股说明书(申报稿)</v>
      </c>
      <c r="D2563" t="s">
        <v>8928</v>
      </c>
      <c r="E2563" t="s">
        <v>5974</v>
      </c>
      <c r="F2563" t="s">
        <v>5523</v>
      </c>
    </row>
    <row r="2564" spans="1:6" x14ac:dyDescent="0.15">
      <c r="A2564" s="1">
        <v>40235</v>
      </c>
      <c r="B2564" t="s">
        <v>4087</v>
      </c>
      <c r="C2564" s="2" t="str">
        <f>HYPERLINK("http://snap.windin.com/ns/bulletin.php?id=1925382&amp;type=1", "赤天化:增发A股招股说明书")</f>
        <v>赤天化:增发A股招股说明书</v>
      </c>
      <c r="D2564" t="s">
        <v>8929</v>
      </c>
      <c r="E2564" t="s">
        <v>6129</v>
      </c>
      <c r="F2564" t="s">
        <v>6130</v>
      </c>
    </row>
    <row r="2565" spans="1:6" x14ac:dyDescent="0.15">
      <c r="A2565" s="1">
        <v>40235</v>
      </c>
      <c r="B2565" t="s">
        <v>3995</v>
      </c>
      <c r="C2565" s="2" t="str">
        <f>HYPERLINK("http://snap.windin.com/ns/bulletin.php?id=1534354&amp;type=1", "胜利精密:首发招股说明书（申报稿）")</f>
        <v>胜利精密:首发招股说明书（申报稿）</v>
      </c>
      <c r="D2565" t="s">
        <v>8930</v>
      </c>
      <c r="E2565" t="s">
        <v>6028</v>
      </c>
      <c r="F2565" t="s">
        <v>5513</v>
      </c>
    </row>
    <row r="2566" spans="1:6" x14ac:dyDescent="0.15">
      <c r="A2566" s="1">
        <v>40235</v>
      </c>
      <c r="B2566" t="s">
        <v>3994</v>
      </c>
      <c r="C2566" s="2" t="str">
        <f>HYPERLINK("http://snap.windin.com/ns/bulletin.php?id=1095782&amp;type=1", "尤夫股份:首发招股说明书（申报稿）")</f>
        <v>尤夫股份:首发招股说明书（申报稿）</v>
      </c>
      <c r="D2566" t="s">
        <v>8931</v>
      </c>
      <c r="E2566" t="s">
        <v>6026</v>
      </c>
      <c r="F2566" t="s">
        <v>5513</v>
      </c>
    </row>
    <row r="2567" spans="1:6" x14ac:dyDescent="0.15">
      <c r="A2567" s="1">
        <v>40234</v>
      </c>
      <c r="B2567" t="s">
        <v>4088</v>
      </c>
      <c r="C2567" s="2" t="str">
        <f>HYPERLINK("http://snap.windin.com/ns/bulletin.php?id=1997563&amp;type=1", "华泰证券:首次公开发行股票招股说明书")</f>
        <v>华泰证券:首次公开发行股票招股说明书</v>
      </c>
      <c r="D2567" t="s">
        <v>8932</v>
      </c>
      <c r="E2567" t="s">
        <v>6131</v>
      </c>
      <c r="F2567" t="s">
        <v>399</v>
      </c>
    </row>
    <row r="2568" spans="1:6" x14ac:dyDescent="0.15">
      <c r="A2568" s="1">
        <v>40232</v>
      </c>
      <c r="B2568" t="s">
        <v>3997</v>
      </c>
      <c r="C2568" s="2" t="str">
        <f>HYPERLINK("http://snap.windin.com/ns/bulletin.php?id=221621&amp;type=1", "中原特钢:中原特钢股份有限公司首发招股说明书（申报稿）")</f>
        <v>中原特钢:中原特钢股份有限公司首发招股说明书（申报稿）</v>
      </c>
      <c r="D2568" t="s">
        <v>8933</v>
      </c>
      <c r="E2568" t="s">
        <v>6030</v>
      </c>
      <c r="F2568" t="s">
        <v>6132</v>
      </c>
    </row>
    <row r="2569" spans="1:6" x14ac:dyDescent="0.15">
      <c r="A2569" s="1">
        <v>40232</v>
      </c>
      <c r="B2569" t="s">
        <v>3993</v>
      </c>
      <c r="C2569" s="2" t="str">
        <f>HYPERLINK("http://snap.windin.com/ns/bulletin.php?id=1824941&amp;type=1", "鑫圆锗业:云南临沧鑫圆锗业股份有限公司首发招股说明书（申报稿）")</f>
        <v>鑫圆锗业:云南临沧鑫圆锗业股份有限公司首发招股说明书（申报稿）</v>
      </c>
      <c r="D2569" t="s">
        <v>8934</v>
      </c>
      <c r="E2569" t="s">
        <v>6133</v>
      </c>
      <c r="F2569" t="s">
        <v>6134</v>
      </c>
    </row>
    <row r="2570" spans="1:6" x14ac:dyDescent="0.15">
      <c r="A2570" s="1">
        <v>40232</v>
      </c>
      <c r="B2570" t="s">
        <v>3971</v>
      </c>
      <c r="C2570" s="2" t="str">
        <f>HYPERLINK("http://snap.windin.com/ns/bulletin.php?id=802374&amp;type=1", "龙星化工:龙星化工股份有限公司首发招股说明书（申报稿）")</f>
        <v>龙星化工:龙星化工股份有限公司首发招股说明书（申报稿）</v>
      </c>
      <c r="D2570" t="s">
        <v>8935</v>
      </c>
      <c r="E2570" t="s">
        <v>6001</v>
      </c>
      <c r="F2570" t="s">
        <v>6135</v>
      </c>
    </row>
    <row r="2571" spans="1:6" x14ac:dyDescent="0.15">
      <c r="A2571" s="1">
        <v>40232</v>
      </c>
      <c r="B2571" t="s">
        <v>3998</v>
      </c>
      <c r="C2571" s="2" t="str">
        <f>HYPERLINK("http://snap.windin.com/ns/bulletin.php?id=954729&amp;type=1", "贵州百灵:贵州百灵企业集团制药股份有限公司首发招股说明书（申报稿）")</f>
        <v>贵州百灵:贵州百灵企业集团制药股份有限公司首发招股说明书（申报稿）</v>
      </c>
      <c r="D2571" t="s">
        <v>8936</v>
      </c>
      <c r="E2571" t="s">
        <v>6031</v>
      </c>
      <c r="F2571" t="s">
        <v>6136</v>
      </c>
    </row>
    <row r="2572" spans="1:6" x14ac:dyDescent="0.15">
      <c r="A2572" s="1">
        <v>40231</v>
      </c>
      <c r="B2572" t="s">
        <v>3997</v>
      </c>
      <c r="C2572" s="2" t="str">
        <f>HYPERLINK("http://snap.windin.com/ns/bulletin.php?id=225978&amp;type=1", "中原特钢:首发招股说明书（申报稿）")</f>
        <v>中原特钢:首发招股说明书（申报稿）</v>
      </c>
      <c r="D2572" t="s">
        <v>8937</v>
      </c>
      <c r="E2572" t="s">
        <v>6030</v>
      </c>
      <c r="F2572" t="s">
        <v>5513</v>
      </c>
    </row>
    <row r="2573" spans="1:6" x14ac:dyDescent="0.15">
      <c r="A2573" s="1">
        <v>40231</v>
      </c>
      <c r="B2573" t="s">
        <v>3993</v>
      </c>
      <c r="C2573" s="2" t="str">
        <f>HYPERLINK("http://snap.windin.com/ns/bulletin.php?id=513135&amp;type=1", "云南锗业:首发招股说明书（申报稿）")</f>
        <v>云南锗业:首发招股说明书（申报稿）</v>
      </c>
      <c r="D2573" t="s">
        <v>8938</v>
      </c>
      <c r="E2573" t="s">
        <v>6025</v>
      </c>
      <c r="F2573" t="s">
        <v>5513</v>
      </c>
    </row>
    <row r="2574" spans="1:6" x14ac:dyDescent="0.15">
      <c r="A2574" s="1">
        <v>40231</v>
      </c>
      <c r="B2574" t="s">
        <v>3998</v>
      </c>
      <c r="C2574" s="2" t="str">
        <f>HYPERLINK("http://snap.windin.com/ns/bulletin.php?id=1958963&amp;type=1", "贵州百灵:首发招股说明书（申报稿）")</f>
        <v>贵州百灵:首发招股说明书（申报稿）</v>
      </c>
      <c r="D2574" t="s">
        <v>8939</v>
      </c>
      <c r="E2574" t="s">
        <v>6031</v>
      </c>
      <c r="F2574" t="s">
        <v>5513</v>
      </c>
    </row>
    <row r="2575" spans="1:6" x14ac:dyDescent="0.15">
      <c r="A2575" s="1">
        <v>40231</v>
      </c>
      <c r="B2575" t="s">
        <v>3971</v>
      </c>
      <c r="C2575" s="2" t="str">
        <f>HYPERLINK("http://snap.windin.com/ns/bulletin.php?id=732417&amp;type=1", "龙星化工:首发招股说明书（申报稿）")</f>
        <v>龙星化工:首发招股说明书（申报稿）</v>
      </c>
      <c r="D2575" t="s">
        <v>8940</v>
      </c>
      <c r="E2575" t="s">
        <v>6001</v>
      </c>
      <c r="F2575" t="s">
        <v>5513</v>
      </c>
    </row>
    <row r="2576" spans="1:6" x14ac:dyDescent="0.15">
      <c r="A2576" s="1">
        <v>40231</v>
      </c>
      <c r="B2576" t="s">
        <v>4089</v>
      </c>
      <c r="C2576" s="2" t="str">
        <f>HYPERLINK("http://snap.windin.com/ns/bulletin.php?id=1133784&amp;type=1", "滨化股份:首次公开发行股票招股说明书")</f>
        <v>滨化股份:首次公开发行股票招股说明书</v>
      </c>
      <c r="D2576" t="s">
        <v>8941</v>
      </c>
      <c r="E2576" t="s">
        <v>6137</v>
      </c>
      <c r="F2576" t="s">
        <v>399</v>
      </c>
    </row>
    <row r="2577" spans="1:6" x14ac:dyDescent="0.15">
      <c r="A2577" s="1">
        <v>40221</v>
      </c>
      <c r="B2577" t="s">
        <v>4090</v>
      </c>
      <c r="C2577" s="2" t="str">
        <f>HYPERLINK("http://snap.windin.com/ns/bulletin.php?id=166406&amp;type=1", "永安药业:首次公开发行股票招股说明书")</f>
        <v>永安药业:首次公开发行股票招股说明书</v>
      </c>
      <c r="D2577" t="s">
        <v>8942</v>
      </c>
      <c r="E2577" t="s">
        <v>6138</v>
      </c>
      <c r="F2577" t="s">
        <v>399</v>
      </c>
    </row>
    <row r="2578" spans="1:6" x14ac:dyDescent="0.15">
      <c r="A2578" s="1">
        <v>40221</v>
      </c>
      <c r="B2578" t="s">
        <v>4091</v>
      </c>
      <c r="C2578" s="2" t="str">
        <f>HYPERLINK("http://snap.windin.com/ns/bulletin.php?id=1798769&amp;type=1", "中恒电气:首次公开发行股票招股说明书")</f>
        <v>中恒电气:首次公开发行股票招股说明书</v>
      </c>
      <c r="D2578" t="s">
        <v>8943</v>
      </c>
      <c r="E2578" t="s">
        <v>6139</v>
      </c>
      <c r="F2578" t="s">
        <v>399</v>
      </c>
    </row>
    <row r="2579" spans="1:6" x14ac:dyDescent="0.15">
      <c r="A2579" s="1">
        <v>40221</v>
      </c>
      <c r="B2579" t="s">
        <v>4092</v>
      </c>
      <c r="C2579" s="2" t="str">
        <f>HYPERLINK("http://snap.windin.com/ns/bulletin.php?id=1830382&amp;type=1", "隆基机械:首次公开发行股票招股说明书")</f>
        <v>隆基机械:首次公开发行股票招股说明书</v>
      </c>
      <c r="D2579" t="s">
        <v>8944</v>
      </c>
      <c r="E2579" t="s">
        <v>6140</v>
      </c>
      <c r="F2579" t="s">
        <v>399</v>
      </c>
    </row>
    <row r="2580" spans="1:6" x14ac:dyDescent="0.15">
      <c r="A2580" s="1">
        <v>40217</v>
      </c>
      <c r="B2580" t="s">
        <v>4093</v>
      </c>
      <c r="C2580" s="2" t="str">
        <f>HYPERLINK("http://snap.windin.com/ns/bulletin.php?id=1575122&amp;type=1", "汉王科技:首次公开发行股票招股说明书")</f>
        <v>汉王科技:首次公开发行股票招股说明书</v>
      </c>
      <c r="D2580" t="s">
        <v>8945</v>
      </c>
      <c r="E2580" t="s">
        <v>6141</v>
      </c>
      <c r="F2580" t="s">
        <v>399</v>
      </c>
    </row>
    <row r="2581" spans="1:6" x14ac:dyDescent="0.15">
      <c r="A2581" s="1">
        <v>40217</v>
      </c>
      <c r="B2581" t="s">
        <v>4094</v>
      </c>
      <c r="C2581" s="2" t="str">
        <f>HYPERLINK("http://snap.windin.com/ns/bulletin.php?id=607813&amp;type=1", "神剑股份:首次公开发行股票招股说明书")</f>
        <v>神剑股份:首次公开发行股票招股说明书</v>
      </c>
      <c r="D2581" t="s">
        <v>8946</v>
      </c>
      <c r="E2581" t="s">
        <v>6142</v>
      </c>
      <c r="F2581" t="s">
        <v>399</v>
      </c>
    </row>
    <row r="2582" spans="1:6" x14ac:dyDescent="0.15">
      <c r="A2582" s="1">
        <v>40217</v>
      </c>
      <c r="B2582" t="s">
        <v>4095</v>
      </c>
      <c r="C2582" s="2" t="str">
        <f>HYPERLINK("http://snap.windin.com/ns/bulletin.php?id=1020811&amp;type=1", "同德化工:首次公开发行股票招股说明书")</f>
        <v>同德化工:首次公开发行股票招股说明书</v>
      </c>
      <c r="D2582" t="s">
        <v>8947</v>
      </c>
      <c r="E2582" t="s">
        <v>6143</v>
      </c>
      <c r="F2582" t="s">
        <v>399</v>
      </c>
    </row>
    <row r="2583" spans="1:6" x14ac:dyDescent="0.15">
      <c r="A2583" s="1">
        <v>40217</v>
      </c>
      <c r="B2583" t="s">
        <v>4096</v>
      </c>
      <c r="C2583" s="2" t="str">
        <f>HYPERLINK("http://snap.windin.com/ns/bulletin.php?id=785170&amp;type=1", "中国一重:首次公开发行股票招股说明书")</f>
        <v>中国一重:首次公开发行股票招股说明书</v>
      </c>
      <c r="D2583" t="s">
        <v>8948</v>
      </c>
      <c r="E2583" t="s">
        <v>6144</v>
      </c>
      <c r="F2583" t="s">
        <v>399</v>
      </c>
    </row>
    <row r="2584" spans="1:6" x14ac:dyDescent="0.15">
      <c r="A2584" s="1">
        <v>40214</v>
      </c>
      <c r="B2584" t="s">
        <v>4026</v>
      </c>
      <c r="C2584" s="2" t="str">
        <f>HYPERLINK("http://snap.windin.com/ns/bulletin.php?id=114790&amp;type=1", "陕鼓动力:首发招股说明书（申报稿）")</f>
        <v>陕鼓动力:首发招股说明书（申报稿）</v>
      </c>
      <c r="D2584" t="s">
        <v>8949</v>
      </c>
      <c r="E2584" t="s">
        <v>6061</v>
      </c>
      <c r="F2584" t="s">
        <v>5513</v>
      </c>
    </row>
    <row r="2585" spans="1:6" x14ac:dyDescent="0.15">
      <c r="A2585" s="1">
        <v>40214</v>
      </c>
      <c r="B2585" t="s">
        <v>4003</v>
      </c>
      <c r="C2585" s="2" t="str">
        <f>HYPERLINK("http://snap.windin.com/ns/bulletin.php?id=657257&amp;type=1", "天虹商场:首发招股说明书(申报稿)")</f>
        <v>天虹商场:首发招股说明书(申报稿)</v>
      </c>
      <c r="D2585" t="s">
        <v>8950</v>
      </c>
      <c r="E2585" t="s">
        <v>6036</v>
      </c>
      <c r="F2585" t="s">
        <v>5523</v>
      </c>
    </row>
    <row r="2586" spans="1:6" x14ac:dyDescent="0.15">
      <c r="A2586" s="1">
        <v>40214</v>
      </c>
      <c r="B2586" t="s">
        <v>4000</v>
      </c>
      <c r="C2586" s="2" t="str">
        <f>HYPERLINK("http://snap.windin.com/ns/bulletin.php?id=2054725&amp;type=1", "科伦药业:招股说明书(申报稿)")</f>
        <v>科伦药业:招股说明书(申报稿)</v>
      </c>
      <c r="D2586" t="s">
        <v>8951</v>
      </c>
      <c r="E2586" t="s">
        <v>6033</v>
      </c>
      <c r="F2586" t="s">
        <v>6145</v>
      </c>
    </row>
    <row r="2587" spans="1:6" x14ac:dyDescent="0.15">
      <c r="A2587" s="1">
        <v>40213</v>
      </c>
      <c r="B2587" t="s">
        <v>4097</v>
      </c>
      <c r="C2587" s="2" t="str">
        <f>HYPERLINK("http://snap.windin.com/ns/bulletin.php?id=1699548&amp;type=1", "蓝色光标:首次公开发行股票并在创业板上市招股说明书")</f>
        <v>蓝色光标:首次公开发行股票并在创业板上市招股说明书</v>
      </c>
      <c r="D2587" t="s">
        <v>8952</v>
      </c>
      <c r="E2587" t="s">
        <v>6146</v>
      </c>
      <c r="F2587" t="s">
        <v>455</v>
      </c>
    </row>
    <row r="2588" spans="1:6" x14ac:dyDescent="0.15">
      <c r="A2588" s="1">
        <v>40213</v>
      </c>
      <c r="B2588" t="s">
        <v>4098</v>
      </c>
      <c r="C2588" s="2" t="str">
        <f>HYPERLINK("http://snap.windin.com/ns/bulletin.php?id=116601&amp;type=1", "万邦达:首次公开发行股票并在创业板上市招股说明书")</f>
        <v>万邦达:首次公开发行股票并在创业板上市招股说明书</v>
      </c>
      <c r="D2588" t="s">
        <v>8953</v>
      </c>
      <c r="E2588" t="s">
        <v>6147</v>
      </c>
      <c r="F2588" t="s">
        <v>455</v>
      </c>
    </row>
    <row r="2589" spans="1:6" x14ac:dyDescent="0.15">
      <c r="A2589" s="1">
        <v>40213</v>
      </c>
      <c r="B2589" t="s">
        <v>4099</v>
      </c>
      <c r="C2589" s="2" t="str">
        <f>HYPERLINK("http://snap.windin.com/ns/bulletin.php?id=1590254&amp;type=1", "三维丝:首次公开发行股票并在创业板上市招股说明书")</f>
        <v>三维丝:首次公开发行股票并在创业板上市招股说明书</v>
      </c>
      <c r="D2589" t="s">
        <v>8954</v>
      </c>
      <c r="E2589" t="s">
        <v>6148</v>
      </c>
      <c r="F2589" t="s">
        <v>455</v>
      </c>
    </row>
    <row r="2590" spans="1:6" x14ac:dyDescent="0.15">
      <c r="A2590" s="1">
        <v>40213</v>
      </c>
      <c r="B2590" t="s">
        <v>4100</v>
      </c>
      <c r="C2590" s="2" t="str">
        <f>HYPERLINK("http://snap.windin.com/ns/bulletin.php?id=800363&amp;type=1", "万顺股份:首次公开发行股票并在创业板上市招股说明书")</f>
        <v>万顺股份:首次公开发行股票并在创业板上市招股说明书</v>
      </c>
      <c r="D2590" t="s">
        <v>8955</v>
      </c>
      <c r="E2590" t="s">
        <v>6149</v>
      </c>
      <c r="F2590" t="s">
        <v>455</v>
      </c>
    </row>
    <row r="2591" spans="1:6" x14ac:dyDescent="0.15">
      <c r="A2591" s="1">
        <v>40211</v>
      </c>
      <c r="B2591" t="s">
        <v>4070</v>
      </c>
      <c r="C2591" s="2" t="str">
        <f>HYPERLINK("http://snap.windin.com/ns/bulletin.php?id=2125119&amp;type=1", "天龙集团:创业板首发招股说明书（申报稿）")</f>
        <v>天龙集团:创业板首发招股说明书（申报稿）</v>
      </c>
      <c r="D2591" t="s">
        <v>8956</v>
      </c>
      <c r="E2591" t="s">
        <v>6110</v>
      </c>
      <c r="F2591" t="s">
        <v>5450</v>
      </c>
    </row>
    <row r="2592" spans="1:6" x14ac:dyDescent="0.15">
      <c r="A2592" s="1">
        <v>40211</v>
      </c>
      <c r="B2592" t="s">
        <v>4001</v>
      </c>
      <c r="C2592" s="2" t="str">
        <f>HYPERLINK("http://snap.windin.com/ns/bulletin.php?id=1854453&amp;type=1", "康盛股份:首发招股说明书（申报稿）")</f>
        <v>康盛股份:首发招股说明书（申报稿）</v>
      </c>
      <c r="D2592" t="s">
        <v>8957</v>
      </c>
      <c r="E2592" t="s">
        <v>6034</v>
      </c>
      <c r="F2592" t="s">
        <v>5513</v>
      </c>
    </row>
    <row r="2593" spans="1:6" x14ac:dyDescent="0.15">
      <c r="A2593" s="1">
        <v>40211</v>
      </c>
      <c r="B2593" t="s">
        <v>4004</v>
      </c>
      <c r="C2593" s="2" t="str">
        <f>HYPERLINK("http://snap.windin.com/ns/bulletin.php?id=1822493&amp;type=1", "毅昌股份:首发招股说明书（申报稿）")</f>
        <v>毅昌股份:首发招股说明书（申报稿）</v>
      </c>
      <c r="D2593" t="s">
        <v>8958</v>
      </c>
      <c r="E2593" t="s">
        <v>6037</v>
      </c>
      <c r="F2593" t="s">
        <v>5513</v>
      </c>
    </row>
    <row r="2594" spans="1:6" x14ac:dyDescent="0.15">
      <c r="A2594" s="1">
        <v>40211</v>
      </c>
      <c r="B2594" t="s">
        <v>4050</v>
      </c>
      <c r="C2594" s="2" t="str">
        <f>HYPERLINK("http://snap.windin.com/ns/bulletin.php?id=1907149&amp;type=1", "南都电源:创业板首发招股说明书（申报稿）")</f>
        <v>南都电源:创业板首发招股说明书（申报稿）</v>
      </c>
      <c r="D2594" t="s">
        <v>8959</v>
      </c>
      <c r="E2594" t="s">
        <v>6086</v>
      </c>
      <c r="F2594" t="s">
        <v>5450</v>
      </c>
    </row>
    <row r="2595" spans="1:6" x14ac:dyDescent="0.15">
      <c r="A2595" s="1">
        <v>40211</v>
      </c>
      <c r="B2595" t="s">
        <v>4069</v>
      </c>
      <c r="C2595" s="2" t="str">
        <f>HYPERLINK("http://snap.windin.com/ns/bulletin.php?id=588968&amp;type=1", "豫金刚石:创业板首发招股说明书（申报稿）")</f>
        <v>豫金刚石:创业板首发招股说明书（申报稿）</v>
      </c>
      <c r="D2595" t="s">
        <v>8960</v>
      </c>
      <c r="E2595" t="s">
        <v>6108</v>
      </c>
      <c r="F2595" t="s">
        <v>5450</v>
      </c>
    </row>
    <row r="2596" spans="1:6" x14ac:dyDescent="0.15">
      <c r="A2596" s="1">
        <v>40211</v>
      </c>
      <c r="B2596" t="s">
        <v>4071</v>
      </c>
      <c r="C2596" s="2" t="str">
        <f>HYPERLINK("http://snap.windin.com/ns/bulletin.php?id=766081&amp;type=1", "海兰信:创业板首发招股说明书（申报稿）")</f>
        <v>海兰信:创业板首发招股说明书（申报稿）</v>
      </c>
      <c r="D2596" t="s">
        <v>8961</v>
      </c>
      <c r="E2596" t="s">
        <v>6111</v>
      </c>
      <c r="F2596" t="s">
        <v>5450</v>
      </c>
    </row>
    <row r="2597" spans="1:6" x14ac:dyDescent="0.15">
      <c r="A2597" s="1">
        <v>40210</v>
      </c>
      <c r="B2597" t="s">
        <v>4101</v>
      </c>
      <c r="C2597" s="2" t="str">
        <f>HYPERLINK("http://snap.windin.com/ns/bulletin.php?id=1618122&amp;type=1", "鼎龙股份:首次公开发行股票并在创业板上市招股说明书")</f>
        <v>鼎龙股份:首次公开发行股票并在创业板上市招股说明书</v>
      </c>
      <c r="D2597" t="s">
        <v>8962</v>
      </c>
      <c r="E2597" t="s">
        <v>6150</v>
      </c>
      <c r="F2597" t="s">
        <v>455</v>
      </c>
    </row>
    <row r="2598" spans="1:6" x14ac:dyDescent="0.15">
      <c r="A2598" s="1">
        <v>40210</v>
      </c>
      <c r="B2598" t="s">
        <v>4102</v>
      </c>
      <c r="C2598" s="2" t="str">
        <f>HYPERLINK("http://snap.windin.com/ns/bulletin.php?id=411385&amp;type=1", "中青宝:首次公开发行股票并在创业板上市招股说明书")</f>
        <v>中青宝:首次公开发行股票并在创业板上市招股说明书</v>
      </c>
      <c r="D2598" t="s">
        <v>8963</v>
      </c>
      <c r="E2598" t="s">
        <v>6151</v>
      </c>
      <c r="F2598" t="s">
        <v>455</v>
      </c>
    </row>
    <row r="2599" spans="1:6" x14ac:dyDescent="0.15">
      <c r="A2599" s="1">
        <v>40210</v>
      </c>
      <c r="B2599" t="s">
        <v>4103</v>
      </c>
      <c r="C2599" s="2" t="str">
        <f>HYPERLINK("http://snap.windin.com/ns/bulletin.php?id=411207&amp;type=1", "三五互联:首次公开发行股票并在创业板上市招股说明书")</f>
        <v>三五互联:首次公开发行股票并在创业板上市招股说明书</v>
      </c>
      <c r="D2599" t="s">
        <v>8964</v>
      </c>
      <c r="E2599" t="s">
        <v>6152</v>
      </c>
      <c r="F2599" t="s">
        <v>455</v>
      </c>
    </row>
    <row r="2600" spans="1:6" x14ac:dyDescent="0.15">
      <c r="A2600" s="1">
        <v>40210</v>
      </c>
      <c r="B2600" t="s">
        <v>4104</v>
      </c>
      <c r="C2600" s="2" t="str">
        <f>HYPERLINK("http://snap.windin.com/ns/bulletin.php?id=1204966&amp;type=1", "二重重装:首次公开发行股票招股说明书")</f>
        <v>二重重装:首次公开发行股票招股说明书</v>
      </c>
      <c r="D2600" t="s">
        <v>8965</v>
      </c>
      <c r="E2600" t="s">
        <v>6153</v>
      </c>
      <c r="F2600" t="s">
        <v>399</v>
      </c>
    </row>
    <row r="2601" spans="1:6" x14ac:dyDescent="0.15">
      <c r="A2601" s="1">
        <v>40210</v>
      </c>
      <c r="B2601" t="s">
        <v>4105</v>
      </c>
      <c r="C2601" s="2" t="str">
        <f>HYPERLINK("http://snap.windin.com/ns/bulletin.php?id=1089739&amp;type=1", "欧比特:首次公开发行股票并在创业板上市招股说明书")</f>
        <v>欧比特:首次公开发行股票并在创业板上市招股说明书</v>
      </c>
      <c r="D2601" t="s">
        <v>8966</v>
      </c>
      <c r="E2601" t="s">
        <v>6154</v>
      </c>
      <c r="F2601" t="s">
        <v>455</v>
      </c>
    </row>
    <row r="2602" spans="1:6" x14ac:dyDescent="0.15">
      <c r="A2602" s="1">
        <v>40207</v>
      </c>
      <c r="B2602" t="s">
        <v>4106</v>
      </c>
      <c r="C2602" s="2" t="str">
        <f>HYPERLINK("http://snap.windin.com/ns/bulletin.php?id=1694789&amp;type=1", "森源电气:首次公开发行股票招股说明书（申报稿）")</f>
        <v>森源电气:首次公开发行股票招股说明书（申报稿）</v>
      </c>
      <c r="D2602" t="s">
        <v>8967</v>
      </c>
      <c r="E2602" t="s">
        <v>6155</v>
      </c>
      <c r="F2602" t="s">
        <v>5452</v>
      </c>
    </row>
    <row r="2603" spans="1:6" x14ac:dyDescent="0.15">
      <c r="A2603" s="1">
        <v>40207</v>
      </c>
      <c r="B2603" t="s">
        <v>3996</v>
      </c>
      <c r="C2603" s="2" t="str">
        <f>HYPERLINK("http://snap.windin.com/ns/bulletin.php?id=1647983&amp;type=1", "凯撒股份:首发招股说明书（申报稿）")</f>
        <v>凯撒股份:首发招股说明书（申报稿）</v>
      </c>
      <c r="D2603" t="s">
        <v>8968</v>
      </c>
      <c r="E2603" t="s">
        <v>6029</v>
      </c>
      <c r="F2603" t="s">
        <v>5513</v>
      </c>
    </row>
    <row r="2604" spans="1:6" x14ac:dyDescent="0.15">
      <c r="A2604" s="1">
        <v>40207</v>
      </c>
      <c r="B2604" t="s">
        <v>4107</v>
      </c>
      <c r="C2604" s="2" t="str">
        <f>HYPERLINK("http://snap.windin.com/ns/bulletin.php?id=1153480&amp;type=1", "齐星铁塔:首次公开发行股票招股说明书")</f>
        <v>齐星铁塔:首次公开发行股票招股说明书</v>
      </c>
      <c r="D2604" t="s">
        <v>8969</v>
      </c>
      <c r="E2604" t="s">
        <v>6156</v>
      </c>
      <c r="F2604" t="s">
        <v>399</v>
      </c>
    </row>
    <row r="2605" spans="1:6" x14ac:dyDescent="0.15">
      <c r="A2605" s="1">
        <v>40207</v>
      </c>
      <c r="B2605" t="s">
        <v>4108</v>
      </c>
      <c r="C2605" s="2" t="str">
        <f>HYPERLINK("http://snap.windin.com/ns/bulletin.php?id=1980620&amp;type=1", "富临运业:首次公开发行股票招股说明书")</f>
        <v>富临运业:首次公开发行股票招股说明书</v>
      </c>
      <c r="D2605" t="s">
        <v>8970</v>
      </c>
      <c r="E2605" t="s">
        <v>6157</v>
      </c>
      <c r="F2605" t="s">
        <v>399</v>
      </c>
    </row>
    <row r="2606" spans="1:6" x14ac:dyDescent="0.15">
      <c r="A2606" s="1">
        <v>40207</v>
      </c>
      <c r="B2606" t="s">
        <v>3986</v>
      </c>
      <c r="C2606" s="2" t="str">
        <f>HYPERLINK("http://snap.windin.com/ns/bulletin.php?id=769241&amp;type=1", "太安堂:广东皮宝制药股份有限公司首发招股说明书（申报稿）")</f>
        <v>太安堂:广东皮宝制药股份有限公司首发招股说明书（申报稿）</v>
      </c>
      <c r="D2606" t="s">
        <v>8971</v>
      </c>
      <c r="E2606" t="s">
        <v>6158</v>
      </c>
      <c r="F2606" t="s">
        <v>6159</v>
      </c>
    </row>
    <row r="2607" spans="1:6" x14ac:dyDescent="0.15">
      <c r="A2607" s="1">
        <v>40207</v>
      </c>
      <c r="B2607" t="s">
        <v>4002</v>
      </c>
      <c r="C2607" s="2" t="str">
        <f>HYPERLINK("http://snap.windin.com/ns/bulletin.php?id=1050124&amp;type=1", "三元达:首发招股说明书（申报稿）")</f>
        <v>三元达:首发招股说明书（申报稿）</v>
      </c>
      <c r="D2607" t="s">
        <v>8972</v>
      </c>
      <c r="E2607" t="s">
        <v>6035</v>
      </c>
      <c r="F2607" t="s">
        <v>5513</v>
      </c>
    </row>
    <row r="2608" spans="1:6" x14ac:dyDescent="0.15">
      <c r="A2608" s="1">
        <v>40205</v>
      </c>
      <c r="B2608" t="s">
        <v>4109</v>
      </c>
      <c r="C2608" s="2" t="str">
        <f>HYPERLINK("http://snap.windin.com/ns/bulletin.php?id=1580435&amp;type=1", "中国西电:首次公开发行股票招股说明书")</f>
        <v>中国西电:首次公开发行股票招股说明书</v>
      </c>
      <c r="D2608" t="s">
        <v>8973</v>
      </c>
      <c r="E2608" t="s">
        <v>6160</v>
      </c>
      <c r="F2608" t="s">
        <v>399</v>
      </c>
    </row>
    <row r="2609" spans="1:6" x14ac:dyDescent="0.15">
      <c r="A2609" s="1">
        <v>40204</v>
      </c>
      <c r="B2609" t="s">
        <v>4068</v>
      </c>
      <c r="C2609" s="2" t="str">
        <f>HYPERLINK("http://snap.windin.com/ns/bulletin.php?id=1612501&amp;type=1", "三川股份:创业板首发招股说明书（申报稿）")</f>
        <v>三川股份:创业板首发招股说明书（申报稿）</v>
      </c>
      <c r="D2609" t="s">
        <v>8974</v>
      </c>
      <c r="E2609" t="s">
        <v>6107</v>
      </c>
      <c r="F2609" t="s">
        <v>5450</v>
      </c>
    </row>
    <row r="2610" spans="1:6" x14ac:dyDescent="0.15">
      <c r="A2610" s="1">
        <v>40204</v>
      </c>
      <c r="B2610" t="s">
        <v>4009</v>
      </c>
      <c r="C2610" s="2" t="str">
        <f>HYPERLINK("http://snap.windin.com/ns/bulletin.php?id=1767446&amp;type=1", "荃银高科:创业板首发招股说明书（申报稿）")</f>
        <v>荃银高科:创业板首发招股说明书（申报稿）</v>
      </c>
      <c r="D2610" t="s">
        <v>8975</v>
      </c>
      <c r="E2610" t="s">
        <v>6042</v>
      </c>
      <c r="F2610" t="s">
        <v>5450</v>
      </c>
    </row>
    <row r="2611" spans="1:6" x14ac:dyDescent="0.15">
      <c r="A2611" s="1">
        <v>40204</v>
      </c>
      <c r="B2611" t="s">
        <v>4076</v>
      </c>
      <c r="C2611" s="2" t="str">
        <f>HYPERLINK("http://snap.windin.com/ns/bulletin.php?id=240123&amp;type=1", "中能电气:创业板首发招股说明书（申报稿）")</f>
        <v>中能电气:创业板首发招股说明书（申报稿）</v>
      </c>
      <c r="D2611" t="s">
        <v>8976</v>
      </c>
      <c r="E2611" t="s">
        <v>6116</v>
      </c>
      <c r="F2611" t="s">
        <v>5450</v>
      </c>
    </row>
    <row r="2612" spans="1:6" x14ac:dyDescent="0.15">
      <c r="A2612" s="1">
        <v>40204</v>
      </c>
      <c r="B2612" t="s">
        <v>3959</v>
      </c>
      <c r="C2612" s="2" t="str">
        <f>HYPERLINK("http://snap.windin.com/ns/bulletin.php?id=1247496&amp;type=1", "高德红外:首发招股说明书（申报稿）")</f>
        <v>高德红外:首发招股说明书（申报稿）</v>
      </c>
      <c r="D2612" t="s">
        <v>8977</v>
      </c>
      <c r="E2612" t="s">
        <v>5989</v>
      </c>
      <c r="F2612" t="s">
        <v>5513</v>
      </c>
    </row>
    <row r="2613" spans="1:6" x14ac:dyDescent="0.15">
      <c r="A2613" s="1">
        <v>40204</v>
      </c>
      <c r="B2613" t="s">
        <v>4110</v>
      </c>
      <c r="C2613" s="2" t="str">
        <f>HYPERLINK("http://snap.windin.com/ns/bulletin.php?id=541009&amp;type=1", "浩宁达:首次公开发行股票招股说明书")</f>
        <v>浩宁达:首次公开发行股票招股说明书</v>
      </c>
      <c r="D2613" t="s">
        <v>8978</v>
      </c>
      <c r="E2613" t="s">
        <v>6161</v>
      </c>
      <c r="F2613" t="s">
        <v>399</v>
      </c>
    </row>
    <row r="2614" spans="1:6" x14ac:dyDescent="0.15">
      <c r="A2614" s="1">
        <v>40204</v>
      </c>
      <c r="B2614" t="s">
        <v>3950</v>
      </c>
      <c r="C2614" s="2" t="str">
        <f>HYPERLINK("http://snap.windin.com/ns/bulletin.php?id=1831899&amp;type=1", "高新兴:创业板首发招股说明书（申报稿）")</f>
        <v>高新兴:创业板首发招股说明书（申报稿）</v>
      </c>
      <c r="D2614" t="s">
        <v>8979</v>
      </c>
      <c r="E2614" t="s">
        <v>5979</v>
      </c>
      <c r="F2614" t="s">
        <v>5450</v>
      </c>
    </row>
    <row r="2615" spans="1:6" x14ac:dyDescent="0.15">
      <c r="A2615" s="1">
        <v>40204</v>
      </c>
      <c r="B2615" t="s">
        <v>4111</v>
      </c>
      <c r="C2615" s="2" t="str">
        <f>HYPERLINK("http://snap.windin.com/ns/bulletin.php?id=1553566&amp;type=1", "兴民钢圈:首次公开发行股票招股说明书")</f>
        <v>兴民钢圈:首次公开发行股票招股说明书</v>
      </c>
      <c r="D2615" t="s">
        <v>8980</v>
      </c>
      <c r="E2615" t="s">
        <v>6162</v>
      </c>
      <c r="F2615" t="s">
        <v>399</v>
      </c>
    </row>
    <row r="2616" spans="1:6" x14ac:dyDescent="0.15">
      <c r="A2616" s="1">
        <v>40204</v>
      </c>
      <c r="B2616" t="s">
        <v>4112</v>
      </c>
      <c r="C2616" s="2" t="str">
        <f>HYPERLINK("http://snap.windin.com/ns/bulletin.php?id=1511489&amp;type=1", "科冕木业:首次公开发行股票招股说明书")</f>
        <v>科冕木业:首次公开发行股票招股说明书</v>
      </c>
      <c r="D2616" t="s">
        <v>8981</v>
      </c>
      <c r="E2616" t="s">
        <v>6163</v>
      </c>
      <c r="F2616" t="s">
        <v>399</v>
      </c>
    </row>
    <row r="2617" spans="1:6" x14ac:dyDescent="0.15">
      <c r="A2617" s="1">
        <v>40204</v>
      </c>
      <c r="B2617" t="s">
        <v>4008</v>
      </c>
      <c r="C2617" s="2" t="str">
        <f>HYPERLINK("http://snap.windin.com/ns/bulletin.php?id=1362194&amp;type=1", "海康威视:首发招股说明书（申报稿）")</f>
        <v>海康威视:首发招股说明书（申报稿）</v>
      </c>
      <c r="D2617" t="s">
        <v>8982</v>
      </c>
      <c r="E2617" t="s">
        <v>6041</v>
      </c>
      <c r="F2617" t="s">
        <v>5513</v>
      </c>
    </row>
    <row r="2618" spans="1:6" x14ac:dyDescent="0.15">
      <c r="A2618" s="1">
        <v>40204</v>
      </c>
      <c r="B2618" t="s">
        <v>4007</v>
      </c>
      <c r="C2618" s="2" t="str">
        <f>HYPERLINK("http://snap.windin.com/ns/bulletin.php?id=816646&amp;type=1", "爱施德:首发招股说明书（申报稿）")</f>
        <v>爱施德:首发招股说明书（申报稿）</v>
      </c>
      <c r="D2618" t="s">
        <v>8983</v>
      </c>
      <c r="E2618" t="s">
        <v>6040</v>
      </c>
      <c r="F2618" t="s">
        <v>5513</v>
      </c>
    </row>
    <row r="2619" spans="1:6" x14ac:dyDescent="0.15">
      <c r="A2619" s="1">
        <v>40204</v>
      </c>
      <c r="B2619" t="s">
        <v>4005</v>
      </c>
      <c r="C2619" s="2" t="str">
        <f>HYPERLINK("http://snap.windin.com/ns/bulletin.php?id=855639&amp;type=1", "常发股份:首发招股说明书（申报稿）")</f>
        <v>常发股份:首发招股说明书（申报稿）</v>
      </c>
      <c r="D2619" t="s">
        <v>8984</v>
      </c>
      <c r="E2619" t="s">
        <v>6038</v>
      </c>
      <c r="F2619" t="s">
        <v>5513</v>
      </c>
    </row>
    <row r="2620" spans="1:6" x14ac:dyDescent="0.15">
      <c r="A2620" s="1">
        <v>40200</v>
      </c>
      <c r="B2620" t="s">
        <v>4013</v>
      </c>
      <c r="C2620" s="2" t="str">
        <f>HYPERLINK("http://snap.windin.com/ns/bulletin.php?id=1703819&amp;type=1", "汉森制药:湖南汉森制药股份有限公司首发招股说明书（申报稿）")</f>
        <v>汉森制药:湖南汉森制药股份有限公司首发招股说明书（申报稿）</v>
      </c>
      <c r="D2620" t="s">
        <v>8985</v>
      </c>
      <c r="E2620" t="s">
        <v>6047</v>
      </c>
      <c r="F2620" t="s">
        <v>6164</v>
      </c>
    </row>
    <row r="2621" spans="1:6" x14ac:dyDescent="0.15">
      <c r="A2621" s="1">
        <v>40200</v>
      </c>
      <c r="B2621" t="s">
        <v>4075</v>
      </c>
      <c r="C2621" s="2" t="str">
        <f>HYPERLINK("http://snap.windin.com/ns/bulletin.php?id=2080567&amp;type=1", "康耐特:创业板首发招股说明书（申报稿）")</f>
        <v>康耐特:创业板首发招股说明书（申报稿）</v>
      </c>
      <c r="D2621" t="s">
        <v>8986</v>
      </c>
      <c r="E2621" t="s">
        <v>6115</v>
      </c>
      <c r="F2621" t="s">
        <v>5450</v>
      </c>
    </row>
    <row r="2622" spans="1:6" x14ac:dyDescent="0.15">
      <c r="A2622" s="1">
        <v>40200</v>
      </c>
      <c r="B2622" t="s">
        <v>4014</v>
      </c>
      <c r="C2622" s="2" t="str">
        <f>HYPERLINK("http://snap.windin.com/ns/bulletin.php?id=1467984&amp;type=1", "九九久:江苏九九久科技股份有限公司首发招股说明书（申报稿）")</f>
        <v>九九久:江苏九九久科技股份有限公司首发招股说明书（申报稿）</v>
      </c>
      <c r="D2622" t="s">
        <v>8987</v>
      </c>
      <c r="E2622" t="s">
        <v>6048</v>
      </c>
      <c r="F2622" t="s">
        <v>6165</v>
      </c>
    </row>
    <row r="2623" spans="1:6" x14ac:dyDescent="0.15">
      <c r="A2623" s="1">
        <v>40200</v>
      </c>
      <c r="B2623" t="s">
        <v>4113</v>
      </c>
      <c r="C2623" s="2" t="str">
        <f>HYPERLINK("http://snap.windin.com/ns/bulletin.php?id=604461&amp;type=1", "鼎泰新材:首次公开发行股票招股说明书")</f>
        <v>鼎泰新材:首次公开发行股票招股说明书</v>
      </c>
      <c r="D2623" t="s">
        <v>8988</v>
      </c>
      <c r="E2623" t="s">
        <v>6166</v>
      </c>
      <c r="F2623" t="s">
        <v>399</v>
      </c>
    </row>
    <row r="2624" spans="1:6" x14ac:dyDescent="0.15">
      <c r="A2624" s="1">
        <v>40200</v>
      </c>
      <c r="B2624" t="s">
        <v>4114</v>
      </c>
      <c r="C2624" s="2" t="str">
        <f>HYPERLINK("http://snap.windin.com/ns/bulletin.php?id=570759&amp;type=1", "漫步者:首次公开发行股票招股说明书")</f>
        <v>漫步者:首次公开发行股票招股说明书</v>
      </c>
      <c r="D2624" t="s">
        <v>8989</v>
      </c>
      <c r="E2624" t="s">
        <v>6167</v>
      </c>
      <c r="F2624" t="s">
        <v>399</v>
      </c>
    </row>
    <row r="2625" spans="1:6" x14ac:dyDescent="0.15">
      <c r="A2625" s="1">
        <v>40200</v>
      </c>
      <c r="B2625" t="s">
        <v>4115</v>
      </c>
      <c r="C2625" s="2" t="str">
        <f>HYPERLINK("http://snap.windin.com/ns/bulletin.php?id=947700&amp;type=1", "杰瑞股份:首次公开发行股票招股说明书")</f>
        <v>杰瑞股份:首次公开发行股票招股说明书</v>
      </c>
      <c r="D2625" t="s">
        <v>8990</v>
      </c>
      <c r="E2625" t="s">
        <v>6168</v>
      </c>
      <c r="F2625" t="s">
        <v>399</v>
      </c>
    </row>
    <row r="2626" spans="1:6" x14ac:dyDescent="0.15">
      <c r="A2626" s="1">
        <v>40200</v>
      </c>
      <c r="B2626" t="s">
        <v>350</v>
      </c>
      <c r="C2626" s="2" t="str">
        <f>HYPERLINK("http://snap.windin.com/ns/bulletin.php?id=1298989&amp;type=1", "文峰连锁:文峰大世界连锁发展股份有限公司首发招股说明书（申报稿）")</f>
        <v>文峰连锁:文峰大世界连锁发展股份有限公司首发招股说明书（申报稿）</v>
      </c>
      <c r="D2626" t="s">
        <v>8991</v>
      </c>
      <c r="E2626" t="s">
        <v>6169</v>
      </c>
      <c r="F2626" t="s">
        <v>6170</v>
      </c>
    </row>
    <row r="2627" spans="1:6" x14ac:dyDescent="0.15">
      <c r="A2627" s="1">
        <v>40200</v>
      </c>
      <c r="B2627" t="s">
        <v>133</v>
      </c>
      <c r="C2627" s="2" t="str">
        <f>HYPERLINK("http://snap.windin.com/ns/bulletin.php?id=901636&amp;type=1", "博晖创新:创业板首发招股说明书(申报稿)")</f>
        <v>博晖创新:创业板首发招股说明书(申报稿)</v>
      </c>
      <c r="D2627" t="s">
        <v>8992</v>
      </c>
      <c r="E2627" t="s">
        <v>579</v>
      </c>
      <c r="F2627" t="s">
        <v>5462</v>
      </c>
    </row>
    <row r="2628" spans="1:6" x14ac:dyDescent="0.15">
      <c r="A2628" s="1">
        <v>40199</v>
      </c>
      <c r="B2628" t="s">
        <v>350</v>
      </c>
      <c r="C2628" s="2" t="str">
        <f>HYPERLINK("http://snap.windin.com/ns/bulletin.php?id=1826238&amp;type=1", "文峰股份:首发招股说明书（申报稿）")</f>
        <v>文峰股份:首发招股说明书（申报稿）</v>
      </c>
      <c r="D2628" t="s">
        <v>8993</v>
      </c>
      <c r="E2628" t="s">
        <v>843</v>
      </c>
      <c r="F2628" t="s">
        <v>5513</v>
      </c>
    </row>
    <row r="2629" spans="1:6" x14ac:dyDescent="0.15">
      <c r="A2629" s="1">
        <v>40199</v>
      </c>
      <c r="B2629" t="s">
        <v>4013</v>
      </c>
      <c r="C2629" s="2" t="str">
        <f>HYPERLINK("http://snap.windin.com/ns/bulletin.php?id=600319&amp;type=1", "汉森制药:首发招股说明书（申报稿）")</f>
        <v>汉森制药:首发招股说明书（申报稿）</v>
      </c>
      <c r="D2629" t="s">
        <v>8994</v>
      </c>
      <c r="E2629" t="s">
        <v>6047</v>
      </c>
      <c r="F2629" t="s">
        <v>5513</v>
      </c>
    </row>
    <row r="2630" spans="1:6" x14ac:dyDescent="0.15">
      <c r="A2630" s="1">
        <v>40199</v>
      </c>
      <c r="B2630" t="s">
        <v>4014</v>
      </c>
      <c r="C2630" s="2" t="str">
        <f>HYPERLINK("http://snap.windin.com/ns/bulletin.php?id=691515&amp;type=1", "九九久:首发招股说明书（申报稿）")</f>
        <v>九九久:首发招股说明书（申报稿）</v>
      </c>
      <c r="D2630" t="s">
        <v>8995</v>
      </c>
      <c r="E2630" t="s">
        <v>6048</v>
      </c>
      <c r="F2630" t="s">
        <v>5513</v>
      </c>
    </row>
    <row r="2631" spans="1:6" x14ac:dyDescent="0.15">
      <c r="A2631" s="1">
        <v>40198</v>
      </c>
      <c r="B2631" t="s">
        <v>4116</v>
      </c>
      <c r="C2631" s="2" t="str">
        <f>HYPERLINK("http://snap.windin.com/ns/bulletin.php?id=702157&amp;type=1", "正泰电器:首次公开发行A股股票招股说明书")</f>
        <v>正泰电器:首次公开发行A股股票招股说明书</v>
      </c>
      <c r="D2631" t="s">
        <v>8996</v>
      </c>
      <c r="E2631" t="s">
        <v>6171</v>
      </c>
      <c r="F2631" t="s">
        <v>462</v>
      </c>
    </row>
    <row r="2632" spans="1:6" x14ac:dyDescent="0.15">
      <c r="A2632" s="1">
        <v>40197</v>
      </c>
      <c r="B2632" t="s">
        <v>4027</v>
      </c>
      <c r="C2632" s="2" t="str">
        <f>HYPERLINK("http://snap.windin.com/ns/bulletin.php?id=156988&amp;type=1", "和而泰:首发招股说明书（申报稿）")</f>
        <v>和而泰:首发招股说明书（申报稿）</v>
      </c>
      <c r="D2632" t="s">
        <v>8997</v>
      </c>
      <c r="E2632" t="s">
        <v>6062</v>
      </c>
      <c r="F2632" t="s">
        <v>5513</v>
      </c>
    </row>
    <row r="2633" spans="1:6" x14ac:dyDescent="0.15">
      <c r="A2633" s="1">
        <v>40197</v>
      </c>
      <c r="B2633" t="s">
        <v>4077</v>
      </c>
      <c r="C2633" s="2" t="str">
        <f>HYPERLINK("http://snap.windin.com/ns/bulletin.php?id=1381744&amp;type=1", "东方财富:创业板首发招股说明书（申报稿）")</f>
        <v>东方财富:创业板首发招股说明书（申报稿）</v>
      </c>
      <c r="D2633" t="s">
        <v>8998</v>
      </c>
      <c r="E2633" t="s">
        <v>6117</v>
      </c>
      <c r="F2633" t="s">
        <v>5450</v>
      </c>
    </row>
    <row r="2634" spans="1:6" x14ac:dyDescent="0.15">
      <c r="A2634" s="1">
        <v>40197</v>
      </c>
      <c r="B2634" t="s">
        <v>4117</v>
      </c>
      <c r="C2634" s="2" t="str">
        <f>HYPERLINK("http://snap.windin.com/ns/bulletin.php?id=676131&amp;type=1", "精华制药:首次公开发行股票招股说明书")</f>
        <v>精华制药:首次公开发行股票招股说明书</v>
      </c>
      <c r="D2634" t="s">
        <v>8999</v>
      </c>
      <c r="E2634" t="s">
        <v>6172</v>
      </c>
      <c r="F2634" t="s">
        <v>399</v>
      </c>
    </row>
    <row r="2635" spans="1:6" x14ac:dyDescent="0.15">
      <c r="A2635" s="1">
        <v>40197</v>
      </c>
      <c r="B2635" t="s">
        <v>4118</v>
      </c>
      <c r="C2635" s="2" t="str">
        <f>HYPERLINK("http://snap.windin.com/ns/bulletin.php?id=1824588&amp;type=1", "高乐股份:首次公开发行股票招股说明书")</f>
        <v>高乐股份:首次公开发行股票招股说明书</v>
      </c>
      <c r="D2635" t="s">
        <v>9000</v>
      </c>
      <c r="E2635" t="s">
        <v>6173</v>
      </c>
      <c r="F2635" t="s">
        <v>399</v>
      </c>
    </row>
    <row r="2636" spans="1:6" x14ac:dyDescent="0.15">
      <c r="A2636" s="1">
        <v>40197</v>
      </c>
      <c r="B2636" t="s">
        <v>4015</v>
      </c>
      <c r="C2636" s="2" t="str">
        <f>HYPERLINK("http://snap.windin.com/ns/bulletin.php?id=1951318&amp;type=1", "雅克科技:首发招股说明书（申报稿）")</f>
        <v>雅克科技:首发招股说明书（申报稿）</v>
      </c>
      <c r="D2636" t="s">
        <v>9001</v>
      </c>
      <c r="E2636" t="s">
        <v>6049</v>
      </c>
      <c r="F2636" t="s">
        <v>5513</v>
      </c>
    </row>
    <row r="2637" spans="1:6" x14ac:dyDescent="0.15">
      <c r="A2637" s="1">
        <v>40197</v>
      </c>
      <c r="B2637" t="s">
        <v>4025</v>
      </c>
      <c r="C2637" s="2" t="str">
        <f>HYPERLINK("http://snap.windin.com/ns/bulletin.php?id=915439&amp;type=1", "四维图新:首发招股说明书（申报稿）")</f>
        <v>四维图新:首发招股说明书（申报稿）</v>
      </c>
      <c r="D2637" t="s">
        <v>9002</v>
      </c>
      <c r="E2637" t="s">
        <v>6059</v>
      </c>
      <c r="F2637" t="s">
        <v>5513</v>
      </c>
    </row>
    <row r="2638" spans="1:6" x14ac:dyDescent="0.15">
      <c r="A2638" s="1">
        <v>40197</v>
      </c>
      <c r="B2638" t="s">
        <v>4119</v>
      </c>
      <c r="C2638" s="2" t="str">
        <f>HYPERLINK("http://snap.windin.com/ns/bulletin.php?id=739264&amp;type=1", "北京科锐:首次公开发行股票招股说明书")</f>
        <v>北京科锐:首次公开发行股票招股说明书</v>
      </c>
      <c r="D2638" t="s">
        <v>9003</v>
      </c>
      <c r="E2638" t="s">
        <v>6174</v>
      </c>
      <c r="F2638" t="s">
        <v>399</v>
      </c>
    </row>
    <row r="2639" spans="1:6" x14ac:dyDescent="0.15">
      <c r="A2639" s="1">
        <v>40197</v>
      </c>
      <c r="B2639" t="s">
        <v>4028</v>
      </c>
      <c r="C2639" s="2" t="str">
        <f>HYPERLINK("http://snap.windin.com/ns/bulletin.php?id=1108889&amp;type=1", "爱仕达:首发招股说明书（申报稿）")</f>
        <v>爱仕达:首发招股说明书（申报稿）</v>
      </c>
      <c r="D2639" t="s">
        <v>9004</v>
      </c>
      <c r="E2639" t="s">
        <v>6063</v>
      </c>
      <c r="F2639" t="s">
        <v>5513</v>
      </c>
    </row>
    <row r="2640" spans="1:6" x14ac:dyDescent="0.15">
      <c r="A2640" s="1">
        <v>40194</v>
      </c>
      <c r="B2640" t="s">
        <v>4024</v>
      </c>
      <c r="C2640" s="2" t="str">
        <f>HYPERLINK("http://snap.windin.com/ns/bulletin.php?id=1326301&amp;type=1", "远东传动:首发招股说明书（申报稿）")</f>
        <v>远东传动:首发招股说明书（申报稿）</v>
      </c>
      <c r="D2640" t="s">
        <v>9005</v>
      </c>
      <c r="E2640" t="s">
        <v>6058</v>
      </c>
      <c r="F2640" t="s">
        <v>5513</v>
      </c>
    </row>
    <row r="2641" spans="1:6" x14ac:dyDescent="0.15">
      <c r="A2641" s="1">
        <v>40194</v>
      </c>
      <c r="B2641" t="s">
        <v>4029</v>
      </c>
      <c r="C2641" s="2" t="str">
        <f>HYPERLINK("http://snap.windin.com/ns/bulletin.php?id=440782&amp;type=1", "嘉欣丝绸:首发招股说明书（申报稿）")</f>
        <v>嘉欣丝绸:首发招股说明书（申报稿）</v>
      </c>
      <c r="D2641" t="s">
        <v>9006</v>
      </c>
      <c r="E2641" t="s">
        <v>6064</v>
      </c>
      <c r="F2641" t="s">
        <v>5513</v>
      </c>
    </row>
    <row r="2642" spans="1:6" x14ac:dyDescent="0.15">
      <c r="A2642" s="1">
        <v>40193</v>
      </c>
      <c r="B2642" t="s">
        <v>4120</v>
      </c>
      <c r="C2642" s="2" t="str">
        <f>HYPERLINK("http://snap.windin.com/ns/bulletin.php?id=1686360&amp;type=1", "皖新传媒:首次公开发行股票招股说明书")</f>
        <v>皖新传媒:首次公开发行股票招股说明书</v>
      </c>
      <c r="D2642" t="s">
        <v>9007</v>
      </c>
      <c r="E2642" t="s">
        <v>6175</v>
      </c>
      <c r="F2642" t="s">
        <v>399</v>
      </c>
    </row>
    <row r="2643" spans="1:6" x14ac:dyDescent="0.15">
      <c r="A2643" s="1">
        <v>40193</v>
      </c>
      <c r="B2643" t="s">
        <v>4121</v>
      </c>
      <c r="C2643" s="2" t="str">
        <f>HYPERLINK("http://snap.windin.com/ns/bulletin.php?id=1914067&amp;type=1", "泰尔重工:首次公开发行股票招股说明书")</f>
        <v>泰尔重工:首次公开发行股票招股说明书</v>
      </c>
      <c r="D2643" t="s">
        <v>9008</v>
      </c>
      <c r="E2643" t="s">
        <v>6176</v>
      </c>
      <c r="F2643" t="s">
        <v>399</v>
      </c>
    </row>
    <row r="2644" spans="1:6" x14ac:dyDescent="0.15">
      <c r="A2644" s="1">
        <v>40193</v>
      </c>
      <c r="B2644" t="s">
        <v>4122</v>
      </c>
      <c r="C2644" s="2" t="str">
        <f>HYPERLINK("http://snap.windin.com/ns/bulletin.php?id=1528911&amp;type=1", "柘中建设:首次公开发行股票招股说明书")</f>
        <v>柘中建设:首次公开发行股票招股说明书</v>
      </c>
      <c r="D2644" t="s">
        <v>9009</v>
      </c>
      <c r="E2644" t="s">
        <v>6177</v>
      </c>
      <c r="F2644" t="s">
        <v>399</v>
      </c>
    </row>
    <row r="2645" spans="1:6" x14ac:dyDescent="0.15">
      <c r="A2645" s="1">
        <v>40193</v>
      </c>
      <c r="B2645" t="s">
        <v>4123</v>
      </c>
      <c r="C2645" s="2" t="str">
        <f>HYPERLINK("http://snap.windin.com/ns/bulletin.php?id=1285476&amp;type=1", "潮宏基:首次公开发行股票招股说明书")</f>
        <v>潮宏基:首次公开发行股票招股说明书</v>
      </c>
      <c r="D2645" t="s">
        <v>9010</v>
      </c>
      <c r="E2645" t="s">
        <v>6178</v>
      </c>
      <c r="F2645" t="s">
        <v>399</v>
      </c>
    </row>
    <row r="2646" spans="1:6" x14ac:dyDescent="0.15">
      <c r="A2646" s="1">
        <v>40193</v>
      </c>
      <c r="B2646" t="s">
        <v>4032</v>
      </c>
      <c r="C2646" s="2" t="str">
        <f>HYPERLINK("http://snap.windin.com/ns/bulletin.php?id=694771&amp;type=1", "中海科技:上海交技发展股份有限公司首发招股说明书（申报稿）")</f>
        <v>中海科技:上海交技发展股份有限公司首发招股说明书（申报稿）</v>
      </c>
      <c r="D2646" t="s">
        <v>9011</v>
      </c>
      <c r="E2646" t="s">
        <v>6179</v>
      </c>
      <c r="F2646" t="s">
        <v>6180</v>
      </c>
    </row>
    <row r="2647" spans="1:6" x14ac:dyDescent="0.15">
      <c r="A2647" s="1">
        <v>40193</v>
      </c>
      <c r="B2647" t="s">
        <v>4030</v>
      </c>
      <c r="C2647" s="2" t="str">
        <f>HYPERLINK("http://snap.windin.com/ns/bulletin.php?id=795614&amp;type=1", "省广股份:首发招股说明书（申报稿）")</f>
        <v>省广股份:首发招股说明书（申报稿）</v>
      </c>
      <c r="D2647" t="s">
        <v>9012</v>
      </c>
      <c r="E2647" t="s">
        <v>6065</v>
      </c>
      <c r="F2647" t="s">
        <v>5513</v>
      </c>
    </row>
    <row r="2648" spans="1:6" x14ac:dyDescent="0.15">
      <c r="A2648" s="1">
        <v>40190</v>
      </c>
      <c r="B2648" t="s">
        <v>4124</v>
      </c>
      <c r="C2648" s="2" t="str">
        <f>HYPERLINK("http://snap.windin.com/ns/bulletin.php?id=1648563&amp;type=1", "禾欣股份:首次公开发行股票招股说明书")</f>
        <v>禾欣股份:首次公开发行股票招股说明书</v>
      </c>
      <c r="D2648" t="s">
        <v>9013</v>
      </c>
      <c r="E2648" t="s">
        <v>6181</v>
      </c>
      <c r="F2648" t="s">
        <v>399</v>
      </c>
    </row>
    <row r="2649" spans="1:6" x14ac:dyDescent="0.15">
      <c r="A2649" s="1">
        <v>40190</v>
      </c>
      <c r="B2649" t="s">
        <v>4125</v>
      </c>
      <c r="C2649" s="2" t="str">
        <f>HYPERLINK("http://snap.windin.com/ns/bulletin.php?id=131797&amp;type=1", "海宁皮城:首次公开发行股票招股说明书")</f>
        <v>海宁皮城:首次公开发行股票招股说明书</v>
      </c>
      <c r="D2649" t="s">
        <v>9014</v>
      </c>
      <c r="E2649" t="s">
        <v>6182</v>
      </c>
      <c r="F2649" t="s">
        <v>399</v>
      </c>
    </row>
    <row r="2650" spans="1:6" x14ac:dyDescent="0.15">
      <c r="A2650" s="1">
        <v>40190</v>
      </c>
      <c r="B2650" t="s">
        <v>4126</v>
      </c>
      <c r="C2650" s="2" t="str">
        <f>HYPERLINK("http://snap.windin.com/ns/bulletin.php?id=424952&amp;type=1", "巨力索具:首次公开发行股票招股说明书")</f>
        <v>巨力索具:首次公开发行股票招股说明书</v>
      </c>
      <c r="D2650" t="s">
        <v>9015</v>
      </c>
      <c r="E2650" t="s">
        <v>6183</v>
      </c>
      <c r="F2650" t="s">
        <v>399</v>
      </c>
    </row>
    <row r="2651" spans="1:6" x14ac:dyDescent="0.15">
      <c r="A2651" s="1">
        <v>40189</v>
      </c>
      <c r="B2651" t="s">
        <v>4031</v>
      </c>
      <c r="C2651" s="2" t="str">
        <f>HYPERLINK("http://snap.windin.com/ns/bulletin.php?id=1410266&amp;type=1", "海普瑞:首发招股说明书（申报稿）")</f>
        <v>海普瑞:首发招股说明书（申报稿）</v>
      </c>
      <c r="D2651" t="s">
        <v>9016</v>
      </c>
      <c r="E2651" t="s">
        <v>6066</v>
      </c>
      <c r="F2651" t="s">
        <v>5513</v>
      </c>
    </row>
    <row r="2652" spans="1:6" x14ac:dyDescent="0.15">
      <c r="A2652" s="1">
        <v>40189</v>
      </c>
      <c r="B2652" t="s">
        <v>4016</v>
      </c>
      <c r="C2652" s="2" t="str">
        <f>HYPERLINK("http://snap.windin.com/ns/bulletin.php?id=502931&amp;type=1", "广联达:首发招股说明书（申报稿）")</f>
        <v>广联达:首发招股说明书（申报稿）</v>
      </c>
      <c r="D2652" t="s">
        <v>9017</v>
      </c>
      <c r="E2652" t="s">
        <v>6050</v>
      </c>
      <c r="F2652" t="s">
        <v>5513</v>
      </c>
    </row>
    <row r="2653" spans="1:6" x14ac:dyDescent="0.15">
      <c r="A2653" s="1">
        <v>40189</v>
      </c>
      <c r="B2653" t="s">
        <v>4022</v>
      </c>
      <c r="C2653" s="2" t="str">
        <f>HYPERLINK("http://snap.windin.com/ns/bulletin.php?id=752563&amp;type=1", "齐翔腾达:首发招股说明书（申报稿）")</f>
        <v>齐翔腾达:首发招股说明书（申报稿）</v>
      </c>
      <c r="D2653" t="s">
        <v>9018</v>
      </c>
      <c r="E2653" t="s">
        <v>6056</v>
      </c>
      <c r="F2653" t="s">
        <v>5513</v>
      </c>
    </row>
    <row r="2654" spans="1:6" x14ac:dyDescent="0.15">
      <c r="A2654" s="1">
        <v>40187</v>
      </c>
      <c r="B2654" t="s">
        <v>4053</v>
      </c>
      <c r="C2654" s="2" t="str">
        <f>HYPERLINK("http://snap.windin.com/ns/bulletin.php?id=73582&amp;type=1", "长青股份:首发招股说明书（申报稿）")</f>
        <v>长青股份:首发招股说明书（申报稿）</v>
      </c>
      <c r="D2654" t="s">
        <v>9019</v>
      </c>
      <c r="E2654" t="s">
        <v>6091</v>
      </c>
      <c r="F2654" t="s">
        <v>5513</v>
      </c>
    </row>
    <row r="2655" spans="1:6" x14ac:dyDescent="0.15">
      <c r="A2655" s="1">
        <v>40187</v>
      </c>
      <c r="B2655" t="s">
        <v>4055</v>
      </c>
      <c r="C2655" s="2" t="str">
        <f>HYPERLINK("http://snap.windin.com/ns/bulletin.php?id=878871&amp;type=1", "昊华能源:首发招股说明书（申报稿）")</f>
        <v>昊华能源:首发招股说明书（申报稿）</v>
      </c>
      <c r="D2655" t="s">
        <v>9020</v>
      </c>
      <c r="E2655" t="s">
        <v>6093</v>
      </c>
      <c r="F2655" t="s">
        <v>5513</v>
      </c>
    </row>
    <row r="2656" spans="1:6" x14ac:dyDescent="0.15">
      <c r="A2656" s="1">
        <v>40186</v>
      </c>
      <c r="B2656" t="s">
        <v>4127</v>
      </c>
      <c r="C2656" s="2" t="str">
        <f>HYPERLINK("http://snap.windin.com/ns/bulletin.php?id=2026482&amp;type=1", "积成电子:首次公开发行股票招股说明书")</f>
        <v>积成电子:首次公开发行股票招股说明书</v>
      </c>
      <c r="D2656" t="s">
        <v>9021</v>
      </c>
      <c r="E2656" t="s">
        <v>6184</v>
      </c>
      <c r="F2656" t="s">
        <v>399</v>
      </c>
    </row>
    <row r="2657" spans="1:6" x14ac:dyDescent="0.15">
      <c r="A2657" s="1">
        <v>40186</v>
      </c>
      <c r="B2657" t="s">
        <v>4128</v>
      </c>
      <c r="C2657" s="2" t="str">
        <f>HYPERLINK("http://snap.windin.com/ns/bulletin.php?id=1556265&amp;type=1", "格林美:首次公开发行股票招股说明书")</f>
        <v>格林美:首次公开发行股票招股说明书</v>
      </c>
      <c r="D2657" t="s">
        <v>9022</v>
      </c>
      <c r="E2657" t="s">
        <v>6185</v>
      </c>
      <c r="F2657" t="s">
        <v>399</v>
      </c>
    </row>
    <row r="2658" spans="1:6" x14ac:dyDescent="0.15">
      <c r="A2658" s="1">
        <v>40186</v>
      </c>
      <c r="B2658" t="s">
        <v>4129</v>
      </c>
      <c r="C2658" s="2" t="str">
        <f>HYPERLINK("http://snap.windin.com/ns/bulletin.php?id=984697&amp;type=1", "新纶科技:首次公开发行股票招股说明书")</f>
        <v>新纶科技:首次公开发行股票招股说明书</v>
      </c>
      <c r="D2658" t="s">
        <v>9023</v>
      </c>
      <c r="E2658" t="s">
        <v>6186</v>
      </c>
      <c r="F2658" t="s">
        <v>399</v>
      </c>
    </row>
    <row r="2659" spans="1:6" x14ac:dyDescent="0.15">
      <c r="A2659" s="1">
        <v>40185</v>
      </c>
      <c r="B2659" t="s">
        <v>4052</v>
      </c>
      <c r="C2659" s="2" t="str">
        <f>HYPERLINK("http://snap.windin.com/ns/bulletin.php?id=1395502&amp;type=1", "信邦制药:首发招股说明书（申报稿）")</f>
        <v>信邦制药:首发招股说明书（申报稿）</v>
      </c>
      <c r="D2659" t="s">
        <v>9024</v>
      </c>
      <c r="E2659" t="s">
        <v>6089</v>
      </c>
      <c r="F2659" t="s">
        <v>5513</v>
      </c>
    </row>
    <row r="2660" spans="1:6" x14ac:dyDescent="0.15">
      <c r="A2660" s="1">
        <v>40185</v>
      </c>
      <c r="B2660" t="s">
        <v>4033</v>
      </c>
      <c r="C2660" s="2" t="str">
        <f>HYPERLINK("http://snap.windin.com/ns/bulletin.php?id=1950705&amp;type=1", "建研集团:首发招股说明书（申报稿）")</f>
        <v>建研集团:首发招股说明书（申报稿）</v>
      </c>
      <c r="D2660" t="s">
        <v>9025</v>
      </c>
      <c r="E2660" t="s">
        <v>6068</v>
      </c>
      <c r="F2660" t="s">
        <v>5513</v>
      </c>
    </row>
    <row r="2661" spans="1:6" x14ac:dyDescent="0.15">
      <c r="A2661" s="1">
        <v>40184</v>
      </c>
      <c r="B2661" t="s">
        <v>4130</v>
      </c>
      <c r="C2661" s="2" t="str">
        <f>HYPERLINK("http://snap.windin.com/ns/bulletin.php?id=1617706&amp;type=1", "台基股份:首次公开发行股票并在创业板上市招股说明书")</f>
        <v>台基股份:首次公开发行股票并在创业板上市招股说明书</v>
      </c>
      <c r="D2661" t="s">
        <v>9026</v>
      </c>
      <c r="E2661" t="s">
        <v>6187</v>
      </c>
      <c r="F2661" t="s">
        <v>455</v>
      </c>
    </row>
    <row r="2662" spans="1:6" x14ac:dyDescent="0.15">
      <c r="A2662" s="1">
        <v>40184</v>
      </c>
      <c r="B2662" t="s">
        <v>4131</v>
      </c>
      <c r="C2662" s="2" t="str">
        <f>HYPERLINK("http://snap.windin.com/ns/bulletin.php?id=1796464&amp;type=1", "华力创通:首次公开发行股票并在创业板上市招股说明书")</f>
        <v>华力创通:首次公开发行股票并在创业板上市招股说明书</v>
      </c>
      <c r="D2662" t="s">
        <v>9027</v>
      </c>
      <c r="E2662" t="s">
        <v>6188</v>
      </c>
      <c r="F2662" t="s">
        <v>455</v>
      </c>
    </row>
    <row r="2663" spans="1:6" x14ac:dyDescent="0.15">
      <c r="A2663" s="1">
        <v>40184</v>
      </c>
      <c r="B2663" t="s">
        <v>4132</v>
      </c>
      <c r="C2663" s="2" t="str">
        <f>HYPERLINK("http://snap.windin.com/ns/bulletin.php?id=2060337&amp;type=1", "福瑞股份:首次公开发行股票并在创业板上市招股说明书")</f>
        <v>福瑞股份:首次公开发行股票并在创业板上市招股说明书</v>
      </c>
      <c r="D2663" t="s">
        <v>9028</v>
      </c>
      <c r="E2663" t="s">
        <v>6189</v>
      </c>
      <c r="F2663" t="s">
        <v>455</v>
      </c>
    </row>
    <row r="2664" spans="1:6" x14ac:dyDescent="0.15">
      <c r="A2664" s="1">
        <v>40184</v>
      </c>
      <c r="B2664" t="s">
        <v>4133</v>
      </c>
      <c r="C2664" s="2" t="str">
        <f>HYPERLINK("http://snap.windin.com/ns/bulletin.php?id=2105266&amp;type=1", "赛为智能:首次公开发行股票并在创业板上市招股说明书")</f>
        <v>赛为智能:首次公开发行股票并在创业板上市招股说明书</v>
      </c>
      <c r="D2664" t="s">
        <v>9029</v>
      </c>
      <c r="E2664" t="s">
        <v>6190</v>
      </c>
      <c r="F2664" t="s">
        <v>455</v>
      </c>
    </row>
    <row r="2665" spans="1:6" x14ac:dyDescent="0.15">
      <c r="A2665" s="1">
        <v>40184</v>
      </c>
      <c r="B2665" t="s">
        <v>4134</v>
      </c>
      <c r="C2665" s="2" t="str">
        <f>HYPERLINK("http://snap.windin.com/ns/bulletin.php?id=1873402&amp;type=1", "天源迪科:首次公开发行股票并在创业板上市招股说明书")</f>
        <v>天源迪科:首次公开发行股票并在创业板上市招股说明书</v>
      </c>
      <c r="D2665" t="s">
        <v>9030</v>
      </c>
      <c r="E2665" t="s">
        <v>6191</v>
      </c>
      <c r="F2665" t="s">
        <v>455</v>
      </c>
    </row>
    <row r="2666" spans="1:6" x14ac:dyDescent="0.15">
      <c r="A2666" s="1">
        <v>40184</v>
      </c>
      <c r="B2666" t="s">
        <v>4135</v>
      </c>
      <c r="C2666" s="2" t="str">
        <f>HYPERLINK("http://snap.windin.com/ns/bulletin.php?id=734239&amp;type=1", "中国化学:首次公开发行股票招股说明书")</f>
        <v>中国化学:首次公开发行股票招股说明书</v>
      </c>
      <c r="D2666" t="s">
        <v>9031</v>
      </c>
      <c r="E2666" t="s">
        <v>6192</v>
      </c>
      <c r="F2666" t="s">
        <v>399</v>
      </c>
    </row>
    <row r="2667" spans="1:6" x14ac:dyDescent="0.15">
      <c r="A2667" s="1">
        <v>40184</v>
      </c>
      <c r="B2667" t="s">
        <v>4136</v>
      </c>
      <c r="C2667" s="2" t="str">
        <f>HYPERLINK("http://snap.windin.com/ns/bulletin.php?id=726663&amp;type=1", "合康变频:首次公开发行股票并在创业板上市招股说明书")</f>
        <v>合康变频:首次公开发行股票并在创业板上市招股说明书</v>
      </c>
      <c r="D2667" t="s">
        <v>9032</v>
      </c>
      <c r="E2667" t="s">
        <v>6193</v>
      </c>
      <c r="F2667" t="s">
        <v>455</v>
      </c>
    </row>
    <row r="2668" spans="1:6" x14ac:dyDescent="0.15">
      <c r="A2668" s="1">
        <v>40184</v>
      </c>
      <c r="B2668" t="s">
        <v>4137</v>
      </c>
      <c r="C2668" s="2" t="str">
        <f>HYPERLINK("http://snap.windin.com/ns/bulletin.php?id=1290395&amp;type=1", "世纪鼎利:首次公开发行股票并在创业板上市招股说明书")</f>
        <v>世纪鼎利:首次公开发行股票并在创业板上市招股说明书</v>
      </c>
      <c r="D2668" t="s">
        <v>9033</v>
      </c>
      <c r="E2668" t="s">
        <v>6194</v>
      </c>
      <c r="F2668" t="s">
        <v>455</v>
      </c>
    </row>
    <row r="2669" spans="1:6" x14ac:dyDescent="0.15">
      <c r="A2669" s="1">
        <v>40184</v>
      </c>
      <c r="B2669" t="s">
        <v>4138</v>
      </c>
      <c r="C2669" s="2" t="str">
        <f>HYPERLINK("http://snap.windin.com/ns/bulletin.php?id=939958&amp;type=1", "星辉车模:首次公开发行股票并在创业板上市招股说明书")</f>
        <v>星辉车模:首次公开发行股票并在创业板上市招股说明书</v>
      </c>
      <c r="D2669" t="s">
        <v>9034</v>
      </c>
      <c r="E2669" t="s">
        <v>6195</v>
      </c>
      <c r="F2669" t="s">
        <v>455</v>
      </c>
    </row>
    <row r="2670" spans="1:6" x14ac:dyDescent="0.15">
      <c r="A2670" s="1">
        <v>40183</v>
      </c>
      <c r="B2670" t="s">
        <v>4023</v>
      </c>
      <c r="C2670" s="2" t="str">
        <f>HYPERLINK("http://snap.windin.com/ns/bulletin.php?id=2102183&amp;type=1", "多氟多:首发招股说明书（申报稿）")</f>
        <v>多氟多:首发招股说明书（申报稿）</v>
      </c>
      <c r="D2670" t="s">
        <v>9035</v>
      </c>
      <c r="E2670" t="s">
        <v>6057</v>
      </c>
      <c r="F2670" t="s">
        <v>5513</v>
      </c>
    </row>
    <row r="2671" spans="1:6" x14ac:dyDescent="0.15">
      <c r="A2671" s="1">
        <v>40183</v>
      </c>
      <c r="B2671" t="s">
        <v>4056</v>
      </c>
      <c r="C2671" s="2" t="str">
        <f>HYPERLINK("http://snap.windin.com/ns/bulletin.php?id=555795&amp;type=1", "黑牛食品:首发招股说明书（申报稿）")</f>
        <v>黑牛食品:首发招股说明书（申报稿）</v>
      </c>
      <c r="D2671" t="s">
        <v>9036</v>
      </c>
      <c r="E2671" t="s">
        <v>6094</v>
      </c>
      <c r="F2671" t="s">
        <v>5513</v>
      </c>
    </row>
    <row r="2672" spans="1:6" x14ac:dyDescent="0.15">
      <c r="A2672" s="1">
        <v>40183</v>
      </c>
      <c r="B2672" t="s">
        <v>4054</v>
      </c>
      <c r="C2672" s="2" t="str">
        <f>HYPERLINK("http://snap.windin.com/ns/bulletin.php?id=1808060&amp;type=1", "南洋科技:首发招股说明书（申报稿）")</f>
        <v>南洋科技:首发招股说明书（申报稿）</v>
      </c>
      <c r="D2672" t="s">
        <v>9037</v>
      </c>
      <c r="E2672" t="s">
        <v>6092</v>
      </c>
      <c r="F2672" t="s">
        <v>5513</v>
      </c>
    </row>
    <row r="2673" spans="1:6" x14ac:dyDescent="0.15">
      <c r="A2673" s="1">
        <v>40183</v>
      </c>
      <c r="B2673" t="s">
        <v>4039</v>
      </c>
      <c r="C2673" s="2" t="str">
        <f>HYPERLINK("http://snap.windin.com/ns/bulletin.php?id=974585&amp;type=1", "双象股份:首发招股说明书（申报稿）")</f>
        <v>双象股份:首发招股说明书（申报稿）</v>
      </c>
      <c r="D2673" t="s">
        <v>9038</v>
      </c>
      <c r="E2673" t="s">
        <v>6075</v>
      </c>
      <c r="F2673" t="s">
        <v>5513</v>
      </c>
    </row>
    <row r="2674" spans="1:6" x14ac:dyDescent="0.15">
      <c r="A2674" s="1">
        <v>40182</v>
      </c>
      <c r="B2674" t="s">
        <v>4139</v>
      </c>
      <c r="C2674" s="2" t="str">
        <f>HYPERLINK("http://snap.windin.com/ns/bulletin.php?id=748053&amp;type=1", "奥普光电:首次公开发行股票招股说明书")</f>
        <v>奥普光电:首次公开发行股票招股说明书</v>
      </c>
      <c r="D2674" t="s">
        <v>9039</v>
      </c>
      <c r="E2674" t="s">
        <v>6196</v>
      </c>
      <c r="F2674" t="s">
        <v>399</v>
      </c>
    </row>
    <row r="2675" spans="1:6" x14ac:dyDescent="0.15">
      <c r="A2675" s="1">
        <v>40182</v>
      </c>
      <c r="B2675" t="s">
        <v>4140</v>
      </c>
      <c r="C2675" s="2" t="str">
        <f>HYPERLINK("http://snap.windin.com/ns/bulletin.php?id=970850&amp;type=1", "赛象科技:首次公开发行股票招股说明书")</f>
        <v>赛象科技:首次公开发行股票招股说明书</v>
      </c>
      <c r="D2675" t="s">
        <v>9040</v>
      </c>
      <c r="E2675" t="s">
        <v>6197</v>
      </c>
      <c r="F2675" t="s">
        <v>399</v>
      </c>
    </row>
    <row r="2676" spans="1:6" x14ac:dyDescent="0.15">
      <c r="A2676" s="1">
        <v>40178</v>
      </c>
      <c r="B2676" t="s">
        <v>4141</v>
      </c>
      <c r="C2676" s="2" t="str">
        <f>HYPERLINK("http://snap.windin.com/ns/bulletin.php?id=1718681&amp;type=1", "科华恒盛:首次公开发行股票招股说明书")</f>
        <v>科华恒盛:首次公开发行股票招股说明书</v>
      </c>
      <c r="D2676" t="s">
        <v>9041</v>
      </c>
      <c r="E2676" t="s">
        <v>6198</v>
      </c>
      <c r="F2676" t="s">
        <v>399</v>
      </c>
    </row>
    <row r="2677" spans="1:6" x14ac:dyDescent="0.15">
      <c r="A2677" s="1">
        <v>40178</v>
      </c>
      <c r="B2677" t="s">
        <v>4142</v>
      </c>
      <c r="C2677" s="2" t="str">
        <f>HYPERLINK("http://snap.windin.com/ns/bulletin.php?id=942702&amp;type=1", "英威腾:首次公开发行股票招股说明书")</f>
        <v>英威腾:首次公开发行股票招股说明书</v>
      </c>
      <c r="D2677" t="s">
        <v>9042</v>
      </c>
      <c r="E2677" t="s">
        <v>6199</v>
      </c>
      <c r="F2677" t="s">
        <v>399</v>
      </c>
    </row>
    <row r="2678" spans="1:6" x14ac:dyDescent="0.15">
      <c r="A2678" s="1">
        <v>40178</v>
      </c>
      <c r="B2678" t="s">
        <v>4143</v>
      </c>
      <c r="C2678" s="2" t="str">
        <f>HYPERLINK("http://snap.windin.com/ns/bulletin.php?id=850397&amp;type=1", "人人乐:首次公开发行股票招股说明书")</f>
        <v>人人乐:首次公开发行股票招股说明书</v>
      </c>
      <c r="D2678" t="s">
        <v>9043</v>
      </c>
      <c r="E2678" t="s">
        <v>6200</v>
      </c>
      <c r="F2678" t="s">
        <v>399</v>
      </c>
    </row>
    <row r="2679" spans="1:6" x14ac:dyDescent="0.15">
      <c r="A2679" s="1">
        <v>40175</v>
      </c>
      <c r="B2679" t="s">
        <v>5</v>
      </c>
      <c r="C2679" s="2" t="str">
        <f>HYPERLINK("http://snap.windin.com/ns/bulletin.php?id=1265927&amp;type=1", "中国北车:首次公开发行股票招股说明书")</f>
        <v>中国北车:首次公开发行股票招股说明书</v>
      </c>
      <c r="D2679" t="s">
        <v>9044</v>
      </c>
      <c r="E2679" t="s">
        <v>384</v>
      </c>
      <c r="F2679" t="s">
        <v>399</v>
      </c>
    </row>
    <row r="2680" spans="1:6" x14ac:dyDescent="0.15">
      <c r="A2680" s="1">
        <v>40173</v>
      </c>
      <c r="B2680" t="s">
        <v>4059</v>
      </c>
      <c r="C2680" s="2" t="str">
        <f>HYPERLINK("http://snap.windin.com/ns/bulletin.php?id=1682795&amp;type=1", "重庆水务:首发招股说明书（申报稿）")</f>
        <v>重庆水务:首发招股说明书（申报稿）</v>
      </c>
      <c r="D2680" t="s">
        <v>9045</v>
      </c>
      <c r="E2680" t="s">
        <v>6097</v>
      </c>
      <c r="F2680" t="s">
        <v>5513</v>
      </c>
    </row>
    <row r="2681" spans="1:6" x14ac:dyDescent="0.15">
      <c r="A2681" s="1">
        <v>40173</v>
      </c>
      <c r="B2681" t="s">
        <v>4097</v>
      </c>
      <c r="C2681" s="2" t="str">
        <f>HYPERLINK("http://snap.windin.com/ns/bulletin.php?id=1745647&amp;type=1", "蓝色光标:创业板首发招股说明书（申报稿）")</f>
        <v>蓝色光标:创业板首发招股说明书（申报稿）</v>
      </c>
      <c r="D2681" t="s">
        <v>9046</v>
      </c>
      <c r="E2681" t="s">
        <v>6146</v>
      </c>
      <c r="F2681" t="s">
        <v>5450</v>
      </c>
    </row>
    <row r="2682" spans="1:6" x14ac:dyDescent="0.15">
      <c r="A2682" s="1">
        <v>40173</v>
      </c>
      <c r="B2682" t="s">
        <v>4100</v>
      </c>
      <c r="C2682" s="2" t="str">
        <f>HYPERLINK("http://snap.windin.com/ns/bulletin.php?id=1312339&amp;type=1", "万顺股份:创业板首发招股说明书（申报稿）")</f>
        <v>万顺股份:创业板首发招股说明书（申报稿）</v>
      </c>
      <c r="D2682" t="s">
        <v>9047</v>
      </c>
      <c r="E2682" t="s">
        <v>6149</v>
      </c>
      <c r="F2682" t="s">
        <v>5450</v>
      </c>
    </row>
    <row r="2683" spans="1:6" x14ac:dyDescent="0.15">
      <c r="A2683" s="1">
        <v>40173</v>
      </c>
      <c r="B2683" t="s">
        <v>4098</v>
      </c>
      <c r="C2683" s="2" t="str">
        <f>HYPERLINK("http://snap.windin.com/ns/bulletin.php?id=1380319&amp;type=1", "万邦达:创业板首发招股说明书（申报稿）")</f>
        <v>万邦达:创业板首发招股说明书（申报稿）</v>
      </c>
      <c r="D2683" t="s">
        <v>9048</v>
      </c>
      <c r="E2683" t="s">
        <v>6147</v>
      </c>
      <c r="F2683" t="s">
        <v>5450</v>
      </c>
    </row>
    <row r="2684" spans="1:6" x14ac:dyDescent="0.15">
      <c r="A2684" s="1">
        <v>40173</v>
      </c>
      <c r="B2684" t="s">
        <v>4057</v>
      </c>
      <c r="C2684" s="2" t="str">
        <f>HYPERLINK("http://snap.windin.com/ns/bulletin.php?id=464389&amp;type=1", "新亚制程:首发招股说明书（申报稿）")</f>
        <v>新亚制程:首发招股说明书（申报稿）</v>
      </c>
      <c r="D2684" t="s">
        <v>9049</v>
      </c>
      <c r="E2684" t="s">
        <v>6095</v>
      </c>
      <c r="F2684" t="s">
        <v>5513</v>
      </c>
    </row>
    <row r="2685" spans="1:6" x14ac:dyDescent="0.15">
      <c r="A2685" s="1">
        <v>40173</v>
      </c>
      <c r="B2685" t="s">
        <v>4099</v>
      </c>
      <c r="C2685" s="2" t="str">
        <f>HYPERLINK("http://snap.windin.com/ns/bulletin.php?id=2068886&amp;type=1", "三维丝:厦门三维丝环保股份有限公司创业板首发招股说明书（申报稿）")</f>
        <v>三维丝:厦门三维丝环保股份有限公司创业板首发招股说明书（申报稿）</v>
      </c>
      <c r="D2685" t="s">
        <v>9050</v>
      </c>
      <c r="E2685" t="s">
        <v>6148</v>
      </c>
      <c r="F2685" t="s">
        <v>6201</v>
      </c>
    </row>
    <row r="2686" spans="1:6" x14ac:dyDescent="0.15">
      <c r="A2686" s="1">
        <v>40173</v>
      </c>
      <c r="B2686" t="s">
        <v>4105</v>
      </c>
      <c r="C2686" s="2" t="str">
        <f>HYPERLINK("http://snap.windin.com/ns/bulletin.php?id=1517242&amp;type=1", "欧比特:创业板首发招股说明书（申报稿）")</f>
        <v>欧比特:创业板首发招股说明书（申报稿）</v>
      </c>
      <c r="D2686" t="s">
        <v>9051</v>
      </c>
      <c r="E2686" t="s">
        <v>6154</v>
      </c>
      <c r="F2686" t="s">
        <v>5450</v>
      </c>
    </row>
    <row r="2687" spans="1:6" x14ac:dyDescent="0.15">
      <c r="A2687" s="1">
        <v>40172</v>
      </c>
      <c r="B2687" t="s">
        <v>4045</v>
      </c>
      <c r="C2687" s="2" t="str">
        <f>HYPERLINK("http://snap.windin.com/ns/bulletin.php?id=1155975&amp;type=1", "力生制药:首发招股说明书（申报稿）")</f>
        <v>力生制药:首发招股说明书（申报稿）</v>
      </c>
      <c r="D2687" t="s">
        <v>9052</v>
      </c>
      <c r="E2687" t="s">
        <v>6081</v>
      </c>
      <c r="F2687" t="s">
        <v>5513</v>
      </c>
    </row>
    <row r="2688" spans="1:6" x14ac:dyDescent="0.15">
      <c r="A2688" s="1">
        <v>40172</v>
      </c>
      <c r="B2688" t="s">
        <v>4144</v>
      </c>
      <c r="C2688" s="2" t="str">
        <f>HYPERLINK("http://snap.windin.com/ns/bulletin.php?id=1156520&amp;type=1", "罗普斯金:首次公开发行股票招股说明书")</f>
        <v>罗普斯金:首次公开发行股票招股说明书</v>
      </c>
      <c r="D2688" t="s">
        <v>9053</v>
      </c>
      <c r="E2688" t="s">
        <v>6202</v>
      </c>
      <c r="F2688" t="s">
        <v>399</v>
      </c>
    </row>
    <row r="2689" spans="1:6" x14ac:dyDescent="0.15">
      <c r="A2689" s="1">
        <v>40172</v>
      </c>
      <c r="B2689" t="s">
        <v>4042</v>
      </c>
      <c r="C2689" s="2" t="str">
        <f>HYPERLINK("http://snap.windin.com/ns/bulletin.php?id=2009412&amp;type=1", "联发股份:首发招股说明书(申报稿)")</f>
        <v>联发股份:首发招股说明书(申报稿)</v>
      </c>
      <c r="D2689" t="s">
        <v>9054</v>
      </c>
      <c r="E2689" t="s">
        <v>6078</v>
      </c>
      <c r="F2689" t="s">
        <v>5523</v>
      </c>
    </row>
    <row r="2690" spans="1:6" x14ac:dyDescent="0.15">
      <c r="A2690" s="1">
        <v>40172</v>
      </c>
      <c r="B2690" t="s">
        <v>4145</v>
      </c>
      <c r="C2690" s="2" t="str">
        <f>HYPERLINK("http://snap.windin.com/ns/bulletin.php?id=1116048&amp;type=1", "仙琚制药:首次公开发行股票招股说明书")</f>
        <v>仙琚制药:首次公开发行股票招股说明书</v>
      </c>
      <c r="D2690" t="s">
        <v>9055</v>
      </c>
      <c r="E2690" t="s">
        <v>6203</v>
      </c>
      <c r="F2690" t="s">
        <v>399</v>
      </c>
    </row>
    <row r="2691" spans="1:6" x14ac:dyDescent="0.15">
      <c r="A2691" s="1">
        <v>40171</v>
      </c>
      <c r="B2691" t="s">
        <v>4146</v>
      </c>
      <c r="C2691" s="2" t="str">
        <f>HYPERLINK("http://snap.windin.com/ns/bulletin.php?id=992633&amp;type=1", "首次公开发行股票招股说明书")</f>
        <v>首次公开发行股票招股说明书</v>
      </c>
      <c r="D2691" t="s">
        <v>9056</v>
      </c>
      <c r="E2691" t="s">
        <v>9690</v>
      </c>
      <c r="F2691" t="s">
        <v>399</v>
      </c>
    </row>
    <row r="2692" spans="1:6" x14ac:dyDescent="0.15">
      <c r="A2692" s="1">
        <v>40170</v>
      </c>
      <c r="B2692" t="s">
        <v>4147</v>
      </c>
      <c r="C2692" s="2" t="str">
        <f>HYPERLINK("http://snap.windin.com/ns/bulletin.php?id=1240810&amp;type=1", "新宙邦：首次公开发行股票并在创业板上市招股说明书")</f>
        <v>新宙邦：首次公开发行股票并在创业板上市招股说明书</v>
      </c>
      <c r="D2692" t="s">
        <v>9057</v>
      </c>
      <c r="E2692" t="s">
        <v>6272</v>
      </c>
      <c r="F2692" t="s">
        <v>455</v>
      </c>
    </row>
    <row r="2693" spans="1:6" x14ac:dyDescent="0.15">
      <c r="A2693" s="1">
        <v>40170</v>
      </c>
      <c r="B2693" t="s">
        <v>4148</v>
      </c>
      <c r="C2693" s="2" t="str">
        <f>HYPERLINK("http://snap.windin.com/ns/bulletin.php?id=1306515&amp;type=1", "上海凯宝：首次公开发行股票并在创业板上市招股说明书")</f>
        <v>上海凯宝：首次公开发行股票并在创业板上市招股说明书</v>
      </c>
      <c r="D2693" t="s">
        <v>9058</v>
      </c>
      <c r="E2693" t="s">
        <v>6273</v>
      </c>
      <c r="F2693" t="s">
        <v>455</v>
      </c>
    </row>
    <row r="2694" spans="1:6" x14ac:dyDescent="0.15">
      <c r="A2694" s="1">
        <v>40170</v>
      </c>
      <c r="B2694" t="s">
        <v>4149</v>
      </c>
      <c r="C2694" s="2" t="str">
        <f>HYPERLINK("http://snap.windin.com/ns/bulletin.php?id=465237&amp;type=1", "九洲电气：首次公开发行股票并在创业板上市招股说明书")</f>
        <v>九洲电气：首次公开发行股票并在创业板上市招股说明书</v>
      </c>
      <c r="D2694" t="s">
        <v>9059</v>
      </c>
      <c r="E2694" t="s">
        <v>6274</v>
      </c>
      <c r="F2694" t="s">
        <v>455</v>
      </c>
    </row>
    <row r="2695" spans="1:6" x14ac:dyDescent="0.15">
      <c r="A2695" s="1">
        <v>40170</v>
      </c>
      <c r="B2695" t="s">
        <v>4150</v>
      </c>
      <c r="C2695" s="2" t="str">
        <f>HYPERLINK("http://snap.windin.com/ns/bulletin.php?id=453284&amp;type=1", "梅泰诺：首次公开发行股票并在创业板上市招股说明书")</f>
        <v>梅泰诺：首次公开发行股票并在创业板上市招股说明书</v>
      </c>
      <c r="D2695" t="s">
        <v>9060</v>
      </c>
      <c r="E2695" t="s">
        <v>6275</v>
      </c>
      <c r="F2695" t="s">
        <v>455</v>
      </c>
    </row>
    <row r="2696" spans="1:6" x14ac:dyDescent="0.15">
      <c r="A2696" s="1">
        <v>40170</v>
      </c>
      <c r="B2696" t="s">
        <v>4151</v>
      </c>
      <c r="C2696" s="2" t="str">
        <f>HYPERLINK("http://snap.windin.com/ns/bulletin.php?id=1890957&amp;type=1", "朗科科技：首次公开发行股票并在创业板上市招股说明书")</f>
        <v>朗科科技：首次公开发行股票并在创业板上市招股说明书</v>
      </c>
      <c r="D2696" t="s">
        <v>9061</v>
      </c>
      <c r="E2696" t="s">
        <v>6276</v>
      </c>
      <c r="F2696" t="s">
        <v>455</v>
      </c>
    </row>
    <row r="2697" spans="1:6" x14ac:dyDescent="0.15">
      <c r="A2697" s="1">
        <v>40170</v>
      </c>
      <c r="B2697" t="s">
        <v>4152</v>
      </c>
      <c r="C2697" s="2" t="str">
        <f>HYPERLINK("http://snap.windin.com/ns/bulletin.php?id=992581&amp;type=1", "回天胶业：首次公开发行股票并在创业板上市招股说明书")</f>
        <v>回天胶业：首次公开发行股票并在创业板上市招股说明书</v>
      </c>
      <c r="D2697" t="s">
        <v>9062</v>
      </c>
      <c r="E2697" t="s">
        <v>6277</v>
      </c>
      <c r="F2697" t="s">
        <v>455</v>
      </c>
    </row>
    <row r="2698" spans="1:6" x14ac:dyDescent="0.15">
      <c r="A2698" s="1">
        <v>40169</v>
      </c>
      <c r="B2698" t="s">
        <v>4074</v>
      </c>
      <c r="C2698" s="2" t="str">
        <f>HYPERLINK("http://snap.windin.com/ns/bulletin.php?id=1784884&amp;type=1", "湖北国创：湖北国创高新材料股份有限公司首发招股说明书（申报稿）")</f>
        <v>湖北国创：湖北国创高新材料股份有限公司首发招股说明书（申报稿）</v>
      </c>
      <c r="D2698" t="s">
        <v>9063</v>
      </c>
      <c r="E2698" t="s">
        <v>6278</v>
      </c>
      <c r="F2698" t="s">
        <v>6279</v>
      </c>
    </row>
    <row r="2699" spans="1:6" x14ac:dyDescent="0.15">
      <c r="A2699" s="1">
        <v>40169</v>
      </c>
      <c r="B2699" t="s">
        <v>275</v>
      </c>
      <c r="C2699" s="2" t="str">
        <f>HYPERLINK("http://snap.windin.com/ns/bulletin.php?id=1998135&amp;type=1", "佳创视讯：深圳市佳创视讯技术股份有限公司创业板首发招股说明书（申报稿）")</f>
        <v>佳创视讯：深圳市佳创视讯技术股份有限公司创业板首发招股说明书（申报稿）</v>
      </c>
      <c r="D2699" t="s">
        <v>9064</v>
      </c>
      <c r="E2699" t="s">
        <v>760</v>
      </c>
      <c r="F2699" t="s">
        <v>6280</v>
      </c>
    </row>
    <row r="2700" spans="1:6" x14ac:dyDescent="0.15">
      <c r="A2700" s="1">
        <v>40169</v>
      </c>
      <c r="B2700" t="s">
        <v>4061</v>
      </c>
      <c r="C2700" s="2" t="str">
        <f>HYPERLINK("http://snap.windin.com/ns/bulletin.php?id=174536&amp;type=1", "宜宾天原：宜宾天原集团股份有限公司首发招股说明书(申报稿)")</f>
        <v>宜宾天原：宜宾天原集团股份有限公司首发招股说明书(申报稿)</v>
      </c>
      <c r="D2700" t="s">
        <v>9065</v>
      </c>
      <c r="E2700" t="s">
        <v>6281</v>
      </c>
      <c r="F2700" t="s">
        <v>6282</v>
      </c>
    </row>
    <row r="2701" spans="1:6" x14ac:dyDescent="0.15">
      <c r="A2701" s="1">
        <v>40169</v>
      </c>
      <c r="B2701" t="s">
        <v>4153</v>
      </c>
      <c r="C2701" s="2" t="str">
        <f>HYPERLINK("http://snap.windin.com/ns/bulletin.php?id=1422641&amp;type=1", "皖通科技：首次公开发行股票招股说明书")</f>
        <v>皖通科技：首次公开发行股票招股说明书</v>
      </c>
      <c r="D2701" t="s">
        <v>9066</v>
      </c>
      <c r="E2701" t="s">
        <v>6283</v>
      </c>
      <c r="F2701" t="s">
        <v>399</v>
      </c>
    </row>
    <row r="2702" spans="1:6" x14ac:dyDescent="0.15">
      <c r="A2702" s="1">
        <v>40169</v>
      </c>
      <c r="B2702" t="s">
        <v>4154</v>
      </c>
      <c r="C2702" s="2" t="str">
        <f>HYPERLINK("http://snap.windin.com/ns/bulletin.php?id=2100162&amp;type=1", "得利斯：首次公开发行股票招股说明书")</f>
        <v>得利斯：首次公开发行股票招股说明书</v>
      </c>
      <c r="D2702" t="s">
        <v>9067</v>
      </c>
      <c r="E2702" t="s">
        <v>6284</v>
      </c>
      <c r="F2702" t="s">
        <v>399</v>
      </c>
    </row>
    <row r="2703" spans="1:6" x14ac:dyDescent="0.15">
      <c r="A2703" s="1">
        <v>40169</v>
      </c>
      <c r="B2703" t="s">
        <v>4101</v>
      </c>
      <c r="C2703" s="2" t="str">
        <f>HYPERLINK("http://snap.windin.com/ns/bulletin.php?id=2037096&amp;type=1", "鼎龙股份:湖北鼎龙化学股份有限公司创业板首发招股说明书（申报稿）")</f>
        <v>鼎龙股份:湖北鼎龙化学股份有限公司创业板首发招股说明书（申报稿）</v>
      </c>
      <c r="D2703" t="s">
        <v>9068</v>
      </c>
      <c r="E2703" t="s">
        <v>6150</v>
      </c>
    </row>
    <row r="2704" spans="1:6" x14ac:dyDescent="0.15">
      <c r="A2704" s="1">
        <v>40169</v>
      </c>
      <c r="B2704" t="s">
        <v>4102</v>
      </c>
      <c r="C2704" s="2" t="str">
        <f>HYPERLINK("http://snap.windin.com/ns/bulletin.php?id=1476705&amp;type=1", "中青宝网：深圳市中青宝网网络科技股份有限公司创业板首发招股说明书（申报稿）")</f>
        <v>中青宝网：深圳市中青宝网网络科技股份有限公司创业板首发招股说明书（申报稿）</v>
      </c>
      <c r="D2704" t="s">
        <v>9069</v>
      </c>
      <c r="E2704" t="s">
        <v>6285</v>
      </c>
      <c r="F2704" t="s">
        <v>6286</v>
      </c>
    </row>
    <row r="2705" spans="1:6" x14ac:dyDescent="0.15">
      <c r="A2705" s="1">
        <v>40169</v>
      </c>
      <c r="B2705" t="s">
        <v>4058</v>
      </c>
      <c r="C2705" s="2" t="str">
        <f>HYPERLINK("http://snap.windin.com/ns/bulletin.php?id=1066548&amp;type=1", "苏州东山：苏州东山精密制造股份有限公司首发招股说明书（申报稿）")</f>
        <v>苏州东山：苏州东山精密制造股份有限公司首发招股说明书（申报稿）</v>
      </c>
      <c r="D2705" t="s">
        <v>9070</v>
      </c>
      <c r="E2705" t="s">
        <v>6287</v>
      </c>
      <c r="F2705" t="s">
        <v>6288</v>
      </c>
    </row>
    <row r="2706" spans="1:6" x14ac:dyDescent="0.15">
      <c r="A2706" s="1">
        <v>40169</v>
      </c>
      <c r="B2706" t="s">
        <v>4060</v>
      </c>
      <c r="C2706" s="2" t="str">
        <f>HYPERLINK("http://snap.windin.com/ns/bulletin.php?id=693361&amp;type=1", "大北农：北京大北农科技集团股份有限公司首发招股说明书（申报稿）")</f>
        <v>大北农：北京大北农科技集团股份有限公司首发招股说明书（申报稿）</v>
      </c>
      <c r="D2706" t="s">
        <v>9071</v>
      </c>
      <c r="E2706" t="s">
        <v>6099</v>
      </c>
      <c r="F2706" t="s">
        <v>6289</v>
      </c>
    </row>
    <row r="2707" spans="1:6" x14ac:dyDescent="0.15">
      <c r="A2707" s="1">
        <v>40169</v>
      </c>
      <c r="B2707" t="s">
        <v>4155</v>
      </c>
      <c r="C2707" s="2" t="str">
        <f>HYPERLINK("http://snap.windin.com/ns/bulletin.php?id=785807&amp;type=1", "皇氏乳业：首次公开发行股票招股说明书")</f>
        <v>皇氏乳业：首次公开发行股票招股说明书</v>
      </c>
      <c r="D2707" t="s">
        <v>9072</v>
      </c>
      <c r="E2707" t="s">
        <v>6290</v>
      </c>
      <c r="F2707" t="s">
        <v>399</v>
      </c>
    </row>
    <row r="2708" spans="1:6" x14ac:dyDescent="0.15">
      <c r="A2708" s="1">
        <v>40166</v>
      </c>
      <c r="B2708" t="s">
        <v>4103</v>
      </c>
      <c r="C2708" s="2" t="str">
        <f>HYPERLINK("http://snap.windin.com/ns/bulletin.php?id=1712684&amp;type=1", "三五互联：厦门三五互联科技股份有限公司创业板首发招股说明书（申报稿）")</f>
        <v>三五互联：厦门三五互联科技股份有限公司创业板首发招股说明书（申报稿）</v>
      </c>
      <c r="D2708" t="s">
        <v>9073</v>
      </c>
      <c r="E2708" t="s">
        <v>6152</v>
      </c>
      <c r="F2708" t="s">
        <v>6291</v>
      </c>
    </row>
    <row r="2709" spans="1:6" x14ac:dyDescent="0.15">
      <c r="A2709" s="1">
        <v>40166</v>
      </c>
      <c r="B2709" t="s">
        <v>236</v>
      </c>
      <c r="C2709" s="2" t="str">
        <f>HYPERLINK("http://snap.windin.com/ns/bulletin.php?id=1663276&amp;type=1", "海联讯：深圳海联讯科技股份有限公司创业板首发招股说明书（申报稿）")</f>
        <v>海联讯：深圳海联讯科技股份有限公司创业板首发招股说明书（申报稿）</v>
      </c>
      <c r="D2709" t="s">
        <v>9074</v>
      </c>
      <c r="E2709" t="s">
        <v>717</v>
      </c>
      <c r="F2709" t="s">
        <v>6292</v>
      </c>
    </row>
    <row r="2710" spans="1:6" x14ac:dyDescent="0.15">
      <c r="A2710" s="1">
        <v>40166</v>
      </c>
      <c r="B2710" t="s">
        <v>4046</v>
      </c>
      <c r="C2710" s="2" t="str">
        <f>HYPERLINK("http://snap.windin.com/ns/bulletin.php?id=210503&amp;type=1", "北京利尔：北京利尔高温材料股份有限公司首发招股说明书（申报稿）")</f>
        <v>北京利尔：北京利尔高温材料股份有限公司首发招股说明书（申报稿）</v>
      </c>
      <c r="D2710" t="s">
        <v>9075</v>
      </c>
      <c r="E2710" t="s">
        <v>6082</v>
      </c>
      <c r="F2710" t="s">
        <v>6293</v>
      </c>
    </row>
    <row r="2711" spans="1:6" x14ac:dyDescent="0.15">
      <c r="A2711" s="1">
        <v>40166</v>
      </c>
      <c r="B2711" t="s">
        <v>240</v>
      </c>
      <c r="C2711" s="2" t="str">
        <f>HYPERLINK("http://snap.windin.com/ns/bulletin.php?id=1209194&amp;type=1", "华西能源：华西能源工业股份有限公司首发招股说明书（申报稿）")</f>
        <v>华西能源：华西能源工业股份有限公司首发招股说明书（申报稿）</v>
      </c>
      <c r="D2711" t="s">
        <v>9076</v>
      </c>
      <c r="E2711" t="s">
        <v>721</v>
      </c>
      <c r="F2711" t="s">
        <v>6294</v>
      </c>
    </row>
    <row r="2712" spans="1:6" x14ac:dyDescent="0.15">
      <c r="A2712" s="1">
        <v>40165</v>
      </c>
      <c r="B2712" t="s">
        <v>3999</v>
      </c>
      <c r="C2712" s="2" t="str">
        <f>HYPERLINK("http://snap.windin.com/ns/bulletin.php?id=1330585&amp;type=1", "达实智能：深圳达实智能股份有限公司首发招股说明书（申报稿）")</f>
        <v>达实智能：深圳达实智能股份有限公司首发招股说明书（申报稿）</v>
      </c>
      <c r="D2712" t="s">
        <v>9077</v>
      </c>
      <c r="E2712" t="s">
        <v>6032</v>
      </c>
      <c r="F2712" t="s">
        <v>6295</v>
      </c>
    </row>
    <row r="2713" spans="1:6" x14ac:dyDescent="0.15">
      <c r="A2713" s="1">
        <v>40165</v>
      </c>
      <c r="B2713" t="s">
        <v>4062</v>
      </c>
      <c r="C2713" s="2" t="str">
        <f>HYPERLINK("http://snap.windin.com/ns/bulletin.php?id=687545&amp;type=1", "蓝帆塑胶：山东蓝帆塑胶股份有限公司首发招股说明书(申报稿)")</f>
        <v>蓝帆塑胶：山东蓝帆塑胶股份有限公司首发招股说明书(申报稿)</v>
      </c>
      <c r="D2713" t="s">
        <v>9078</v>
      </c>
      <c r="E2713" t="s">
        <v>6296</v>
      </c>
      <c r="F2713" t="s">
        <v>6297</v>
      </c>
    </row>
    <row r="2714" spans="1:6" x14ac:dyDescent="0.15">
      <c r="A2714" s="1">
        <v>40164</v>
      </c>
      <c r="B2714" t="s">
        <v>4156</v>
      </c>
      <c r="C2714" s="2" t="str">
        <f>HYPERLINK("http://snap.windin.com/ns/bulletin.php?id=103787&amp;type=1", "新朋股份：首次公开发行股票招股说明书")</f>
        <v>新朋股份：首次公开发行股票招股说明书</v>
      </c>
      <c r="D2714" t="s">
        <v>9079</v>
      </c>
      <c r="E2714" t="s">
        <v>6298</v>
      </c>
      <c r="F2714" t="s">
        <v>399</v>
      </c>
    </row>
    <row r="2715" spans="1:6" x14ac:dyDescent="0.15">
      <c r="A2715" s="1">
        <v>40164</v>
      </c>
      <c r="B2715" t="s">
        <v>4157</v>
      </c>
      <c r="C2715" s="2" t="str">
        <f>HYPERLINK("http://snap.windin.com/ns/bulletin.php?id=1951398&amp;type=1", "富安娜：首次公开发行股票招股说明书")</f>
        <v>富安娜：首次公开发行股票招股说明书</v>
      </c>
      <c r="D2715" t="s">
        <v>9080</v>
      </c>
      <c r="E2715" t="s">
        <v>6299</v>
      </c>
      <c r="F2715" t="s">
        <v>399</v>
      </c>
    </row>
    <row r="2716" spans="1:6" x14ac:dyDescent="0.15">
      <c r="A2716" s="1">
        <v>40162</v>
      </c>
      <c r="B2716" t="s">
        <v>4092</v>
      </c>
      <c r="C2716" s="2" t="str">
        <f>HYPERLINK("http://snap.windin.com/ns/bulletin.php?id=1637818&amp;type=1", "隆基机械：山东隆基机械股份有限公司首发招股说明书（申报稿）")</f>
        <v>隆基机械：山东隆基机械股份有限公司首发招股说明书（申报稿）</v>
      </c>
      <c r="D2716" t="s">
        <v>9081</v>
      </c>
      <c r="E2716" t="s">
        <v>6140</v>
      </c>
      <c r="F2716" t="s">
        <v>6300</v>
      </c>
    </row>
    <row r="2717" spans="1:6" x14ac:dyDescent="0.15">
      <c r="A2717" s="1">
        <v>40162</v>
      </c>
      <c r="B2717" t="s">
        <v>4063</v>
      </c>
      <c r="C2717" s="2" t="str">
        <f>HYPERLINK("http://snap.windin.com/ns/bulletin.php?id=1757405&amp;type=1", "合众思壮：北京合众思壮科技股份有限公司首发招股说明书（申报稿）")</f>
        <v>合众思壮：北京合众思壮科技股份有限公司首发招股说明书（申报稿）</v>
      </c>
      <c r="D2717" t="s">
        <v>9082</v>
      </c>
      <c r="E2717" t="s">
        <v>6102</v>
      </c>
      <c r="F2717" t="s">
        <v>6301</v>
      </c>
    </row>
    <row r="2718" spans="1:6" x14ac:dyDescent="0.15">
      <c r="A2718" s="1">
        <v>40162</v>
      </c>
      <c r="B2718" t="s">
        <v>4066</v>
      </c>
      <c r="C2718" s="2" t="str">
        <f>HYPERLINK("http://snap.windin.com/ns/bulletin.php?id=1792472&amp;type=1", "鲁丰铝箔：山东鲁丰铝箔股份有限公司首发招股说明书（申报稿）")</f>
        <v>鲁丰铝箔：山东鲁丰铝箔股份有限公司首发招股说明书（申报稿）</v>
      </c>
      <c r="D2718" t="s">
        <v>9083</v>
      </c>
      <c r="E2718" t="s">
        <v>6302</v>
      </c>
      <c r="F2718" t="s">
        <v>6303</v>
      </c>
    </row>
    <row r="2719" spans="1:6" x14ac:dyDescent="0.15">
      <c r="A2719" s="1">
        <v>40162</v>
      </c>
      <c r="B2719" t="s">
        <v>4158</v>
      </c>
      <c r="C2719" s="2" t="str">
        <f>HYPERLINK("http://snap.windin.com/ns/bulletin.php?id=1172327&amp;type=1", "超图软件：首次公开发行股票并在创业板上市招股说明书")</f>
        <v>超图软件：首次公开发行股票并在创业板上市招股说明书</v>
      </c>
      <c r="D2719" t="s">
        <v>9084</v>
      </c>
      <c r="E2719" t="s">
        <v>6304</v>
      </c>
      <c r="F2719" t="s">
        <v>455</v>
      </c>
    </row>
    <row r="2720" spans="1:6" x14ac:dyDescent="0.15">
      <c r="A2720" s="1">
        <v>40162</v>
      </c>
      <c r="B2720" t="s">
        <v>4159</v>
      </c>
      <c r="C2720" s="2" t="str">
        <f>HYPERLINK("http://snap.windin.com/ns/bulletin.php?id=1418635&amp;type=1", "宝通带业：首次公开发行股票并在创业板上市招股说明书")</f>
        <v>宝通带业：首次公开发行股票并在创业板上市招股说明书</v>
      </c>
      <c r="D2720" t="s">
        <v>9085</v>
      </c>
      <c r="E2720" t="s">
        <v>6305</v>
      </c>
      <c r="F2720" t="s">
        <v>455</v>
      </c>
    </row>
    <row r="2721" spans="1:6" x14ac:dyDescent="0.15">
      <c r="A2721" s="1">
        <v>40162</v>
      </c>
      <c r="B2721" t="s">
        <v>4160</v>
      </c>
      <c r="C2721" s="2" t="str">
        <f>HYPERLINK("http://snap.windin.com/ns/bulletin.php?id=2105156&amp;type=1", "金龙机电：首次公开发行股票并在创业板上市招股说明书")</f>
        <v>金龙机电：首次公开发行股票并在创业板上市招股说明书</v>
      </c>
      <c r="D2721" t="s">
        <v>9086</v>
      </c>
      <c r="E2721" t="s">
        <v>6306</v>
      </c>
      <c r="F2721" t="s">
        <v>455</v>
      </c>
    </row>
    <row r="2722" spans="1:6" x14ac:dyDescent="0.15">
      <c r="A2722" s="1">
        <v>40162</v>
      </c>
      <c r="B2722" t="s">
        <v>4161</v>
      </c>
      <c r="C2722" s="2" t="str">
        <f>HYPERLINK("http://snap.windin.com/ns/bulletin.php?id=2067131&amp;type=1", "天龙光电：首次公开发行股票并在创业板上市招股说明书")</f>
        <v>天龙光电：首次公开发行股票并在创业板上市招股说明书</v>
      </c>
      <c r="D2722" t="s">
        <v>9087</v>
      </c>
      <c r="E2722" t="s">
        <v>6307</v>
      </c>
      <c r="F2722" t="s">
        <v>455</v>
      </c>
    </row>
    <row r="2723" spans="1:6" x14ac:dyDescent="0.15">
      <c r="A2723" s="1">
        <v>40162</v>
      </c>
      <c r="B2723" t="s">
        <v>4162</v>
      </c>
      <c r="C2723" s="2" t="str">
        <f>HYPERLINK("http://snap.windin.com/ns/bulletin.php?id=1879384&amp;type=1", "钢研高纳：首次公开发行股票并在创业板上市招股说明书")</f>
        <v>钢研高纳：首次公开发行股票并在创业板上市招股说明书</v>
      </c>
      <c r="D2723" t="s">
        <v>9088</v>
      </c>
      <c r="E2723" t="s">
        <v>6308</v>
      </c>
      <c r="F2723" t="s">
        <v>455</v>
      </c>
    </row>
    <row r="2724" spans="1:6" x14ac:dyDescent="0.15">
      <c r="A2724" s="1">
        <v>40162</v>
      </c>
      <c r="B2724" t="s">
        <v>4163</v>
      </c>
      <c r="C2724" s="2" t="str">
        <f>HYPERLINK("http://snap.windin.com/ns/bulletin.php?id=1495760&amp;type=1", "中科电气：首次公开发行股票并在创业板上市招股说明书")</f>
        <v>中科电气：首次公开发行股票并在创业板上市招股说明书</v>
      </c>
      <c r="D2724" t="s">
        <v>9089</v>
      </c>
      <c r="E2724" t="s">
        <v>6309</v>
      </c>
      <c r="F2724" t="s">
        <v>455</v>
      </c>
    </row>
    <row r="2725" spans="1:6" x14ac:dyDescent="0.15">
      <c r="A2725" s="1">
        <v>40162</v>
      </c>
      <c r="B2725" t="s">
        <v>4164</v>
      </c>
      <c r="C2725" s="2" t="str">
        <f>HYPERLINK("http://snap.windin.com/ns/bulletin.php?id=575591&amp;type=1", "中国重工：中国重工首次公开发行A股股票招股说明书")</f>
        <v>中国重工：中国重工首次公开发行A股股票招股说明书</v>
      </c>
      <c r="D2725" t="s">
        <v>9090</v>
      </c>
      <c r="E2725" t="s">
        <v>6310</v>
      </c>
      <c r="F2725" t="s">
        <v>6311</v>
      </c>
    </row>
    <row r="2726" spans="1:6" x14ac:dyDescent="0.15">
      <c r="A2726" s="1">
        <v>40162</v>
      </c>
      <c r="B2726" t="s">
        <v>4165</v>
      </c>
      <c r="C2726" s="2" t="str">
        <f>HYPERLINK("http://snap.windin.com/ns/bulletin.php?id=863181&amp;type=1", "同花顺：首次公开发行股票并在创业板上市招股说明书")</f>
        <v>同花顺：首次公开发行股票并在创业板上市招股说明书</v>
      </c>
      <c r="D2726" t="s">
        <v>9091</v>
      </c>
      <c r="E2726" t="s">
        <v>6312</v>
      </c>
      <c r="F2726" t="s">
        <v>455</v>
      </c>
    </row>
    <row r="2727" spans="1:6" x14ac:dyDescent="0.15">
      <c r="A2727" s="1">
        <v>40162</v>
      </c>
      <c r="B2727" t="s">
        <v>4166</v>
      </c>
      <c r="C2727" s="2" t="str">
        <f>HYPERLINK("http://snap.windin.com/ns/bulletin.php?id=775658&amp;type=1", "阳普医疗：首次公开发行股票并在创业板上市招股说明书")</f>
        <v>阳普医疗：首次公开发行股票并在创业板上市招股说明书</v>
      </c>
      <c r="D2727" t="s">
        <v>9092</v>
      </c>
      <c r="E2727" t="s">
        <v>6313</v>
      </c>
      <c r="F2727" t="s">
        <v>455</v>
      </c>
    </row>
    <row r="2728" spans="1:6" x14ac:dyDescent="0.15">
      <c r="A2728" s="1">
        <v>40159</v>
      </c>
      <c r="B2728" t="s">
        <v>4138</v>
      </c>
      <c r="C2728" s="2" t="str">
        <f>HYPERLINK("http://snap.windin.com/ns/bulletin.php?id=158726&amp;type=1", "星辉车模：广东星辉车模股份有限公司创业板首发招股说明书（申报稿）")</f>
        <v>星辉车模：广东星辉车模股份有限公司创业板首发招股说明书（申报稿）</v>
      </c>
      <c r="D2728" t="s">
        <v>9093</v>
      </c>
      <c r="E2728" t="s">
        <v>6195</v>
      </c>
      <c r="F2728" t="s">
        <v>6314</v>
      </c>
    </row>
    <row r="2729" spans="1:6" x14ac:dyDescent="0.15">
      <c r="A2729" s="1">
        <v>40159</v>
      </c>
      <c r="B2729" t="s">
        <v>4137</v>
      </c>
      <c r="C2729" s="2" t="str">
        <f>HYPERLINK("http://snap.windin.com/ns/bulletin.php?id=536420&amp;type=1", "鼎利通信：珠海世纪鼎利通信科技股份有限公司创业板首发招股说明书（申报稿）")</f>
        <v>鼎利通信：珠海世纪鼎利通信科技股份有限公司创业板首发招股说明书（申报稿）</v>
      </c>
      <c r="D2729" t="s">
        <v>9094</v>
      </c>
      <c r="E2729" t="s">
        <v>6315</v>
      </c>
      <c r="F2729" t="s">
        <v>6316</v>
      </c>
    </row>
    <row r="2730" spans="1:6" x14ac:dyDescent="0.15">
      <c r="A2730" s="1">
        <v>40159</v>
      </c>
      <c r="B2730" t="s">
        <v>4133</v>
      </c>
      <c r="C2730" s="2" t="str">
        <f>HYPERLINK("http://snap.windin.com/ns/bulletin.php?id=1818718&amp;type=1", "赛为智能：深圳市赛为智能股份有限公司创业板首发招股说明书（申报稿）")</f>
        <v>赛为智能：深圳市赛为智能股份有限公司创业板首发招股说明书（申报稿）</v>
      </c>
      <c r="D2730" t="s">
        <v>9095</v>
      </c>
      <c r="E2730" t="s">
        <v>6190</v>
      </c>
      <c r="F2730" t="s">
        <v>6317</v>
      </c>
    </row>
    <row r="2731" spans="1:6" x14ac:dyDescent="0.15">
      <c r="A2731" s="1">
        <v>40159</v>
      </c>
      <c r="B2731" t="s">
        <v>4130</v>
      </c>
      <c r="C2731" s="2" t="str">
        <f>HYPERLINK("http://snap.windin.com/ns/bulletin.php?id=1934043&amp;type=1", "台基股份：湖北台基半导体股份有限公司创业板首发招股说明书（申报稿）")</f>
        <v>台基股份：湖北台基半导体股份有限公司创业板首发招股说明书（申报稿）</v>
      </c>
      <c r="D2731" t="s">
        <v>9096</v>
      </c>
      <c r="E2731" t="s">
        <v>6187</v>
      </c>
      <c r="F2731" t="s">
        <v>6318</v>
      </c>
    </row>
    <row r="2732" spans="1:6" x14ac:dyDescent="0.15">
      <c r="A2732" s="1">
        <v>40159</v>
      </c>
      <c r="B2732" t="s">
        <v>4096</v>
      </c>
      <c r="C2732" s="2" t="str">
        <f>HYPERLINK("http://snap.windin.com/ns/bulletin.php?id=1537141&amp;type=1", "中国一重：中国第一重型机械股份公司首发招股说明书（申报稿）")</f>
        <v>中国一重：中国第一重型机械股份公司首发招股说明书（申报稿）</v>
      </c>
      <c r="D2732" t="s">
        <v>9097</v>
      </c>
      <c r="E2732" t="s">
        <v>6144</v>
      </c>
      <c r="F2732" t="s">
        <v>6319</v>
      </c>
    </row>
    <row r="2733" spans="1:6" x14ac:dyDescent="0.15">
      <c r="A2733" s="1">
        <v>40159</v>
      </c>
      <c r="B2733" t="s">
        <v>4067</v>
      </c>
      <c r="C2733" s="2" t="str">
        <f>HYPERLINK("http://snap.windin.com/ns/bulletin.php?id=1082744&amp;type=1", "章源钨业：崇义章源钨业股份有限公司首发招股说明书（申报稿）")</f>
        <v>章源钨业：崇义章源钨业股份有限公司首发招股说明书（申报稿）</v>
      </c>
      <c r="D2733" t="s">
        <v>9098</v>
      </c>
      <c r="E2733" t="s">
        <v>6106</v>
      </c>
      <c r="F2733" t="s">
        <v>6320</v>
      </c>
    </row>
    <row r="2734" spans="1:6" x14ac:dyDescent="0.15">
      <c r="A2734" s="1">
        <v>40158</v>
      </c>
      <c r="B2734" t="s">
        <v>4038</v>
      </c>
      <c r="C2734" s="2" t="str">
        <f>HYPERLINK("http://snap.windin.com/ns/bulletin.php?id=411209&amp;type=1", "梦洁家纺：湖南梦洁家纺股份有限公司首发招股说明书（申报稿）")</f>
        <v>梦洁家纺：湖南梦洁家纺股份有限公司首发招股说明书（申报稿）</v>
      </c>
      <c r="D2734" t="s">
        <v>9099</v>
      </c>
      <c r="E2734" t="s">
        <v>6074</v>
      </c>
      <c r="F2734" t="s">
        <v>6321</v>
      </c>
    </row>
    <row r="2735" spans="1:6" x14ac:dyDescent="0.15">
      <c r="A2735" s="1">
        <v>40158</v>
      </c>
      <c r="B2735" t="s">
        <v>4072</v>
      </c>
      <c r="C2735" s="2" t="str">
        <f>HYPERLINK("http://snap.windin.com/ns/bulletin.php?id=555368&amp;type=1", "新北洋：山东新北洋信息技术股份有限公司首发招股说明书（申报稿）")</f>
        <v>新北洋：山东新北洋信息技术股份有限公司首发招股说明书（申报稿）</v>
      </c>
      <c r="D2735" t="s">
        <v>9100</v>
      </c>
      <c r="E2735" t="s">
        <v>6112</v>
      </c>
      <c r="F2735" t="s">
        <v>6322</v>
      </c>
    </row>
    <row r="2736" spans="1:6" x14ac:dyDescent="0.15">
      <c r="A2736" s="1">
        <v>40157</v>
      </c>
      <c r="B2736" t="s">
        <v>4167</v>
      </c>
      <c r="C2736" s="2" t="str">
        <f>HYPERLINK("http://snap.windin.com/ns/bulletin.php?id=467841&amp;type=1", "洪涛股份：首次公开发行股票招股说明书")</f>
        <v>洪涛股份：首次公开发行股票招股说明书</v>
      </c>
      <c r="D2736" t="s">
        <v>9101</v>
      </c>
      <c r="E2736" t="s">
        <v>6323</v>
      </c>
      <c r="F2736" t="s">
        <v>399</v>
      </c>
    </row>
    <row r="2737" spans="1:6" x14ac:dyDescent="0.15">
      <c r="A2737" s="1">
        <v>40157</v>
      </c>
      <c r="B2737" t="s">
        <v>4168</v>
      </c>
      <c r="C2737" s="2" t="str">
        <f>HYPERLINK("http://snap.windin.com/ns/bulletin.php?id=1434270&amp;type=1", "中国太保：中国太保关于刊发H股招股说明书、H股发行价格区间及H股香港公开发售等相关事宜的公告")</f>
        <v>中国太保：中国太保关于刊发H股招股说明书、H股发行价格区间及H股香港公开发售等相关事宜的公告</v>
      </c>
      <c r="D2737" t="s">
        <v>9102</v>
      </c>
      <c r="E2737" t="s">
        <v>6324</v>
      </c>
      <c r="F2737" t="s">
        <v>6325</v>
      </c>
    </row>
    <row r="2738" spans="1:6" x14ac:dyDescent="0.15">
      <c r="A2738" s="1">
        <v>40157</v>
      </c>
      <c r="B2738" t="s">
        <v>4169</v>
      </c>
      <c r="C2738" s="2" t="str">
        <f>HYPERLINK("http://snap.windin.com/ns/bulletin.php?id=1495604&amp;type=1", "永太科技：首次公开发行股票招股说明书")</f>
        <v>永太科技：首次公开发行股票招股说明书</v>
      </c>
      <c r="D2738" t="s">
        <v>9103</v>
      </c>
      <c r="E2738" t="s">
        <v>6326</v>
      </c>
      <c r="F2738" t="s">
        <v>399</v>
      </c>
    </row>
    <row r="2739" spans="1:6" x14ac:dyDescent="0.15">
      <c r="A2739" s="1">
        <v>40155</v>
      </c>
      <c r="B2739" t="s">
        <v>4170</v>
      </c>
      <c r="C2739" s="2" t="str">
        <f>HYPERLINK("http://snap.windin.com/ns/bulletin.php?id=530693&amp;type=1", "理工监测：首次公开发行股票招股说明书")</f>
        <v>理工监测：首次公开发行股票招股说明书</v>
      </c>
      <c r="D2739" t="s">
        <v>9104</v>
      </c>
      <c r="E2739" t="s">
        <v>6327</v>
      </c>
      <c r="F2739" t="s">
        <v>399</v>
      </c>
    </row>
    <row r="2740" spans="1:6" x14ac:dyDescent="0.15">
      <c r="A2740" s="1">
        <v>40155</v>
      </c>
      <c r="B2740" t="s">
        <v>4171</v>
      </c>
      <c r="C2740" s="2" t="str">
        <f>HYPERLINK("http://snap.windin.com/ns/bulletin.php?id=453652&amp;type=1", "中联电气：首次公开发行股票(A股)招股说明书")</f>
        <v>中联电气：首次公开发行股票(A股)招股说明书</v>
      </c>
      <c r="D2740" t="s">
        <v>9105</v>
      </c>
      <c r="E2740" t="s">
        <v>6328</v>
      </c>
      <c r="F2740" t="s">
        <v>6329</v>
      </c>
    </row>
    <row r="2741" spans="1:6" x14ac:dyDescent="0.15">
      <c r="A2741" s="1">
        <v>40155</v>
      </c>
      <c r="B2741" t="s">
        <v>4136</v>
      </c>
      <c r="C2741" s="2" t="str">
        <f>HYPERLINK("http://snap.windin.com/ns/bulletin.php?id=684745&amp;type=1", "合康亿盛：北京合康亿盛变频科技股份有限公司创业板首发招股说明书（申报稿）")</f>
        <v>合康亿盛：北京合康亿盛变频科技股份有限公司创业板首发招股说明书（申报稿）</v>
      </c>
      <c r="D2741" t="s">
        <v>9106</v>
      </c>
      <c r="E2741" t="s">
        <v>6330</v>
      </c>
      <c r="F2741" t="s">
        <v>6331</v>
      </c>
    </row>
    <row r="2742" spans="1:6" x14ac:dyDescent="0.15">
      <c r="A2742" s="1">
        <v>40155</v>
      </c>
      <c r="B2742" t="s">
        <v>4065</v>
      </c>
      <c r="C2742" s="2" t="str">
        <f>HYPERLINK("http://snap.windin.com/ns/bulletin.php?id=2070153&amp;type=1", "南京科远：南京科远自动化集团股份有限公司首发招股说明书（申报稿）")</f>
        <v>南京科远：南京科远自动化集团股份有限公司首发招股说明书（申报稿）</v>
      </c>
      <c r="D2742" t="s">
        <v>9107</v>
      </c>
      <c r="E2742" t="s">
        <v>6332</v>
      </c>
      <c r="F2742" t="s">
        <v>6333</v>
      </c>
    </row>
    <row r="2743" spans="1:6" x14ac:dyDescent="0.15">
      <c r="A2743" s="1">
        <v>40155</v>
      </c>
      <c r="B2743" t="s">
        <v>3702</v>
      </c>
      <c r="C2743" s="2" t="str">
        <f>HYPERLINK("http://snap.windin.com/ns/bulletin.php?id=2032304&amp;type=1", "集安益盛：吉林省集安益盛药业股份有限公司首发招股说明书（申报稿）")</f>
        <v>集安益盛：吉林省集安益盛药业股份有限公司首发招股说明书（申报稿）</v>
      </c>
      <c r="D2743" t="s">
        <v>9108</v>
      </c>
      <c r="E2743" t="s">
        <v>6334</v>
      </c>
      <c r="F2743" t="s">
        <v>6335</v>
      </c>
    </row>
    <row r="2744" spans="1:6" x14ac:dyDescent="0.15">
      <c r="A2744" s="1">
        <v>40155</v>
      </c>
      <c r="B2744" t="s">
        <v>4172</v>
      </c>
      <c r="C2744" s="2" t="str">
        <f>HYPERLINK("http://snap.windin.com/ns/bulletin.php?id=1480107&amp;type=1", "普利特：首次公开发行股票招股说明书")</f>
        <v>普利特：首次公开发行股票招股说明书</v>
      </c>
      <c r="D2744" t="s">
        <v>9109</v>
      </c>
      <c r="E2744" t="s">
        <v>6336</v>
      </c>
      <c r="F2744" t="s">
        <v>399</v>
      </c>
    </row>
    <row r="2745" spans="1:6" x14ac:dyDescent="0.15">
      <c r="A2745" s="1">
        <v>40155</v>
      </c>
      <c r="B2745" t="s">
        <v>4079</v>
      </c>
      <c r="C2745" s="2" t="str">
        <f>HYPERLINK("http://snap.windin.com/ns/bulletin.php?id=580446&amp;type=1", "联信永益：北京联信永益科技股份有限公司首发招股说明书（申报稿）")</f>
        <v>联信永益：北京联信永益科技股份有限公司首发招股说明书（申报稿）</v>
      </c>
      <c r="D2745" t="s">
        <v>9110</v>
      </c>
      <c r="E2745" t="s">
        <v>6120</v>
      </c>
      <c r="F2745" t="s">
        <v>6337</v>
      </c>
    </row>
    <row r="2746" spans="1:6" x14ac:dyDescent="0.15">
      <c r="A2746" s="1">
        <v>40155</v>
      </c>
      <c r="B2746" t="s">
        <v>4080</v>
      </c>
      <c r="C2746" s="2" t="str">
        <f>HYPERLINK("http://snap.windin.com/ns/bulletin.php?id=570640&amp;type=1", "伟星新材：浙江伟星新型建材股份有限公司招股说明书（申报稿）")</f>
        <v>伟星新材：浙江伟星新型建材股份有限公司招股说明书（申报稿）</v>
      </c>
      <c r="D2746" t="s">
        <v>9111</v>
      </c>
      <c r="E2746" t="s">
        <v>6121</v>
      </c>
      <c r="F2746" t="s">
        <v>6338</v>
      </c>
    </row>
    <row r="2747" spans="1:6" x14ac:dyDescent="0.15">
      <c r="A2747" s="1">
        <v>40152</v>
      </c>
      <c r="B2747" t="s">
        <v>4151</v>
      </c>
      <c r="C2747" s="2" t="str">
        <f>HYPERLINK("http://snap.windin.com/ns/bulletin.php?id=148383&amp;type=1", "朗科科技：深圳市朗科科技股份有限公司创业板首发招股说明书（申报稿）")</f>
        <v>朗科科技：深圳市朗科科技股份有限公司创业板首发招股说明书（申报稿）</v>
      </c>
      <c r="D2747" t="s">
        <v>9112</v>
      </c>
      <c r="E2747" t="s">
        <v>6276</v>
      </c>
      <c r="F2747" t="s">
        <v>6339</v>
      </c>
    </row>
    <row r="2748" spans="1:6" x14ac:dyDescent="0.15">
      <c r="A2748" s="1">
        <v>40152</v>
      </c>
      <c r="B2748" t="s">
        <v>4104</v>
      </c>
      <c r="C2748" s="2" t="str">
        <f>HYPERLINK("http://snap.windin.com/ns/bulletin.php?id=566440&amp;type=1", "二重装备：二重集团（德阳）重型装备股份有限公司首发招股说明书（申报稿)")</f>
        <v>二重装备：二重集团（德阳）重型装备股份有限公司首发招股说明书（申报稿)</v>
      </c>
      <c r="D2748" t="s">
        <v>9113</v>
      </c>
      <c r="E2748" t="s">
        <v>6340</v>
      </c>
      <c r="F2748" t="s">
        <v>6341</v>
      </c>
    </row>
    <row r="2749" spans="1:6" x14ac:dyDescent="0.15">
      <c r="A2749" s="1">
        <v>40152</v>
      </c>
      <c r="B2749" t="s">
        <v>4132</v>
      </c>
      <c r="C2749" s="2" t="str">
        <f>HYPERLINK("http://snap.windin.com/ns/bulletin.php?id=2017706&amp;type=1", "福瑞股份：内蒙古福瑞中蒙药科技股份有限公司创业板首发招股说明书（申报稿）")</f>
        <v>福瑞股份：内蒙古福瑞中蒙药科技股份有限公司创业板首发招股说明书（申报稿）</v>
      </c>
      <c r="D2749" t="s">
        <v>9114</v>
      </c>
      <c r="E2749" t="s">
        <v>6189</v>
      </c>
      <c r="F2749" t="s">
        <v>6342</v>
      </c>
    </row>
    <row r="2750" spans="1:6" x14ac:dyDescent="0.15">
      <c r="A2750" s="1">
        <v>40152</v>
      </c>
      <c r="B2750" t="s">
        <v>4134</v>
      </c>
      <c r="C2750" s="2" t="str">
        <f>HYPERLINK("http://snap.windin.com/ns/bulletin.php?id=1915049&amp;type=1", "天源迪科：深圳天源迪科信息技术股份有限公司创业板首发招股说明书（申报稿）")</f>
        <v>天源迪科：深圳天源迪科信息技术股份有限公司创业板首发招股说明书（申报稿）</v>
      </c>
      <c r="D2750" t="s">
        <v>9115</v>
      </c>
      <c r="E2750" t="s">
        <v>6191</v>
      </c>
      <c r="F2750" t="s">
        <v>6343</v>
      </c>
    </row>
    <row r="2751" spans="1:6" x14ac:dyDescent="0.15">
      <c r="A2751" s="1">
        <v>40152</v>
      </c>
      <c r="B2751" t="s">
        <v>4131</v>
      </c>
      <c r="C2751" s="2" t="str">
        <f>HYPERLINK("http://snap.windin.com/ns/bulletin.php?id=1525139&amp;type=1", "华力创通：北京华力创通科技股份有限公司创业板首发招股说明书（申报稿）")</f>
        <v>华力创通：北京华力创通科技股份有限公司创业板首发招股说明书（申报稿）</v>
      </c>
      <c r="D2751" t="s">
        <v>9116</v>
      </c>
      <c r="E2751" t="s">
        <v>6188</v>
      </c>
      <c r="F2751" t="s">
        <v>6344</v>
      </c>
    </row>
    <row r="2752" spans="1:6" x14ac:dyDescent="0.15">
      <c r="A2752" s="1">
        <v>40152</v>
      </c>
      <c r="B2752" t="s">
        <v>4082</v>
      </c>
      <c r="C2752" s="2" t="str">
        <f>HYPERLINK("http://snap.windin.com/ns/bulletin.php?id=968712&amp;type=1", "七星电子：北京七星华创电子股份首发招股说明书(申报稿)")</f>
        <v>七星电子：北京七星华创电子股份首发招股说明书(申报稿)</v>
      </c>
      <c r="D2752" t="s">
        <v>9117</v>
      </c>
      <c r="E2752" t="s">
        <v>6123</v>
      </c>
      <c r="F2752" t="s">
        <v>6345</v>
      </c>
    </row>
    <row r="2753" spans="1:6" x14ac:dyDescent="0.15">
      <c r="A2753" s="1">
        <v>40151</v>
      </c>
      <c r="B2753" t="s">
        <v>4078</v>
      </c>
      <c r="C2753" s="2" t="str">
        <f>HYPERLINK("http://snap.windin.com/ns/bulletin.php?id=86952&amp;type=1", "丽鹏股份：山东丽鹏股份有限公司首次公开发行股票招股说明书（申报稿）")</f>
        <v>丽鹏股份：山东丽鹏股份有限公司首次公开发行股票招股说明书（申报稿）</v>
      </c>
      <c r="D2753" t="s">
        <v>9118</v>
      </c>
      <c r="E2753" t="s">
        <v>6119</v>
      </c>
      <c r="F2753" t="s">
        <v>6346</v>
      </c>
    </row>
    <row r="2754" spans="1:6" x14ac:dyDescent="0.15">
      <c r="A2754" s="1">
        <v>40151</v>
      </c>
      <c r="B2754" t="s">
        <v>4086</v>
      </c>
      <c r="C2754" s="2" t="str">
        <f>HYPERLINK("http://snap.windin.com/ns/bulletin.php?id=1869837&amp;type=1", "太极股份：太极计算机股份有限公司首发招股说明书（申报稿）")</f>
        <v>太极股份：太极计算机股份有限公司首发招股说明书（申报稿）</v>
      </c>
      <c r="D2754" t="s">
        <v>9119</v>
      </c>
      <c r="E2754" t="s">
        <v>6127</v>
      </c>
      <c r="F2754" t="s">
        <v>6347</v>
      </c>
    </row>
    <row r="2755" spans="1:6" x14ac:dyDescent="0.15">
      <c r="A2755" s="1">
        <v>40151</v>
      </c>
      <c r="B2755" t="s">
        <v>4173</v>
      </c>
      <c r="C2755" s="2" t="str">
        <f>HYPERLINK("http://snap.windin.com/ns/bulletin.php?id=1554446&amp;type=1", "华英农业：首次公开发行股票招股说明书")</f>
        <v>华英农业：首次公开发行股票招股说明书</v>
      </c>
      <c r="D2755" t="s">
        <v>9120</v>
      </c>
      <c r="E2755" t="s">
        <v>6348</v>
      </c>
      <c r="F2755" t="s">
        <v>399</v>
      </c>
    </row>
    <row r="2756" spans="1:6" x14ac:dyDescent="0.15">
      <c r="A2756" s="1">
        <v>40151</v>
      </c>
      <c r="B2756" t="s">
        <v>4174</v>
      </c>
      <c r="C2756" s="2" t="str">
        <f>HYPERLINK("http://snap.windin.com/ns/bulletin.php?id=1093879&amp;type=1", "海峡股份：首次公开发行股票招股说明书")</f>
        <v>海峡股份：首次公开发行股票招股说明书</v>
      </c>
      <c r="D2756" t="s">
        <v>9121</v>
      </c>
      <c r="E2756" t="s">
        <v>6349</v>
      </c>
      <c r="F2756" t="s">
        <v>399</v>
      </c>
    </row>
    <row r="2757" spans="1:6" x14ac:dyDescent="0.15">
      <c r="A2757" s="1">
        <v>40148</v>
      </c>
      <c r="B2757" t="s">
        <v>4148</v>
      </c>
      <c r="C2757" s="2" t="str">
        <f>HYPERLINK("http://snap.windin.com/ns/bulletin.php?id=1706145&amp;type=1", "凯宝药业：上海凯宝药业股份有限公司创业板首发招股说明书（申报稿）")</f>
        <v>凯宝药业：上海凯宝药业股份有限公司创业板首发招股说明书（申报稿）</v>
      </c>
      <c r="D2757" t="s">
        <v>9122</v>
      </c>
      <c r="E2757" t="s">
        <v>6350</v>
      </c>
      <c r="F2757" t="s">
        <v>6351</v>
      </c>
    </row>
    <row r="2758" spans="1:6" x14ac:dyDescent="0.15">
      <c r="A2758" s="1">
        <v>40148</v>
      </c>
      <c r="B2758" t="s">
        <v>4094</v>
      </c>
      <c r="C2758" s="2" t="str">
        <f>HYPERLINK("http://snap.windin.com/ns/bulletin.php?id=159463&amp;type=1", "神剑股份：安徽神剑新材料股份有限公司首发招股说明书（申报稿）")</f>
        <v>神剑股份：安徽神剑新材料股份有限公司首发招股说明书（申报稿）</v>
      </c>
      <c r="D2758" t="s">
        <v>9123</v>
      </c>
      <c r="E2758" t="s">
        <v>6142</v>
      </c>
      <c r="F2758" t="s">
        <v>6352</v>
      </c>
    </row>
    <row r="2759" spans="1:6" x14ac:dyDescent="0.15">
      <c r="A2759" s="1">
        <v>40148</v>
      </c>
      <c r="B2759" t="s">
        <v>4109</v>
      </c>
      <c r="C2759" s="2" t="str">
        <f>HYPERLINK("http://snap.windin.com/ns/bulletin.php?id=1931071&amp;type=1", "中国西电：中国西电电气股份有限公司首发招股说明书（申报稿）")</f>
        <v>中国西电：中国西电电气股份有限公司首发招股说明书（申报稿）</v>
      </c>
      <c r="D2759" t="s">
        <v>9124</v>
      </c>
      <c r="E2759" t="s">
        <v>6160</v>
      </c>
      <c r="F2759" t="s">
        <v>6353</v>
      </c>
    </row>
    <row r="2760" spans="1:6" x14ac:dyDescent="0.15">
      <c r="A2760" s="1">
        <v>40148</v>
      </c>
      <c r="B2760" t="s">
        <v>4084</v>
      </c>
      <c r="C2760" s="2" t="str">
        <f>HYPERLINK("http://snap.windin.com/ns/bulletin.php?id=1642153&amp;type=1", "康力电梯：康力电梯股份有限公司首发招股说明书（申报稿）")</f>
        <v>康力电梯：康力电梯股份有限公司首发招股说明书（申报稿）</v>
      </c>
      <c r="D2760" t="s">
        <v>9125</v>
      </c>
      <c r="E2760" t="s">
        <v>6125</v>
      </c>
      <c r="F2760" t="s">
        <v>6354</v>
      </c>
    </row>
    <row r="2761" spans="1:6" x14ac:dyDescent="0.15">
      <c r="A2761" s="1">
        <v>40148</v>
      </c>
      <c r="B2761" t="s">
        <v>4085</v>
      </c>
      <c r="C2761" s="2" t="str">
        <f>HYPERLINK("http://snap.windin.com/ns/bulletin.php?id=1015194&amp;type=1", "丹甫股份：四川丹甫制冷压缩机股份有限公司首发招股说明书（申报稿）")</f>
        <v>丹甫股份：四川丹甫制冷压缩机股份有限公司首发招股说明书（申报稿）</v>
      </c>
      <c r="D2761" t="s">
        <v>9126</v>
      </c>
      <c r="E2761" t="s">
        <v>6126</v>
      </c>
      <c r="F2761" t="s">
        <v>6355</v>
      </c>
    </row>
    <row r="2762" spans="1:6" x14ac:dyDescent="0.15">
      <c r="A2762" s="1">
        <v>40147</v>
      </c>
      <c r="B2762" t="s">
        <v>4175</v>
      </c>
      <c r="C2762" s="2" t="str">
        <f>HYPERLINK("http://snap.windin.com/ns/bulletin.php?id=1376705&amp;type=1", "乐通股份：首次公开发行股票招股说明书")</f>
        <v>乐通股份：首次公开发行股票招股说明书</v>
      </c>
      <c r="D2762" t="s">
        <v>9127</v>
      </c>
      <c r="E2762" t="s">
        <v>6356</v>
      </c>
      <c r="F2762" t="s">
        <v>399</v>
      </c>
    </row>
    <row r="2763" spans="1:6" x14ac:dyDescent="0.15">
      <c r="A2763" s="1">
        <v>40147</v>
      </c>
      <c r="B2763" t="s">
        <v>4176</v>
      </c>
      <c r="C2763" s="2" t="str">
        <f>HYPERLINK("http://snap.windin.com/ns/bulletin.php?id=1953379&amp;type=1", "众生药业：首次公开发行股票招股说明书")</f>
        <v>众生药业：首次公开发行股票招股说明书</v>
      </c>
      <c r="D2763" t="s">
        <v>9128</v>
      </c>
      <c r="E2763" t="s">
        <v>6357</v>
      </c>
      <c r="F2763" t="s">
        <v>399</v>
      </c>
    </row>
    <row r="2764" spans="1:6" x14ac:dyDescent="0.15">
      <c r="A2764" s="1">
        <v>40147</v>
      </c>
      <c r="B2764" t="s">
        <v>4177</v>
      </c>
      <c r="C2764" s="2" t="str">
        <f>HYPERLINK("http://snap.windin.com/ns/bulletin.php?id=817573&amp;type=1", "久立特材：首次公开发行股票招股说明书")</f>
        <v>久立特材：首次公开发行股票招股说明书</v>
      </c>
      <c r="D2764" t="s">
        <v>9129</v>
      </c>
      <c r="E2764" t="s">
        <v>6358</v>
      </c>
      <c r="F2764" t="s">
        <v>399</v>
      </c>
    </row>
    <row r="2765" spans="1:6" x14ac:dyDescent="0.15">
      <c r="A2765" s="1">
        <v>40145</v>
      </c>
      <c r="B2765" t="s">
        <v>4091</v>
      </c>
      <c r="C2765" s="2" t="str">
        <f>HYPERLINK("http://snap.windin.com/ns/bulletin.php?id=1618346&amp;type=1", "中恒电气：杭州中恒电气股份有限公司首发招股说明书（申报稿）")</f>
        <v>中恒电气：杭州中恒电气股份有限公司首发招股说明书（申报稿）</v>
      </c>
      <c r="D2765" t="s">
        <v>9130</v>
      </c>
      <c r="E2765" t="s">
        <v>6139</v>
      </c>
      <c r="F2765" t="s">
        <v>6359</v>
      </c>
    </row>
    <row r="2766" spans="1:6" x14ac:dyDescent="0.15">
      <c r="A2766" s="1">
        <v>40145</v>
      </c>
      <c r="B2766" t="s">
        <v>4095</v>
      </c>
      <c r="C2766" s="2" t="str">
        <f>HYPERLINK("http://snap.windin.com/ns/bulletin.php?id=233748&amp;type=1", "同德化工：山西同德化工股份有限公司首发招股说明书（申报稿）")</f>
        <v>同德化工：山西同德化工股份有限公司首发招股说明书（申报稿）</v>
      </c>
      <c r="D2766" t="s">
        <v>9131</v>
      </c>
      <c r="E2766" t="s">
        <v>6143</v>
      </c>
      <c r="F2766" t="s">
        <v>6360</v>
      </c>
    </row>
    <row r="2767" spans="1:6" x14ac:dyDescent="0.15">
      <c r="A2767" s="1">
        <v>40145</v>
      </c>
      <c r="B2767" t="s">
        <v>327</v>
      </c>
      <c r="C2767" s="2" t="str">
        <f>HYPERLINK("http://snap.windin.com/ns/bulletin.php?id=540190&amp;type=1", "赛轮股份：赛轮股份有限公司创业板首发招股说明书（申报稿）")</f>
        <v>赛轮股份：赛轮股份有限公司创业板首发招股说明书（申报稿）</v>
      </c>
      <c r="D2767" t="s">
        <v>9132</v>
      </c>
      <c r="E2767" t="s">
        <v>820</v>
      </c>
      <c r="F2767" t="s">
        <v>6361</v>
      </c>
    </row>
    <row r="2768" spans="1:6" x14ac:dyDescent="0.15">
      <c r="A2768" s="1">
        <v>40145</v>
      </c>
      <c r="B2768" t="s">
        <v>4149</v>
      </c>
      <c r="C2768" s="2" t="str">
        <f>HYPERLINK("http://snap.windin.com/ns/bulletin.php?id=1554871&amp;type=1", "九洲电气：哈尔滨九洲电气股份有限公司创业板首发招股说明书(申报稿)")</f>
        <v>九洲电气：哈尔滨九洲电气股份有限公司创业板首发招股说明书(申报稿)</v>
      </c>
      <c r="D2768" t="s">
        <v>9133</v>
      </c>
      <c r="E2768" t="s">
        <v>6274</v>
      </c>
      <c r="F2768" t="s">
        <v>6362</v>
      </c>
    </row>
    <row r="2769" spans="1:6" x14ac:dyDescent="0.15">
      <c r="A2769" s="1">
        <v>40144</v>
      </c>
      <c r="B2769" t="s">
        <v>4083</v>
      </c>
      <c r="C2769" s="2" t="str">
        <f>HYPERLINK("http://snap.windin.com/ns/bulletin.php?id=2004204&amp;type=1", "卓翼科技：深圳市卓翼科技股份有限公司首发招股说明书(申报稿)")</f>
        <v>卓翼科技：深圳市卓翼科技股份有限公司首发招股说明书(申报稿)</v>
      </c>
      <c r="D2769" t="s">
        <v>9134</v>
      </c>
      <c r="E2769" t="s">
        <v>6124</v>
      </c>
      <c r="F2769" t="s">
        <v>6363</v>
      </c>
    </row>
    <row r="2770" spans="1:6" x14ac:dyDescent="0.15">
      <c r="A2770" s="1">
        <v>40144</v>
      </c>
      <c r="B2770" t="s">
        <v>4088</v>
      </c>
      <c r="C2770" s="2" t="str">
        <f>HYPERLINK("http://snap.windin.com/ns/bulletin.php?id=518235&amp;type=1", "华泰证券：华泰证券股份有限公司首发招股说明书（申报稿）")</f>
        <v>华泰证券：华泰证券股份有限公司首发招股说明书（申报稿）</v>
      </c>
      <c r="D2770" t="s">
        <v>9135</v>
      </c>
      <c r="E2770" t="s">
        <v>6131</v>
      </c>
      <c r="F2770" t="s">
        <v>6364</v>
      </c>
    </row>
    <row r="2771" spans="1:6" x14ac:dyDescent="0.15">
      <c r="A2771" s="1">
        <v>40143</v>
      </c>
      <c r="B2771" t="s">
        <v>4178</v>
      </c>
      <c r="C2771" s="2" t="str">
        <f>HYPERLINK("http://snap.windin.com/ns/bulletin.php?id=1677010&amp;type=1", "焦点科技：首次公开发行股票招股说明书")</f>
        <v>焦点科技：首次公开发行股票招股说明书</v>
      </c>
      <c r="D2771" t="s">
        <v>9136</v>
      </c>
      <c r="E2771" t="s">
        <v>6365</v>
      </c>
      <c r="F2771" t="s">
        <v>399</v>
      </c>
    </row>
    <row r="2772" spans="1:6" x14ac:dyDescent="0.15">
      <c r="A2772" s="1">
        <v>40143</v>
      </c>
      <c r="B2772" t="s">
        <v>4179</v>
      </c>
      <c r="C2772" s="2" t="str">
        <f>HYPERLINK("http://snap.windin.com/ns/bulletin.php?id=1911450&amp;type=1", "键桥通讯：首次公开发行股票招股说明书")</f>
        <v>键桥通讯：首次公开发行股票招股说明书</v>
      </c>
      <c r="D2772" t="s">
        <v>9137</v>
      </c>
      <c r="E2772" t="s">
        <v>6366</v>
      </c>
      <c r="F2772" t="s">
        <v>399</v>
      </c>
    </row>
    <row r="2773" spans="1:6" x14ac:dyDescent="0.15">
      <c r="A2773" s="1">
        <v>40141</v>
      </c>
      <c r="B2773" t="s">
        <v>4081</v>
      </c>
      <c r="C2773" s="2" t="str">
        <f>HYPERLINK("http://snap.windin.com/ns/bulletin.php?id=127052&amp;type=1", "亚太药业：浙江亚太药业股份有限公司首发招股说明书（申报稿）")</f>
        <v>亚太药业：浙江亚太药业股份有限公司首发招股说明书（申报稿）</v>
      </c>
      <c r="D2773" t="s">
        <v>9138</v>
      </c>
      <c r="E2773" t="s">
        <v>6122</v>
      </c>
      <c r="F2773" t="s">
        <v>6367</v>
      </c>
    </row>
    <row r="2774" spans="1:6" x14ac:dyDescent="0.15">
      <c r="A2774" s="1">
        <v>40141</v>
      </c>
      <c r="B2774" t="s">
        <v>4073</v>
      </c>
      <c r="C2774" s="2" t="str">
        <f>HYPERLINK("http://snap.windin.com/ns/bulletin.php?id=1852310&amp;type=1", "亚厦装饰：浙江亚厦装饰股份有限公司首发招股说明书（申报稿）")</f>
        <v>亚厦装饰：浙江亚厦装饰股份有限公司首发招股说明书（申报稿）</v>
      </c>
      <c r="D2774" t="s">
        <v>9139</v>
      </c>
      <c r="E2774" t="s">
        <v>6368</v>
      </c>
      <c r="F2774" t="s">
        <v>6369</v>
      </c>
    </row>
    <row r="2775" spans="1:6" x14ac:dyDescent="0.15">
      <c r="A2775" s="1">
        <v>40140</v>
      </c>
      <c r="B2775" t="s">
        <v>4180</v>
      </c>
      <c r="C2775" s="2" t="str">
        <f>HYPERLINK("http://snap.windin.com/ns/bulletin.php?id=1728208&amp;type=1", "雅致股份：首次公开发行股票(A股)招股说明书")</f>
        <v>雅致股份：首次公开发行股票(A股)招股说明书</v>
      </c>
      <c r="D2775" t="s">
        <v>9140</v>
      </c>
      <c r="E2775" t="s">
        <v>6370</v>
      </c>
      <c r="F2775" t="s">
        <v>6329</v>
      </c>
    </row>
    <row r="2776" spans="1:6" x14ac:dyDescent="0.15">
      <c r="A2776" s="1">
        <v>40140</v>
      </c>
      <c r="B2776" t="s">
        <v>4181</v>
      </c>
      <c r="C2776" s="2" t="str">
        <f>HYPERLINK("http://snap.windin.com/ns/bulletin.php?id=1899971&amp;type=1", "三泰电子：首次公开发行股票招股说明书")</f>
        <v>三泰电子：首次公开发行股票招股说明书</v>
      </c>
      <c r="D2776" t="s">
        <v>9141</v>
      </c>
      <c r="E2776" t="s">
        <v>6371</v>
      </c>
      <c r="F2776" t="s">
        <v>399</v>
      </c>
    </row>
    <row r="2777" spans="1:6" x14ac:dyDescent="0.15">
      <c r="A2777" s="1">
        <v>40140</v>
      </c>
      <c r="B2777" t="s">
        <v>4182</v>
      </c>
      <c r="C2777" s="2" t="str">
        <f>HYPERLINK("http://snap.windin.com/ns/bulletin.php?id=700545&amp;type=1", "日海通讯：首次公开发行股票招股说明书")</f>
        <v>日海通讯：首次公开发行股票招股说明书</v>
      </c>
      <c r="D2777" t="s">
        <v>9142</v>
      </c>
      <c r="E2777" t="s">
        <v>6372</v>
      </c>
      <c r="F2777" t="s">
        <v>399</v>
      </c>
    </row>
    <row r="2778" spans="1:6" x14ac:dyDescent="0.15">
      <c r="A2778" s="1">
        <v>40138</v>
      </c>
      <c r="B2778" t="s">
        <v>4150</v>
      </c>
      <c r="C2778" s="2" t="str">
        <f>HYPERLINK("http://snap.windin.com/ns/bulletin.php?id=2126898&amp;type=1", "梅泰诺：北京梅泰诺通信技术股份有限公司创业板首发招股说明书（申报稿）")</f>
        <v>梅泰诺：北京梅泰诺通信技术股份有限公司创业板首发招股说明书（申报稿）</v>
      </c>
      <c r="D2778" t="s">
        <v>9143</v>
      </c>
      <c r="E2778" t="s">
        <v>6275</v>
      </c>
      <c r="F2778" t="s">
        <v>6373</v>
      </c>
    </row>
    <row r="2779" spans="1:6" x14ac:dyDescent="0.15">
      <c r="A2779" s="1">
        <v>40138</v>
      </c>
      <c r="B2779" t="s">
        <v>3946</v>
      </c>
      <c r="C2779" s="2" t="str">
        <f>HYPERLINK("http://snap.windin.com/ns/bulletin.php?id=1230351&amp;type=1", "百川化工：无锡百川化工股份有限公司首发招股说明书（申报稿）")</f>
        <v>百川化工：无锡百川化工股份有限公司首发招股说明书（申报稿）</v>
      </c>
      <c r="D2779" t="s">
        <v>9144</v>
      </c>
      <c r="E2779" t="s">
        <v>6374</v>
      </c>
      <c r="F2779" t="s">
        <v>6375</v>
      </c>
    </row>
    <row r="2780" spans="1:6" x14ac:dyDescent="0.15">
      <c r="A2780" s="1">
        <v>40138</v>
      </c>
      <c r="B2780" t="s">
        <v>4108</v>
      </c>
      <c r="C2780" s="2" t="str">
        <f>HYPERLINK("http://snap.windin.com/ns/bulletin.php?id=1586695&amp;type=1", "富临运业：四川富临运业集团股份有限公司首发招股说明书（申报稿）")</f>
        <v>富临运业：四川富临运业集团股份有限公司首发招股说明书（申报稿）</v>
      </c>
      <c r="D2780" t="s">
        <v>9145</v>
      </c>
      <c r="E2780" t="s">
        <v>6157</v>
      </c>
      <c r="F2780" t="s">
        <v>6376</v>
      </c>
    </row>
    <row r="2781" spans="1:6" x14ac:dyDescent="0.15">
      <c r="A2781" s="1">
        <v>40138</v>
      </c>
      <c r="B2781" t="s">
        <v>4152</v>
      </c>
      <c r="C2781" s="2" t="str">
        <f>HYPERLINK("http://snap.windin.com/ns/bulletin.php?id=1574166&amp;type=1", "回天胶业：湖北回天胶业股份有限公司创业板首发招股说明书（申报稿）")</f>
        <v>回天胶业：湖北回天胶业股份有限公司创业板首发招股说明书（申报稿）</v>
      </c>
      <c r="D2781" t="s">
        <v>9146</v>
      </c>
      <c r="E2781" t="s">
        <v>6277</v>
      </c>
      <c r="F2781" t="s">
        <v>6377</v>
      </c>
    </row>
    <row r="2782" spans="1:6" x14ac:dyDescent="0.15">
      <c r="A2782" s="1">
        <v>40138</v>
      </c>
      <c r="B2782" t="s">
        <v>4147</v>
      </c>
      <c r="C2782" s="2" t="str">
        <f>HYPERLINK("http://snap.windin.com/ns/bulletin.php?id=856451&amp;type=1", "新宙邦：深圳新宙邦科技股份有限公司创业板首发招股说明书（申报稿）")</f>
        <v>新宙邦：深圳新宙邦科技股份有限公司创业板首发招股说明书（申报稿）</v>
      </c>
      <c r="D2782" t="s">
        <v>9147</v>
      </c>
      <c r="E2782" t="s">
        <v>6272</v>
      </c>
      <c r="F2782" t="s">
        <v>6378</v>
      </c>
    </row>
    <row r="2783" spans="1:6" x14ac:dyDescent="0.15">
      <c r="A2783" s="1">
        <v>40137</v>
      </c>
      <c r="B2783" t="s">
        <v>4106</v>
      </c>
      <c r="C2783" s="2" t="str">
        <f>HYPERLINK("http://snap.windin.com/ns/bulletin.php?id=1772241&amp;type=1", "森源电气：河南森源电气股份有限公司首发招股说明书(申报稿)")</f>
        <v>森源电气：河南森源电气股份有限公司首发招股说明书(申报稿)</v>
      </c>
      <c r="D2783" t="s">
        <v>9148</v>
      </c>
      <c r="E2783" t="s">
        <v>6155</v>
      </c>
      <c r="F2783" t="s">
        <v>6379</v>
      </c>
    </row>
    <row r="2784" spans="1:6" x14ac:dyDescent="0.15">
      <c r="A2784" s="1">
        <v>40137</v>
      </c>
      <c r="B2784" t="s">
        <v>3738</v>
      </c>
      <c r="C2784" s="2" t="str">
        <f>HYPERLINK("http://snap.windin.com/ns/bulletin.php?id=562644&amp;type=1", "凯美特：湖南凯美特气体股份有限公司首发招股说明书（申报稿）")</f>
        <v>凯美特：湖南凯美特气体股份有限公司首发招股说明书（申报稿）</v>
      </c>
      <c r="D2784" t="s">
        <v>9149</v>
      </c>
      <c r="E2784" t="s">
        <v>6380</v>
      </c>
      <c r="F2784" t="s">
        <v>6381</v>
      </c>
    </row>
    <row r="2785" spans="1:6" x14ac:dyDescent="0.15">
      <c r="A2785" s="1">
        <v>40134</v>
      </c>
      <c r="B2785" t="s">
        <v>4183</v>
      </c>
      <c r="C2785" s="2" t="str">
        <f>HYPERLINK("http://snap.windin.com/ns/bulletin.php?id=1672661&amp;type=1", "东方园林：首次公开发行股票招股说明书")</f>
        <v>东方园林：首次公开发行股票招股说明书</v>
      </c>
      <c r="D2785" t="s">
        <v>9150</v>
      </c>
      <c r="E2785" t="s">
        <v>6382</v>
      </c>
      <c r="F2785" t="s">
        <v>399</v>
      </c>
    </row>
    <row r="2786" spans="1:6" x14ac:dyDescent="0.15">
      <c r="A2786" s="1">
        <v>40134</v>
      </c>
      <c r="B2786" t="s">
        <v>4166</v>
      </c>
      <c r="C2786" s="2" t="str">
        <f>HYPERLINK("http://snap.windin.com/ns/bulletin.php?id=1203204&amp;type=1", "阳普医疗：广州阳普医疗科技股份有限公司创业板首发招股说明书（申报稿）")</f>
        <v>阳普医疗：广州阳普医疗科技股份有限公司创业板首发招股说明书（申报稿）</v>
      </c>
      <c r="D2786" t="s">
        <v>9151</v>
      </c>
      <c r="E2786" t="s">
        <v>6313</v>
      </c>
      <c r="F2786" t="s">
        <v>6383</v>
      </c>
    </row>
    <row r="2787" spans="1:6" x14ac:dyDescent="0.15">
      <c r="A2787" s="1">
        <v>40134</v>
      </c>
      <c r="B2787" t="s">
        <v>4158</v>
      </c>
      <c r="C2787" s="2" t="str">
        <f>HYPERLINK("http://snap.windin.com/ns/bulletin.php?id=495056&amp;type=1", "超图软件：北京超图软件股份有限公司创业板首发招股说明书（申报稿）")</f>
        <v>超图软件：北京超图软件股份有限公司创业板首发招股说明书（申报稿）</v>
      </c>
      <c r="D2787" t="s">
        <v>9152</v>
      </c>
      <c r="E2787" t="s">
        <v>6304</v>
      </c>
      <c r="F2787" t="s">
        <v>6384</v>
      </c>
    </row>
    <row r="2788" spans="1:6" x14ac:dyDescent="0.15">
      <c r="A2788" s="1">
        <v>40134</v>
      </c>
      <c r="B2788" t="s">
        <v>307</v>
      </c>
      <c r="C2788" s="2" t="str">
        <f>HYPERLINK("http://snap.windin.com/ns/bulletin.php?id=1444948&amp;type=1", "桑乐金：安徽桑乐金股份有限公司创业板首发招股说明书（申报稿）")</f>
        <v>桑乐金：安徽桑乐金股份有限公司创业板首发招股说明书（申报稿）</v>
      </c>
      <c r="D2788" t="s">
        <v>9153</v>
      </c>
      <c r="E2788" t="s">
        <v>794</v>
      </c>
      <c r="F2788" t="s">
        <v>6385</v>
      </c>
    </row>
    <row r="2789" spans="1:6" x14ac:dyDescent="0.15">
      <c r="A2789" s="1">
        <v>40134</v>
      </c>
      <c r="B2789" t="s">
        <v>4184</v>
      </c>
      <c r="C2789" s="2" t="str">
        <f>HYPERLINK("http://snap.windin.com/ns/bulletin.php?id=865682&amp;type=1", "海大集团：首次公开发行股票招股说明书")</f>
        <v>海大集团：首次公开发行股票招股说明书</v>
      </c>
      <c r="D2789" t="s">
        <v>9154</v>
      </c>
      <c r="E2789" t="s">
        <v>6386</v>
      </c>
      <c r="F2789" t="s">
        <v>399</v>
      </c>
    </row>
    <row r="2790" spans="1:6" x14ac:dyDescent="0.15">
      <c r="A2790" s="1">
        <v>40134</v>
      </c>
      <c r="B2790" t="s">
        <v>4163</v>
      </c>
      <c r="C2790" s="2" t="str">
        <f>HYPERLINK("http://snap.windin.com/ns/bulletin.php?id=698005&amp;type=1", "中科电气：湖南中科电气股份有限公司创业板首发招股说明书（申报稿）")</f>
        <v>中科电气：湖南中科电气股份有限公司创业板首发招股说明书（申报稿）</v>
      </c>
      <c r="D2790" t="s">
        <v>9155</v>
      </c>
      <c r="E2790" t="s">
        <v>6309</v>
      </c>
      <c r="F2790" t="s">
        <v>6387</v>
      </c>
    </row>
    <row r="2791" spans="1:6" x14ac:dyDescent="0.15">
      <c r="A2791" s="1">
        <v>40134</v>
      </c>
      <c r="B2791" t="s">
        <v>4107</v>
      </c>
      <c r="C2791" s="2" t="str">
        <f>HYPERLINK("http://snap.windin.com/ns/bulletin.php?id=784515&amp;type=1", "齐星铁塔：山东齐星铁塔科技股份有限公司首发招股说明书（申报稿）")</f>
        <v>齐星铁塔：山东齐星铁塔科技股份有限公司首发招股说明书（申报稿）</v>
      </c>
      <c r="D2791" t="s">
        <v>9156</v>
      </c>
      <c r="E2791" t="s">
        <v>6156</v>
      </c>
      <c r="F2791" t="s">
        <v>6388</v>
      </c>
    </row>
    <row r="2792" spans="1:6" x14ac:dyDescent="0.15">
      <c r="A2792" s="1">
        <v>40133</v>
      </c>
      <c r="B2792" t="s">
        <v>4185</v>
      </c>
      <c r="C2792" s="2" t="str">
        <f>HYPERLINK("http://snap.windin.com/ns/bulletin.php?id=1327760&amp;type=1", "招商证券：招商证券首次公开发行股票招股说明书")</f>
        <v>招商证券：招商证券首次公开发行股票招股说明书</v>
      </c>
      <c r="D2792" t="s">
        <v>9157</v>
      </c>
      <c r="E2792" t="s">
        <v>6389</v>
      </c>
      <c r="F2792" t="s">
        <v>6390</v>
      </c>
    </row>
    <row r="2793" spans="1:6" x14ac:dyDescent="0.15">
      <c r="A2793" s="1">
        <v>40131</v>
      </c>
      <c r="B2793" t="s">
        <v>4112</v>
      </c>
      <c r="C2793" s="2" t="str">
        <f>HYPERLINK("http://snap.windin.com/ns/bulletin.php?id=1986949&amp;type=1", "科冕木业：大连科冕木业股份有限公司首发招股说明书（申报稿）")</f>
        <v>科冕木业：大连科冕木业股份有限公司首发招股说明书（申报稿）</v>
      </c>
      <c r="D2793" t="s">
        <v>9158</v>
      </c>
      <c r="E2793" t="s">
        <v>6163</v>
      </c>
      <c r="F2793" t="s">
        <v>6391</v>
      </c>
    </row>
    <row r="2794" spans="1:6" x14ac:dyDescent="0.15">
      <c r="A2794" s="1">
        <v>40131</v>
      </c>
      <c r="B2794" t="s">
        <v>4161</v>
      </c>
      <c r="C2794" s="2" t="str">
        <f>HYPERLINK("http://snap.windin.com/ns/bulletin.php?id=1346503&amp;type=1", "华盛天龙：江苏华盛天龙光电设备股份有限公司创业板首发招股说明书（申报稿）")</f>
        <v>华盛天龙：江苏华盛天龙光电设备股份有限公司创业板首发招股说明书（申报稿）</v>
      </c>
      <c r="D2794" t="s">
        <v>9159</v>
      </c>
      <c r="E2794" t="s">
        <v>6392</v>
      </c>
      <c r="F2794" t="s">
        <v>6393</v>
      </c>
    </row>
    <row r="2795" spans="1:6" x14ac:dyDescent="0.15">
      <c r="A2795" s="1">
        <v>40130</v>
      </c>
      <c r="B2795" t="s">
        <v>4111</v>
      </c>
      <c r="C2795" s="2" t="str">
        <f>HYPERLINK("http://snap.windin.com/ns/bulletin.php?id=1642748&amp;type=1", "兴民钢圈：山东兴民钢圈股份有限公司首发招股说明书（申报稿）")</f>
        <v>兴民钢圈：山东兴民钢圈股份有限公司首发招股说明书（申报稿）</v>
      </c>
      <c r="D2795" t="s">
        <v>9160</v>
      </c>
      <c r="E2795" t="s">
        <v>6162</v>
      </c>
      <c r="F2795" t="s">
        <v>6394</v>
      </c>
    </row>
    <row r="2796" spans="1:6" x14ac:dyDescent="0.15">
      <c r="A2796" s="1">
        <v>40130</v>
      </c>
      <c r="B2796" t="s">
        <v>4186</v>
      </c>
      <c r="C2796" s="2" t="str">
        <f>HYPERLINK("http://snap.windin.com/ns/bulletin.php?id=1853518&amp;type=1", "威创股份：首次公开发行股票招股说明书")</f>
        <v>威创股份：首次公开发行股票招股说明书</v>
      </c>
      <c r="D2796" t="s">
        <v>9161</v>
      </c>
      <c r="E2796" t="s">
        <v>6395</v>
      </c>
      <c r="F2796" t="s">
        <v>399</v>
      </c>
    </row>
    <row r="2797" spans="1:6" x14ac:dyDescent="0.15">
      <c r="A2797" s="1">
        <v>40130</v>
      </c>
      <c r="B2797" t="s">
        <v>4187</v>
      </c>
      <c r="C2797" s="2" t="str">
        <f>HYPERLINK("http://snap.windin.com/ns/bulletin.php?id=1827191&amp;type=1", "中利科技：首次公开发行股票招股说明书")</f>
        <v>中利科技：首次公开发行股票招股说明书</v>
      </c>
      <c r="D2797" t="s">
        <v>9162</v>
      </c>
      <c r="E2797" t="s">
        <v>6396</v>
      </c>
      <c r="F2797" t="s">
        <v>399</v>
      </c>
    </row>
    <row r="2798" spans="1:6" x14ac:dyDescent="0.15">
      <c r="A2798" s="1">
        <v>40130</v>
      </c>
      <c r="B2798" t="s">
        <v>4188</v>
      </c>
      <c r="C2798" s="2" t="str">
        <f>HYPERLINK("http://snap.windin.com/ns/bulletin.php?id=1972919&amp;type=1", "民生银行：民生银行关于刊发H股招股说明书、H股发行价格区间及H股香港公开发售等相关事宜的公告")</f>
        <v>民生银行：民生银行关于刊发H股招股说明书、H股发行价格区间及H股香港公开发售等相关事宜的公告</v>
      </c>
      <c r="D2798" t="s">
        <v>9163</v>
      </c>
      <c r="E2798" t="s">
        <v>6397</v>
      </c>
      <c r="F2798" t="s">
        <v>6398</v>
      </c>
    </row>
    <row r="2799" spans="1:6" x14ac:dyDescent="0.15">
      <c r="A2799" s="1">
        <v>40130</v>
      </c>
      <c r="B2799" t="s">
        <v>4115</v>
      </c>
      <c r="C2799" s="2" t="str">
        <f>HYPERLINK("http://snap.windin.com/ns/bulletin.php?id=870246&amp;type=1", "烟台杰瑞：烟台杰瑞石油服务集团股份有限公司首发招股说明书(申报稿)")</f>
        <v>烟台杰瑞：烟台杰瑞石油服务集团股份有限公司首发招股说明书(申报稿)</v>
      </c>
      <c r="D2799" t="s">
        <v>9164</v>
      </c>
      <c r="E2799" t="s">
        <v>6399</v>
      </c>
      <c r="F2799" t="s">
        <v>6400</v>
      </c>
    </row>
    <row r="2800" spans="1:6" x14ac:dyDescent="0.15">
      <c r="A2800" s="1">
        <v>40127</v>
      </c>
      <c r="B2800" t="s">
        <v>338</v>
      </c>
      <c r="C2800" s="2" t="str">
        <f>HYPERLINK("http://snap.windin.com/ns/bulletin.php?id=1391630&amp;type=1", "恒大高新：江西恒大高新技术股份有限公司创业板首发招股说明书（申报稿）")</f>
        <v>恒大高新：江西恒大高新技术股份有限公司创业板首发招股说明书（申报稿）</v>
      </c>
      <c r="D2800" t="s">
        <v>9165</v>
      </c>
      <c r="E2800" t="s">
        <v>831</v>
      </c>
      <c r="F2800" t="s">
        <v>6401</v>
      </c>
    </row>
    <row r="2801" spans="1:6" x14ac:dyDescent="0.15">
      <c r="A2801" s="1">
        <v>40127</v>
      </c>
      <c r="B2801" t="s">
        <v>4114</v>
      </c>
      <c r="C2801" s="2" t="str">
        <f>HYPERLINK("http://snap.windin.com/ns/bulletin.php?id=874397&amp;type=1", "漫步者：深圳市漫步者科技股份有限公司首发招股说明书（申报稿）")</f>
        <v>漫步者：深圳市漫步者科技股份有限公司首发招股说明书（申报稿）</v>
      </c>
      <c r="D2801" t="s">
        <v>9166</v>
      </c>
      <c r="E2801" t="s">
        <v>6167</v>
      </c>
      <c r="F2801" t="s">
        <v>6402</v>
      </c>
    </row>
    <row r="2802" spans="1:6" x14ac:dyDescent="0.15">
      <c r="A2802" s="1">
        <v>40127</v>
      </c>
      <c r="B2802" t="s">
        <v>4113</v>
      </c>
      <c r="C2802" s="2" t="str">
        <f>HYPERLINK("http://snap.windin.com/ns/bulletin.php?id=1075028&amp;type=1", "鼎泰新材：马鞍山鼎泰稀土新材料股份有限公司首发招股说明书（申报稿）")</f>
        <v>鼎泰新材：马鞍山鼎泰稀土新材料股份有限公司首发招股说明书（申报稿）</v>
      </c>
      <c r="D2802" t="s">
        <v>9167</v>
      </c>
      <c r="E2802" t="s">
        <v>6166</v>
      </c>
      <c r="F2802" t="s">
        <v>6403</v>
      </c>
    </row>
    <row r="2803" spans="1:6" x14ac:dyDescent="0.15">
      <c r="A2803" s="1">
        <v>40126</v>
      </c>
      <c r="B2803" t="s">
        <v>4162</v>
      </c>
      <c r="C2803" s="2" t="str">
        <f>HYPERLINK("http://snap.windin.com/ns/bulletin.php?id=446637&amp;type=1", "钢研高纳：北京钢研高纳科技股份有限公司创业板首发招股说明书（申报稿）")</f>
        <v>钢研高纳：北京钢研高纳科技股份有限公司创业板首发招股说明书（申报稿）</v>
      </c>
      <c r="D2803" t="s">
        <v>9168</v>
      </c>
      <c r="E2803" t="s">
        <v>6308</v>
      </c>
      <c r="F2803" t="s">
        <v>6404</v>
      </c>
    </row>
    <row r="2804" spans="1:6" x14ac:dyDescent="0.15">
      <c r="A2804" s="1">
        <v>40126</v>
      </c>
      <c r="B2804" t="s">
        <v>4160</v>
      </c>
      <c r="C2804" s="2" t="str">
        <f>HYPERLINK("http://snap.windin.com/ns/bulletin.php?id=1004680&amp;type=1", "金龙机电：金龙机电股份有限公司创业板首发招股说明书（申报稿）")</f>
        <v>金龙机电：金龙机电股份有限公司创业板首发招股说明书（申报稿）</v>
      </c>
      <c r="D2804" t="s">
        <v>9169</v>
      </c>
      <c r="E2804" t="s">
        <v>6306</v>
      </c>
      <c r="F2804" t="s">
        <v>6405</v>
      </c>
    </row>
    <row r="2805" spans="1:6" x14ac:dyDescent="0.15">
      <c r="A2805" s="1">
        <v>40123</v>
      </c>
      <c r="B2805" t="s">
        <v>4064</v>
      </c>
      <c r="C2805" s="2" t="str">
        <f>HYPERLINK("http://snap.windin.com/ns/bulletin.php?id=1730313&amp;type=1", "双箭股份：浙江双箭橡胶股份有限公司首发招股说明书（申报稿）")</f>
        <v>双箭股份：浙江双箭橡胶股份有限公司首发招股说明书（申报稿）</v>
      </c>
      <c r="D2805" t="s">
        <v>9170</v>
      </c>
      <c r="E2805" t="s">
        <v>6103</v>
      </c>
      <c r="F2805" t="s">
        <v>6406</v>
      </c>
    </row>
    <row r="2806" spans="1:6" x14ac:dyDescent="0.15">
      <c r="A2806" s="1">
        <v>40123</v>
      </c>
      <c r="B2806" t="s">
        <v>4118</v>
      </c>
      <c r="C2806" s="2" t="str">
        <f>HYPERLINK("http://snap.windin.com/ns/bulletin.php?id=441702&amp;type=1", "高乐股份：广东高乐玩具股份有限公司首发招股说明书（申报稿）")</f>
        <v>高乐股份：广东高乐玩具股份有限公司首发招股说明书（申报稿）</v>
      </c>
      <c r="D2806" t="s">
        <v>9171</v>
      </c>
      <c r="E2806" t="s">
        <v>6173</v>
      </c>
      <c r="F2806" t="s">
        <v>6407</v>
      </c>
    </row>
    <row r="2807" spans="1:6" x14ac:dyDescent="0.15">
      <c r="A2807" s="1">
        <v>40120</v>
      </c>
      <c r="B2807" t="s">
        <v>4121</v>
      </c>
      <c r="C2807" s="2" t="str">
        <f>HYPERLINK("http://snap.windin.com/ns/bulletin.php?id=1464240&amp;type=1", "泰尔重工：安徽泰尔重工股份有限公司首发招股说明书(申报稿)")</f>
        <v>泰尔重工：安徽泰尔重工股份有限公司首发招股说明书(申报稿)</v>
      </c>
      <c r="D2807" t="s">
        <v>9172</v>
      </c>
      <c r="E2807" t="s">
        <v>6176</v>
      </c>
      <c r="F2807" t="s">
        <v>6408</v>
      </c>
    </row>
    <row r="2808" spans="1:6" x14ac:dyDescent="0.15">
      <c r="A2808" s="1">
        <v>40120</v>
      </c>
      <c r="B2808" t="s">
        <v>4122</v>
      </c>
      <c r="C2808" s="2" t="str">
        <f>HYPERLINK("http://snap.windin.com/ns/bulletin.php?id=1493385&amp;type=1", "柘中建设：上海柘中建设股份有限公司首发招股说明书（申报稿）")</f>
        <v>柘中建设：上海柘中建设股份有限公司首发招股说明书（申报稿）</v>
      </c>
      <c r="D2808" t="s">
        <v>9173</v>
      </c>
      <c r="E2808" t="s">
        <v>6177</v>
      </c>
      <c r="F2808" t="s">
        <v>6409</v>
      </c>
    </row>
    <row r="2809" spans="1:6" x14ac:dyDescent="0.15">
      <c r="A2809" s="1">
        <v>40119</v>
      </c>
      <c r="B2809" t="s">
        <v>4189</v>
      </c>
      <c r="C2809" s="2" t="str">
        <f>HYPERLINK("http://snap.windin.com/ns/bulletin.php?id=1229221&amp;type=1", "湘鄂情：首次公开发行股票招股说明书")</f>
        <v>湘鄂情：首次公开发行股票招股说明书</v>
      </c>
      <c r="D2809" t="s">
        <v>9174</v>
      </c>
      <c r="E2809" t="s">
        <v>6410</v>
      </c>
      <c r="F2809" t="s">
        <v>399</v>
      </c>
    </row>
    <row r="2810" spans="1:6" x14ac:dyDescent="0.15">
      <c r="A2810" s="1">
        <v>40119</v>
      </c>
      <c r="B2810" t="s">
        <v>4190</v>
      </c>
      <c r="C2810" s="2" t="str">
        <f>HYPERLINK("http://snap.windin.com/ns/bulletin.php?id=1308040&amp;type=1", "北新路桥：北新路桥首次公开发行股票招股说明书")</f>
        <v>北新路桥：北新路桥首次公开发行股票招股说明书</v>
      </c>
      <c r="D2810" t="s">
        <v>9175</v>
      </c>
      <c r="E2810" t="s">
        <v>6411</v>
      </c>
      <c r="F2810" t="s">
        <v>6412</v>
      </c>
    </row>
    <row r="2811" spans="1:6" x14ac:dyDescent="0.15">
      <c r="A2811" s="1">
        <v>40117</v>
      </c>
      <c r="B2811" t="s">
        <v>4124</v>
      </c>
      <c r="C2811" s="2" t="str">
        <f>HYPERLINK("http://snap.windin.com/ns/bulletin.php?id=517934&amp;type=1", "禾欣实业：浙江禾欣实业集团股份有限公司首发招股说明书（申报稿）")</f>
        <v>禾欣实业：浙江禾欣实业集团股份有限公司首发招股说明书（申报稿）</v>
      </c>
      <c r="D2811" t="s">
        <v>9176</v>
      </c>
      <c r="E2811" t="s">
        <v>6413</v>
      </c>
      <c r="F2811" t="s">
        <v>6414</v>
      </c>
    </row>
    <row r="2812" spans="1:6" x14ac:dyDescent="0.15">
      <c r="A2812" s="1">
        <v>40117</v>
      </c>
      <c r="B2812" t="s">
        <v>4123</v>
      </c>
      <c r="C2812" s="2" t="str">
        <f>HYPERLINK("http://snap.windin.com/ns/bulletin.php?id=2039495&amp;type=1", "潮宏基：广东潮宏基实业股份有限公司首发招股说明书（申报稿）")</f>
        <v>潮宏基：广东潮宏基实业股份有限公司首发招股说明书（申报稿）</v>
      </c>
      <c r="D2812" t="s">
        <v>9177</v>
      </c>
      <c r="E2812" t="s">
        <v>6178</v>
      </c>
      <c r="F2812" t="s">
        <v>6415</v>
      </c>
    </row>
    <row r="2813" spans="1:6" x14ac:dyDescent="0.15">
      <c r="A2813" s="1">
        <v>40116</v>
      </c>
      <c r="B2813" t="s">
        <v>4165</v>
      </c>
      <c r="C2813" s="2" t="str">
        <f>HYPERLINK("http://snap.windin.com/ns/bulletin.php?id=2052278&amp;type=1", "同花顺：浙江核新同花顺网络信息股份有限公司创业板首发招股说明书（申报稿）")</f>
        <v>同花顺：浙江核新同花顺网络信息股份有限公司创业板首发招股说明书（申报稿）</v>
      </c>
      <c r="D2813" t="s">
        <v>9178</v>
      </c>
      <c r="E2813" t="s">
        <v>6312</v>
      </c>
      <c r="F2813" t="s">
        <v>6416</v>
      </c>
    </row>
    <row r="2814" spans="1:6" x14ac:dyDescent="0.15">
      <c r="A2814" s="1">
        <v>40116</v>
      </c>
      <c r="B2814" t="s">
        <v>3770</v>
      </c>
      <c r="C2814" s="2" t="str">
        <f>HYPERLINK("http://snap.windin.com/ns/bulletin.php?id=2095725&amp;type=1", "司尔特：安徽省司尔特肥业股份有限公司首发招股说明书（申报稿）")</f>
        <v>司尔特：安徽省司尔特肥业股份有限公司首发招股说明书（申报稿）</v>
      </c>
      <c r="D2814" t="s">
        <v>9179</v>
      </c>
      <c r="E2814" t="s">
        <v>5769</v>
      </c>
      <c r="F2814" t="s">
        <v>6417</v>
      </c>
    </row>
    <row r="2815" spans="1:6" x14ac:dyDescent="0.15">
      <c r="A2815" s="1">
        <v>40116</v>
      </c>
      <c r="B2815" t="s">
        <v>4159</v>
      </c>
      <c r="C2815" s="2" t="str">
        <f>HYPERLINK("http://snap.windin.com/ns/bulletin.php?id=1437544&amp;type=1", "宝通带业：无锡宝通带业股份有限公司创业板首发招股说明书（申报稿）")</f>
        <v>宝通带业：无锡宝通带业股份有限公司创业板首发招股说明书（申报稿）</v>
      </c>
      <c r="D2815" t="s">
        <v>9180</v>
      </c>
      <c r="E2815" t="s">
        <v>6305</v>
      </c>
      <c r="F2815" t="s">
        <v>6418</v>
      </c>
    </row>
    <row r="2816" spans="1:6" x14ac:dyDescent="0.15">
      <c r="A2816" s="1">
        <v>40116</v>
      </c>
      <c r="B2816" t="s">
        <v>4126</v>
      </c>
      <c r="C2816" s="2" t="str">
        <f>HYPERLINK("http://snap.windin.com/ns/bulletin.php?id=1512437&amp;type=1", "巨力索具：巨力索具股份有限公司首发招股说明书(申报稿)")</f>
        <v>巨力索具：巨力索具股份有限公司首发招股说明书(申报稿)</v>
      </c>
      <c r="D2816" t="s">
        <v>9181</v>
      </c>
      <c r="E2816" t="s">
        <v>6183</v>
      </c>
      <c r="F2816" t="s">
        <v>6419</v>
      </c>
    </row>
    <row r="2817" spans="1:6" x14ac:dyDescent="0.15">
      <c r="A2817" s="1">
        <v>40116</v>
      </c>
      <c r="B2817" t="s">
        <v>3846</v>
      </c>
      <c r="C2817" s="2" t="str">
        <f>HYPERLINK("http://snap.windin.com/ns/bulletin.php?id=877188&amp;type=1", "福星晓程：北京福星晓程电子科技股份有限公司创业板首发招股说明书（申报稿）")</f>
        <v>福星晓程：北京福星晓程电子科技股份有限公司创业板首发招股说明书（申报稿）</v>
      </c>
      <c r="D2817" t="s">
        <v>9182</v>
      </c>
      <c r="E2817" t="s">
        <v>5857</v>
      </c>
      <c r="F2817" t="s">
        <v>6420</v>
      </c>
    </row>
    <row r="2818" spans="1:6" x14ac:dyDescent="0.15">
      <c r="A2818" s="1">
        <v>40113</v>
      </c>
      <c r="B2818" t="s">
        <v>4125</v>
      </c>
      <c r="C2818" s="2" t="str">
        <f>HYPERLINK("http://snap.windin.com/ns/bulletin.php?id=1889406&amp;type=1", "海宁皮革：海宁中国皮革城股份有限公司首发招股说明书（申报稿）")</f>
        <v>海宁皮革：海宁中国皮革城股份有限公司首发招股说明书（申报稿）</v>
      </c>
      <c r="D2818" t="s">
        <v>9183</v>
      </c>
      <c r="E2818" t="s">
        <v>6421</v>
      </c>
      <c r="F2818" t="s">
        <v>6422</v>
      </c>
    </row>
    <row r="2819" spans="1:6" x14ac:dyDescent="0.15">
      <c r="A2819" s="1">
        <v>40112</v>
      </c>
      <c r="B2819" t="s">
        <v>4191</v>
      </c>
      <c r="C2819" s="2" t="str">
        <f>HYPERLINK("http://snap.windin.com/ns/bulletin.php?id=1234869&amp;type=1", "洋河股份:首次公开发行股票招股说明书")</f>
        <v>洋河股份:首次公开发行股票招股说明书</v>
      </c>
      <c r="D2819" t="s">
        <v>9184</v>
      </c>
      <c r="E2819" t="s">
        <v>6204</v>
      </c>
    </row>
    <row r="2820" spans="1:6" x14ac:dyDescent="0.15">
      <c r="A2820" s="1">
        <v>40112</v>
      </c>
      <c r="B2820" t="s">
        <v>4192</v>
      </c>
      <c r="C2820" s="2" t="str">
        <f>HYPERLINK("http://snap.windin.com/ns/bulletin.php?id=907567&amp;type=1", "南国置业:首次公开发行股票招股说明书")</f>
        <v>南国置业:首次公开发行股票招股说明书</v>
      </c>
      <c r="D2820" t="s">
        <v>9185</v>
      </c>
      <c r="E2820" t="s">
        <v>6205</v>
      </c>
    </row>
    <row r="2821" spans="1:6" x14ac:dyDescent="0.15">
      <c r="A2821" s="1">
        <v>40110</v>
      </c>
      <c r="B2821" t="s">
        <v>4129</v>
      </c>
      <c r="C2821" s="2" t="str">
        <f>HYPERLINK("http://snap.windin.com/ns/bulletin.php?id=1306081&amp;type=1", "新纶科技：深圳市新纶科技股份有限公司首发招股说明书（申报稿）")</f>
        <v>新纶科技：深圳市新纶科技股份有限公司首发招股说明书（申报稿）</v>
      </c>
      <c r="D2821" t="s">
        <v>9186</v>
      </c>
      <c r="E2821" t="s">
        <v>6186</v>
      </c>
      <c r="F2821" t="s">
        <v>6423</v>
      </c>
    </row>
    <row r="2822" spans="1:6" x14ac:dyDescent="0.15">
      <c r="A2822" s="1">
        <v>40110</v>
      </c>
      <c r="B2822" t="s">
        <v>4127</v>
      </c>
      <c r="C2822" s="2" t="str">
        <f>HYPERLINK("http://snap.windin.com/ns/bulletin.php?id=927939&amp;type=1", "积成电子：积成电子股份有限公司首发招股说明书（申报稿）")</f>
        <v>积成电子：积成电子股份有限公司首发招股说明书（申报稿）</v>
      </c>
      <c r="D2822" t="s">
        <v>9187</v>
      </c>
      <c r="E2822" t="s">
        <v>6184</v>
      </c>
      <c r="F2822" t="s">
        <v>6424</v>
      </c>
    </row>
    <row r="2823" spans="1:6" x14ac:dyDescent="0.15">
      <c r="A2823" s="1">
        <v>40109</v>
      </c>
      <c r="B2823" t="s">
        <v>3720</v>
      </c>
      <c r="C2823" s="2" t="str">
        <f>HYPERLINK("http://snap.windin.com/ns/bulletin.php?id=927566&amp;type=1", "徐家汇：上海徐家汇商城股份有限公司首发招股说明书（申报稿）")</f>
        <v>徐家汇：上海徐家汇商城股份有限公司首发招股说明书（申报稿）</v>
      </c>
      <c r="D2823" t="s">
        <v>9188</v>
      </c>
      <c r="E2823" t="s">
        <v>5712</v>
      </c>
      <c r="F2823" t="s">
        <v>6425</v>
      </c>
    </row>
    <row r="2824" spans="1:6" x14ac:dyDescent="0.15">
      <c r="A2824" s="1">
        <v>40109</v>
      </c>
      <c r="B2824" t="s">
        <v>4128</v>
      </c>
      <c r="C2824" s="2" t="str">
        <f>HYPERLINK("http://snap.windin.com/ns/bulletin.php?id=795354&amp;type=1", "格林美：深圳市格林美高新技术股份有限公司首发招股说明书（申报稿）")</f>
        <v>格林美：深圳市格林美高新技术股份有限公司首发招股说明书（申报稿）</v>
      </c>
      <c r="D2824" t="s">
        <v>9189</v>
      </c>
      <c r="E2824" t="s">
        <v>6185</v>
      </c>
      <c r="F2824" t="s">
        <v>6426</v>
      </c>
    </row>
    <row r="2825" spans="1:6" x14ac:dyDescent="0.15">
      <c r="A2825" s="1">
        <v>40106</v>
      </c>
      <c r="B2825" t="s">
        <v>4139</v>
      </c>
      <c r="C2825" s="2" t="str">
        <f>HYPERLINK("http://snap.windin.com/ns/bulletin.php?id=1002348&amp;type=1", "奥普光电：长春奥普光电技术股份有限公司首发招股说明书（申报稿）")</f>
        <v>奥普光电：长春奥普光电技术股份有限公司首发招股说明书（申报稿）</v>
      </c>
      <c r="D2825" t="s">
        <v>9190</v>
      </c>
      <c r="E2825" t="s">
        <v>6196</v>
      </c>
      <c r="F2825" t="s">
        <v>6427</v>
      </c>
    </row>
    <row r="2826" spans="1:6" x14ac:dyDescent="0.15">
      <c r="A2826" s="1">
        <v>40105</v>
      </c>
      <c r="B2826" t="s">
        <v>4193</v>
      </c>
      <c r="C2826" s="2" t="str">
        <f>HYPERLINK("http://snap.windin.com/ns/bulletin.php?id=1793338&amp;type=1", "西部建设:首次公开发行股票招股说明书")</f>
        <v>西部建设:首次公开发行股票招股说明书</v>
      </c>
      <c r="D2826" t="s">
        <v>9191</v>
      </c>
      <c r="E2826" t="s">
        <v>6206</v>
      </c>
    </row>
    <row r="2827" spans="1:6" x14ac:dyDescent="0.15">
      <c r="A2827" s="1">
        <v>40105</v>
      </c>
      <c r="B2827" t="s">
        <v>4194</v>
      </c>
      <c r="C2827" s="2" t="str">
        <f>HYPERLINK("http://snap.windin.com/ns/bulletin.php?id=820493&amp;type=1", "美盈森:首次公开发行股票招股说明书")</f>
        <v>美盈森:首次公开发行股票招股说明书</v>
      </c>
      <c r="D2827" t="s">
        <v>9192</v>
      </c>
      <c r="E2827" t="s">
        <v>6207</v>
      </c>
    </row>
    <row r="2828" spans="1:6" x14ac:dyDescent="0.15">
      <c r="A2828" s="1">
        <v>40103</v>
      </c>
      <c r="B2828" t="s">
        <v>4141</v>
      </c>
      <c r="C2828" s="2" t="str">
        <f>HYPERLINK("http://snap.windin.com/ns/bulletin.php?id=1580105&amp;type=1", "科华恒盛：厦门科华恒盛股份有限公司首发招股说明书(申报稿)")</f>
        <v>科华恒盛：厦门科华恒盛股份有限公司首发招股说明书(申报稿)</v>
      </c>
      <c r="D2828" t="s">
        <v>9193</v>
      </c>
      <c r="E2828" t="s">
        <v>6198</v>
      </c>
      <c r="F2828" t="s">
        <v>6428</v>
      </c>
    </row>
    <row r="2829" spans="1:6" x14ac:dyDescent="0.15">
      <c r="A2829" s="1">
        <v>40103</v>
      </c>
      <c r="B2829" t="s">
        <v>4140</v>
      </c>
      <c r="C2829" s="2" t="str">
        <f>HYPERLINK("http://snap.windin.com/ns/bulletin.php?id=641469&amp;type=1", "赛象科技：天津赛象科技股份有限公司首发招股说明书（申报稿）")</f>
        <v>赛象科技：天津赛象科技股份有限公司首发招股说明书（申报稿）</v>
      </c>
      <c r="D2829" t="s">
        <v>9194</v>
      </c>
      <c r="E2829" t="s">
        <v>6197</v>
      </c>
      <c r="F2829" t="s">
        <v>6429</v>
      </c>
    </row>
    <row r="2830" spans="1:6" x14ac:dyDescent="0.15">
      <c r="A2830" s="1">
        <v>40102</v>
      </c>
      <c r="B2830" t="s">
        <v>4143</v>
      </c>
      <c r="C2830" s="2" t="str">
        <f>HYPERLINK("http://snap.windin.com/ns/bulletin.php?id=1668581&amp;type=1", "人人乐：人人乐连锁商业集团股份有限公司首发招股说明书（申报稿）")</f>
        <v>人人乐：人人乐连锁商业集团股份有限公司首发招股说明书（申报稿）</v>
      </c>
      <c r="D2830" t="s">
        <v>9195</v>
      </c>
      <c r="E2830" t="s">
        <v>6200</v>
      </c>
      <c r="F2830" t="s">
        <v>6430</v>
      </c>
    </row>
    <row r="2831" spans="1:6" x14ac:dyDescent="0.15">
      <c r="A2831" s="1">
        <v>40102</v>
      </c>
      <c r="B2831" t="s">
        <v>4142</v>
      </c>
      <c r="C2831" s="2" t="str">
        <f>HYPERLINK("http://snap.windin.com/ns/bulletin.php?id=69955&amp;type=1", "英威腾：深圳英威腾电气股份有限公司首发招股说明书（申报稿）")</f>
        <v>英威腾：深圳英威腾电气股份有限公司首发招股说明书（申报稿）</v>
      </c>
      <c r="D2831" t="s">
        <v>9196</v>
      </c>
      <c r="E2831" t="s">
        <v>6199</v>
      </c>
      <c r="F2831" t="s">
        <v>6431</v>
      </c>
    </row>
    <row r="2832" spans="1:6" x14ac:dyDescent="0.15">
      <c r="A2832" s="1">
        <v>40100</v>
      </c>
      <c r="B2832" t="s">
        <v>4195</v>
      </c>
      <c r="C2832" s="2" t="str">
        <f>HYPERLINK("http://snap.windin.com/ns/bulletin.php?id=1996271&amp;type=1", "华谊兄弟:首次公开发行股票并在创业板上市招股说明书")</f>
        <v>华谊兄弟:首次公开发行股票并在创业板上市招股说明书</v>
      </c>
      <c r="D2832" t="s">
        <v>9197</v>
      </c>
      <c r="E2832" t="s">
        <v>6208</v>
      </c>
    </row>
    <row r="2833" spans="1:6" x14ac:dyDescent="0.15">
      <c r="A2833" s="1">
        <v>40100</v>
      </c>
      <c r="B2833" t="s">
        <v>4196</v>
      </c>
      <c r="C2833" s="2" t="str">
        <f>HYPERLINK("http://snap.windin.com/ns/bulletin.php?id=2088009&amp;type=1", "601888:中国国旅首次公开发行股票招股说明书")</f>
        <v>601888:中国国旅首次公开发行股票招股说明书</v>
      </c>
      <c r="D2833" t="s">
        <v>9198</v>
      </c>
      <c r="E2833">
        <v>601888</v>
      </c>
    </row>
    <row r="2834" spans="1:6" x14ac:dyDescent="0.15">
      <c r="A2834" s="1">
        <v>40100</v>
      </c>
      <c r="B2834" t="s">
        <v>4197</v>
      </c>
      <c r="C2834" s="2" t="str">
        <f>HYPERLINK("http://snap.windin.com/ns/bulletin.php?id=1348545&amp;type=1", "吉峰农机:首次公开发行股票并在创业板上市招股说明书")</f>
        <v>吉峰农机:首次公开发行股票并在创业板上市招股说明书</v>
      </c>
      <c r="D2834" t="s">
        <v>9199</v>
      </c>
      <c r="E2834" t="s">
        <v>6209</v>
      </c>
    </row>
    <row r="2835" spans="1:6" x14ac:dyDescent="0.15">
      <c r="A2835" s="1">
        <v>40100</v>
      </c>
      <c r="B2835" t="s">
        <v>4198</v>
      </c>
      <c r="C2835" s="2" t="str">
        <f>HYPERLINK("http://snap.windin.com/ns/bulletin.php?id=1198050&amp;type=1", "红日药业:首次公开发行股票并在创业板上市招股说明书")</f>
        <v>红日药业:首次公开发行股票并在创业板上市招股说明书</v>
      </c>
      <c r="D2835" t="s">
        <v>9200</v>
      </c>
      <c r="E2835" t="s">
        <v>6210</v>
      </c>
    </row>
    <row r="2836" spans="1:6" x14ac:dyDescent="0.15">
      <c r="A2836" s="1">
        <v>40100</v>
      </c>
      <c r="B2836" t="s">
        <v>4199</v>
      </c>
      <c r="C2836" s="2" t="str">
        <f>HYPERLINK("http://snap.windin.com/ns/bulletin.php?id=1193315&amp;type=1", "银江股份:首次公开发行股票并在创业板上市招股说明书")</f>
        <v>银江股份:首次公开发行股票并在创业板上市招股说明书</v>
      </c>
      <c r="D2836" t="s">
        <v>9201</v>
      </c>
      <c r="E2836" t="s">
        <v>6211</v>
      </c>
    </row>
    <row r="2837" spans="1:6" x14ac:dyDescent="0.15">
      <c r="A2837" s="1">
        <v>40100</v>
      </c>
      <c r="B2837" t="s">
        <v>4200</v>
      </c>
      <c r="C2837" s="2" t="str">
        <f>HYPERLINK("http://snap.windin.com/ns/bulletin.php?id=489711&amp;type=1", "机器人:首次公开发行股票并在创业板上市招股说明书")</f>
        <v>机器人:首次公开发行股票并在创业板上市招股说明书</v>
      </c>
      <c r="D2837" t="s">
        <v>9202</v>
      </c>
      <c r="E2837" t="s">
        <v>6212</v>
      </c>
    </row>
    <row r="2838" spans="1:6" x14ac:dyDescent="0.15">
      <c r="A2838" s="1">
        <v>40100</v>
      </c>
      <c r="B2838" t="s">
        <v>4201</v>
      </c>
      <c r="C2838" s="2" t="str">
        <f>HYPERLINK("http://snap.windin.com/ns/bulletin.php?id=1873811&amp;type=1", "宝德股份:首次公开发行股票并在创业板上市招股说明书")</f>
        <v>宝德股份:首次公开发行股票并在创业板上市招股说明书</v>
      </c>
      <c r="D2838" t="s">
        <v>9203</v>
      </c>
      <c r="E2838" t="s">
        <v>6213</v>
      </c>
    </row>
    <row r="2839" spans="1:6" x14ac:dyDescent="0.15">
      <c r="A2839" s="1">
        <v>40100</v>
      </c>
      <c r="B2839" t="s">
        <v>4202</v>
      </c>
      <c r="C2839" s="2" t="str">
        <f>HYPERLINK("http://snap.windin.com/ns/bulletin.php?id=1516012&amp;type=1", "华星创业:首次公开发行股票并在创业板上市招股说明书")</f>
        <v>华星创业:首次公开发行股票并在创业板上市招股说明书</v>
      </c>
      <c r="D2839" t="s">
        <v>9204</v>
      </c>
      <c r="E2839" t="s">
        <v>6214</v>
      </c>
    </row>
    <row r="2840" spans="1:6" x14ac:dyDescent="0.15">
      <c r="A2840" s="1">
        <v>40100</v>
      </c>
      <c r="B2840" t="s">
        <v>4203</v>
      </c>
      <c r="C2840" s="2" t="str">
        <f>HYPERLINK("http://snap.windin.com/ns/bulletin.php?id=1544235&amp;type=1", "大禹节水:首次公开发行股票并在创业板上市招股说明书")</f>
        <v>大禹节水:首次公开发行股票并在创业板上市招股说明书</v>
      </c>
      <c r="D2840" t="s">
        <v>9205</v>
      </c>
      <c r="E2840" t="s">
        <v>6215</v>
      </c>
    </row>
    <row r="2841" spans="1:6" x14ac:dyDescent="0.15">
      <c r="A2841" s="1">
        <v>40100</v>
      </c>
      <c r="B2841" t="s">
        <v>4204</v>
      </c>
      <c r="C2841" s="2" t="str">
        <f>HYPERLINK("http://snap.windin.com/ns/bulletin.php?id=1148463&amp;type=1", "金亚科技:首次公开发行股票并在创业板上市招股说明书")</f>
        <v>金亚科技:首次公开发行股票并在创业板上市招股说明书</v>
      </c>
      <c r="D2841" t="s">
        <v>9206</v>
      </c>
      <c r="E2841" t="s">
        <v>6216</v>
      </c>
    </row>
    <row r="2842" spans="1:6" x14ac:dyDescent="0.15">
      <c r="A2842" s="1">
        <v>40099</v>
      </c>
      <c r="B2842" t="s">
        <v>4145</v>
      </c>
      <c r="C2842" s="2" t="str">
        <f>HYPERLINK("http://snap.windin.com/ns/bulletin.php?id=225162&amp;type=1", "仙琚制药：浙江仙琚制药股份有限公司首发招股说明书（申报稿）")</f>
        <v>仙琚制药：浙江仙琚制药股份有限公司首发招股说明书（申报稿）</v>
      </c>
      <c r="D2842" t="s">
        <v>9207</v>
      </c>
      <c r="E2842" t="s">
        <v>6203</v>
      </c>
      <c r="F2842" t="s">
        <v>6432</v>
      </c>
    </row>
    <row r="2843" spans="1:6" x14ac:dyDescent="0.15">
      <c r="A2843" s="1">
        <v>40099</v>
      </c>
      <c r="B2843" t="s">
        <v>4144</v>
      </c>
      <c r="C2843" s="2" t="str">
        <f>HYPERLINK("http://snap.windin.com/ns/bulletin.php?id=487407&amp;type=1", "罗普斯金：苏州罗普斯金铝业股份有限公司首发招股说明书（申报稿）")</f>
        <v>罗普斯金：苏州罗普斯金铝业股份有限公司首发招股说明书（申报稿）</v>
      </c>
      <c r="D2843" t="s">
        <v>9208</v>
      </c>
      <c r="E2843" t="s">
        <v>6202</v>
      </c>
      <c r="F2843" t="s">
        <v>6433</v>
      </c>
    </row>
    <row r="2844" spans="1:6" x14ac:dyDescent="0.15">
      <c r="A2844" s="1">
        <v>40098</v>
      </c>
      <c r="B2844" t="s">
        <v>4206</v>
      </c>
      <c r="C2844" s="2" t="str">
        <f>HYPERLINK("http://snap.windin.com/ns/bulletin.php?id=405139&amp;type=1", "中元华电:首次公开发行股票并在创业板上市招股说明书")</f>
        <v>中元华电:首次公开发行股票并在创业板上市招股说明书</v>
      </c>
      <c r="D2844" t="s">
        <v>9209</v>
      </c>
      <c r="E2844" t="s">
        <v>6217</v>
      </c>
    </row>
    <row r="2845" spans="1:6" x14ac:dyDescent="0.15">
      <c r="A2845" s="1">
        <v>40098</v>
      </c>
      <c r="B2845" t="s">
        <v>4207</v>
      </c>
      <c r="C2845" s="2" t="str">
        <f>HYPERLINK("http://snap.windin.com/ns/bulletin.php?id=1157496&amp;type=1", "硅宝科技:首次公开发行股票并在创业板上市招股说明书")</f>
        <v>硅宝科技:首次公开发行股票并在创业板上市招股说明书</v>
      </c>
      <c r="D2845" t="s">
        <v>9210</v>
      </c>
      <c r="E2845" t="s">
        <v>6218</v>
      </c>
    </row>
    <row r="2846" spans="1:6" x14ac:dyDescent="0.15">
      <c r="A2846" s="1">
        <v>40098</v>
      </c>
      <c r="B2846" t="s">
        <v>4208</v>
      </c>
      <c r="C2846" s="2" t="str">
        <f>HYPERLINK("http://snap.windin.com/ns/bulletin.php?id=1910433&amp;type=1", "网宿科技:首次公开发行股票并在创业板上市招股说明书")</f>
        <v>网宿科技:首次公开发行股票并在创业板上市招股说明书</v>
      </c>
      <c r="D2846" t="s">
        <v>9211</v>
      </c>
      <c r="E2846" t="s">
        <v>6219</v>
      </c>
    </row>
    <row r="2847" spans="1:6" x14ac:dyDescent="0.15">
      <c r="A2847" s="1">
        <v>40098</v>
      </c>
      <c r="B2847" t="s">
        <v>4209</v>
      </c>
      <c r="C2847" s="2" t="str">
        <f>HYPERLINK("http://snap.windin.com/ns/bulletin.php?id=1903183&amp;type=1", "新宁物流:首次公开发行股票并在创业板上市招股说明书")</f>
        <v>新宁物流:首次公开发行股票并在创业板上市招股说明书</v>
      </c>
      <c r="D2847" t="s">
        <v>9212</v>
      </c>
      <c r="E2847" t="s">
        <v>6220</v>
      </c>
    </row>
    <row r="2848" spans="1:6" x14ac:dyDescent="0.15">
      <c r="A2848" s="1">
        <v>40098</v>
      </c>
      <c r="B2848" t="s">
        <v>4210</v>
      </c>
      <c r="C2848" s="2" t="str">
        <f>HYPERLINK("http://snap.windin.com/ns/bulletin.php?id=1581537&amp;type=1", "亿纬锂能:首次公开发行股票并在创业板上市招股说明书")</f>
        <v>亿纬锂能:首次公开发行股票并在创业板上市招股说明书</v>
      </c>
      <c r="D2848" t="s">
        <v>9213</v>
      </c>
      <c r="E2848" t="s">
        <v>6221</v>
      </c>
    </row>
    <row r="2849" spans="1:6" x14ac:dyDescent="0.15">
      <c r="A2849" s="1">
        <v>40098</v>
      </c>
      <c r="B2849" t="s">
        <v>4211</v>
      </c>
      <c r="C2849" s="2" t="str">
        <f>HYPERLINK("http://snap.windin.com/ns/bulletin.php?id=934755&amp;type=1", "爱尔眼科:首次公开发行股票并在创业板上市招股说明书")</f>
        <v>爱尔眼科:首次公开发行股票并在创业板上市招股说明书</v>
      </c>
      <c r="D2849" t="s">
        <v>9214</v>
      </c>
      <c r="E2849" t="s">
        <v>6222</v>
      </c>
    </row>
    <row r="2850" spans="1:6" x14ac:dyDescent="0.15">
      <c r="A2850" s="1">
        <v>40098</v>
      </c>
      <c r="B2850" t="s">
        <v>4212</v>
      </c>
      <c r="C2850" s="2" t="str">
        <f>HYPERLINK("http://snap.windin.com/ns/bulletin.php?id=1036075&amp;type=1", "华测检测:首次公开发行股票并在创业板上市招股说明书")</f>
        <v>华测检测:首次公开发行股票并在创业板上市招股说明书</v>
      </c>
      <c r="D2850" t="s">
        <v>9215</v>
      </c>
      <c r="E2850" t="s">
        <v>6223</v>
      </c>
    </row>
    <row r="2851" spans="1:6" x14ac:dyDescent="0.15">
      <c r="A2851" s="1">
        <v>40098</v>
      </c>
      <c r="B2851" t="s">
        <v>4213</v>
      </c>
      <c r="C2851" s="2" t="str">
        <f>HYPERLINK("http://snap.windin.com/ns/bulletin.php?id=1115774&amp;type=1", "北陆药业:首次公开发行股票并在创业板上市招股说明书")</f>
        <v>北陆药业:首次公开发行股票并在创业板上市招股说明书</v>
      </c>
      <c r="D2851" t="s">
        <v>9216</v>
      </c>
      <c r="E2851" t="s">
        <v>6224</v>
      </c>
    </row>
    <row r="2852" spans="1:6" x14ac:dyDescent="0.15">
      <c r="A2852" s="1">
        <v>40098</v>
      </c>
      <c r="B2852" t="s">
        <v>4205</v>
      </c>
      <c r="C2852" s="2" t="str">
        <f>HYPERLINK("http://snap.windin.com/ns/bulletin.php?id=995250&amp;type=1", "鼎汉技术:首次公开发行股票并在创业板上市招股说明书")</f>
        <v>鼎汉技术:首次公开发行股票并在创业板上市招股说明书</v>
      </c>
      <c r="D2852" t="s">
        <v>9217</v>
      </c>
      <c r="E2852" t="s">
        <v>6225</v>
      </c>
    </row>
    <row r="2853" spans="1:6" x14ac:dyDescent="0.15">
      <c r="A2853" s="1">
        <v>40096</v>
      </c>
      <c r="B2853" t="s">
        <v>4155</v>
      </c>
      <c r="C2853" s="2" t="str">
        <f>HYPERLINK("http://snap.windin.com/ns/bulletin.php?id=1240147&amp;type=1", "皇氏乳业：广西皇氏甲天下乳业股份有限公司首发招股说明书（申报稿）")</f>
        <v>皇氏乳业：广西皇氏甲天下乳业股份有限公司首发招股说明书（申报稿）</v>
      </c>
      <c r="D2853" t="s">
        <v>9218</v>
      </c>
      <c r="E2853" t="s">
        <v>6290</v>
      </c>
      <c r="F2853" t="s">
        <v>6434</v>
      </c>
    </row>
    <row r="2854" spans="1:6" x14ac:dyDescent="0.15">
      <c r="A2854" s="1">
        <v>40096</v>
      </c>
      <c r="B2854" t="s">
        <v>4154</v>
      </c>
      <c r="C2854" s="2" t="str">
        <f>HYPERLINK("http://snap.windin.com/ns/bulletin.php?id=553607&amp;type=1", "得利斯：山东得利斯食品股份有限公司首发招股说明书（申报稿）")</f>
        <v>得利斯：山东得利斯食品股份有限公司首发招股说明书（申报稿）</v>
      </c>
      <c r="D2854" t="s">
        <v>9219</v>
      </c>
      <c r="E2854" t="s">
        <v>6284</v>
      </c>
      <c r="F2854" t="s">
        <v>6435</v>
      </c>
    </row>
    <row r="2855" spans="1:6" x14ac:dyDescent="0.15">
      <c r="A2855" s="1">
        <v>40095</v>
      </c>
      <c r="B2855" t="s">
        <v>4214</v>
      </c>
      <c r="C2855" s="2" t="str">
        <f>HYPERLINK("http://snap.windin.com/ns/bulletin.php?id=765742&amp;type=1", "齐心文具:首次公开发行股票招股说明书")</f>
        <v>齐心文具:首次公开发行股票招股说明书</v>
      </c>
      <c r="D2855" t="s">
        <v>9220</v>
      </c>
      <c r="E2855" t="s">
        <v>6226</v>
      </c>
    </row>
    <row r="2856" spans="1:6" x14ac:dyDescent="0.15">
      <c r="A2856" s="1">
        <v>40086</v>
      </c>
      <c r="B2856" t="s">
        <v>4215</v>
      </c>
      <c r="C2856" s="2" t="str">
        <f>HYPERLINK("http://snap.windin.com/ns/bulletin.php?id=1996370&amp;type=1", "圣农发展:首次公开发行股票招股说明书")</f>
        <v>圣农发展:首次公开发行股票招股说明书</v>
      </c>
      <c r="D2856" t="s">
        <v>9221</v>
      </c>
      <c r="E2856" t="s">
        <v>6227</v>
      </c>
    </row>
    <row r="2857" spans="1:6" x14ac:dyDescent="0.15">
      <c r="A2857" s="1">
        <v>40086</v>
      </c>
      <c r="B2857" t="s">
        <v>4216</v>
      </c>
      <c r="C2857" s="2" t="str">
        <f>HYPERLINK("http://snap.windin.com/ns/bulletin.php?id=1970668&amp;type=1", "太阳电缆:首次公开发行股票招股说明书")</f>
        <v>太阳电缆:首次公开发行股票招股说明书</v>
      </c>
      <c r="D2857" t="s">
        <v>9222</v>
      </c>
      <c r="E2857" t="s">
        <v>6228</v>
      </c>
    </row>
    <row r="2858" spans="1:6" x14ac:dyDescent="0.15">
      <c r="A2858" s="1">
        <v>40082</v>
      </c>
      <c r="B2858" t="s">
        <v>4171</v>
      </c>
      <c r="C2858" s="2" t="str">
        <f>HYPERLINK("http://snap.windin.com/ns/bulletin.php?id=1357934&amp;type=1", "中联电气：江苏中联电气股份有限公司首发招股说明书（申报稿）")</f>
        <v>中联电气：江苏中联电气股份有限公司首发招股说明书（申报稿）</v>
      </c>
      <c r="D2858" t="s">
        <v>9223</v>
      </c>
      <c r="E2858" t="s">
        <v>6328</v>
      </c>
      <c r="F2858" t="s">
        <v>6436</v>
      </c>
    </row>
    <row r="2859" spans="1:6" x14ac:dyDescent="0.15">
      <c r="A2859" s="1">
        <v>40082</v>
      </c>
      <c r="B2859" t="s">
        <v>4169</v>
      </c>
      <c r="C2859" s="2" t="str">
        <f>HYPERLINK("http://snap.windin.com/ns/bulletin.php?id=700500&amp;type=1", "永太科技：浙江永太科技股份有限公司首发招股说明书（申报稿）")</f>
        <v>永太科技：浙江永太科技股份有限公司首发招股说明书（申报稿）</v>
      </c>
      <c r="D2859" t="s">
        <v>9224</v>
      </c>
      <c r="E2859" t="s">
        <v>6326</v>
      </c>
      <c r="F2859" t="s">
        <v>6437</v>
      </c>
    </row>
    <row r="2860" spans="1:6" x14ac:dyDescent="0.15">
      <c r="A2860" s="1">
        <v>40081</v>
      </c>
      <c r="B2860" t="s">
        <v>4170</v>
      </c>
      <c r="C2860" s="2" t="str">
        <f>HYPERLINK("http://snap.windin.com/ns/bulletin.php?id=1249952&amp;type=1", "理工监测：宁波理工监测科技股份有限公司首发招股说明书（申报稿）")</f>
        <v>理工监测：宁波理工监测科技股份有限公司首发招股说明书（申报稿）</v>
      </c>
      <c r="D2860" t="s">
        <v>9225</v>
      </c>
      <c r="E2860" t="s">
        <v>6327</v>
      </c>
      <c r="F2860" t="s">
        <v>6438</v>
      </c>
    </row>
    <row r="2861" spans="1:6" x14ac:dyDescent="0.15">
      <c r="A2861" s="1">
        <v>40081</v>
      </c>
      <c r="B2861" t="s">
        <v>4172</v>
      </c>
      <c r="C2861" s="2" t="str">
        <f>HYPERLINK("http://snap.windin.com/ns/bulletin.php?id=530583&amp;type=1", "普利特：上海普利特复合材料股份有限公司首发招股说明书（申报稿）")</f>
        <v>普利特：上海普利特复合材料股份有限公司首发招股说明书（申报稿）</v>
      </c>
      <c r="D2861" t="s">
        <v>9226</v>
      </c>
      <c r="E2861" t="s">
        <v>6336</v>
      </c>
      <c r="F2861" t="s">
        <v>6439</v>
      </c>
    </row>
    <row r="2862" spans="1:6" x14ac:dyDescent="0.15">
      <c r="A2862" s="1">
        <v>40080</v>
      </c>
      <c r="B2862" t="s">
        <v>4218</v>
      </c>
      <c r="C2862" s="2" t="str">
        <f>HYPERLINK("http://snap.windin.com/ns/bulletin.php?id=162505&amp;type=1", "探路者:首次公开发行股票(A股)并在创业板上市招股说明书")</f>
        <v>探路者:首次公开发行股票(A股)并在创业板上市招股说明书</v>
      </c>
      <c r="D2862" t="s">
        <v>9227</v>
      </c>
      <c r="E2862" t="s">
        <v>6229</v>
      </c>
    </row>
    <row r="2863" spans="1:6" x14ac:dyDescent="0.15">
      <c r="A2863" s="1">
        <v>40080</v>
      </c>
      <c r="B2863" t="s">
        <v>4219</v>
      </c>
      <c r="C2863" s="2" t="str">
        <f>HYPERLINK("http://snap.windin.com/ns/bulletin.php?id=192976&amp;type=1", "安科生物:首次公开发行股票并在创业板上市招股说明书")</f>
        <v>安科生物:首次公开发行股票并在创业板上市招股说明书</v>
      </c>
      <c r="D2863" t="s">
        <v>9228</v>
      </c>
      <c r="E2863" t="s">
        <v>6230</v>
      </c>
    </row>
    <row r="2864" spans="1:6" x14ac:dyDescent="0.15">
      <c r="A2864" s="1">
        <v>40080</v>
      </c>
      <c r="B2864" t="s">
        <v>4198</v>
      </c>
      <c r="C2864" s="2" t="str">
        <f>HYPERLINK("http://snap.windin.com/ns/bulletin.php?id=103120&amp;type=1", "红日药业：天津红日药业股份有限公司创业板首发招股说明书（申报稿）")</f>
        <v>红日药业：天津红日药业股份有限公司创业板首发招股说明书（申报稿）</v>
      </c>
      <c r="D2864" t="s">
        <v>9229</v>
      </c>
      <c r="E2864" t="s">
        <v>6210</v>
      </c>
      <c r="F2864" t="s">
        <v>6440</v>
      </c>
    </row>
    <row r="2865" spans="1:6" x14ac:dyDescent="0.15">
      <c r="A2865" s="1">
        <v>40080</v>
      </c>
      <c r="B2865" t="s">
        <v>4195</v>
      </c>
      <c r="C2865" s="2" t="str">
        <f>HYPERLINK("http://snap.windin.com/ns/bulletin.php?id=1327338&amp;type=1", "兄弟传媒：华谊兄弟传媒股份有限公司创业板首发招股说明书（申报稿）")</f>
        <v>兄弟传媒：华谊兄弟传媒股份有限公司创业板首发招股说明书（申报稿）</v>
      </c>
      <c r="D2865" t="s">
        <v>9230</v>
      </c>
      <c r="E2865" t="s">
        <v>6441</v>
      </c>
      <c r="F2865" t="s">
        <v>6442</v>
      </c>
    </row>
    <row r="2866" spans="1:6" x14ac:dyDescent="0.15">
      <c r="A2866" s="1">
        <v>40080</v>
      </c>
      <c r="B2866" t="s">
        <v>4217</v>
      </c>
      <c r="C2866" s="2" t="str">
        <f>HYPERLINK("http://snap.windin.com/ns/bulletin.php?id=539316&amp;type=1", "南风股份:首次公开发行股票并在创业板上市招股说明书")</f>
        <v>南风股份:首次公开发行股票并在创业板上市招股说明书</v>
      </c>
      <c r="D2866" t="s">
        <v>9231</v>
      </c>
      <c r="E2866" t="s">
        <v>6231</v>
      </c>
    </row>
    <row r="2867" spans="1:6" x14ac:dyDescent="0.15">
      <c r="A2867" s="1">
        <v>40080</v>
      </c>
      <c r="B2867" t="s">
        <v>4220</v>
      </c>
      <c r="C2867" s="2" t="str">
        <f>HYPERLINK("http://snap.windin.com/ns/bulletin.php?id=428106&amp;type=1", "汉威电子:首次公开发行股票并在创业板上市招股说明书")</f>
        <v>汉威电子:首次公开发行股票并在创业板上市招股说明书</v>
      </c>
      <c r="D2867" t="s">
        <v>9232</v>
      </c>
      <c r="E2867" t="s">
        <v>6232</v>
      </c>
    </row>
    <row r="2868" spans="1:6" x14ac:dyDescent="0.15">
      <c r="A2868" s="1">
        <v>40080</v>
      </c>
      <c r="B2868" t="s">
        <v>4221</v>
      </c>
      <c r="C2868" s="2" t="str">
        <f>HYPERLINK("http://snap.windin.com/ns/bulletin.php?id=1870136&amp;type=1", "特锐德:首次公开发行股票并在创业板上市招股说明书")</f>
        <v>特锐德:首次公开发行股票并在创业板上市招股说明书</v>
      </c>
      <c r="D2868" t="s">
        <v>9233</v>
      </c>
      <c r="E2868" t="s">
        <v>6233</v>
      </c>
    </row>
    <row r="2869" spans="1:6" x14ac:dyDescent="0.15">
      <c r="A2869" s="1">
        <v>40080</v>
      </c>
      <c r="B2869" t="s">
        <v>4222</v>
      </c>
      <c r="C2869" s="2" t="str">
        <f>HYPERLINK("http://snap.windin.com/ns/bulletin.php?id=1881294&amp;type=1", "立思辰:首次公开发行股票并在创业板上市招股说明书")</f>
        <v>立思辰:首次公开发行股票并在创业板上市招股说明书</v>
      </c>
      <c r="D2869" t="s">
        <v>9234</v>
      </c>
      <c r="E2869" t="s">
        <v>6234</v>
      </c>
    </row>
    <row r="2870" spans="1:6" x14ac:dyDescent="0.15">
      <c r="A2870" s="1">
        <v>40080</v>
      </c>
      <c r="B2870" t="s">
        <v>4223</v>
      </c>
      <c r="C2870" s="2" t="str">
        <f>HYPERLINK("http://snap.windin.com/ns/bulletin.php?id=1463779&amp;type=1", "上海佳豪:首次公开发行股票并在创业板上市招股说明书")</f>
        <v>上海佳豪:首次公开发行股票并在创业板上市招股说明书</v>
      </c>
      <c r="D2870" t="s">
        <v>9235</v>
      </c>
      <c r="E2870" t="s">
        <v>6235</v>
      </c>
    </row>
    <row r="2871" spans="1:6" x14ac:dyDescent="0.15">
      <c r="A2871" s="1">
        <v>40080</v>
      </c>
      <c r="B2871" t="s">
        <v>4224</v>
      </c>
      <c r="C2871" s="2" t="str">
        <f>HYPERLINK("http://snap.windin.com/ns/bulletin.php?id=591874&amp;type=1", "乐普医疗:首次公开发行股票并在创业板上市招股说明书")</f>
        <v>乐普医疗:首次公开发行股票并在创业板上市招股说明书</v>
      </c>
      <c r="D2871" t="s">
        <v>9236</v>
      </c>
      <c r="E2871" t="s">
        <v>6236</v>
      </c>
    </row>
    <row r="2872" spans="1:6" x14ac:dyDescent="0.15">
      <c r="A2872" s="1">
        <v>40080</v>
      </c>
      <c r="B2872" t="s">
        <v>4225</v>
      </c>
      <c r="C2872" s="2" t="str">
        <f>HYPERLINK("http://snap.windin.com/ns/bulletin.php?id=911124&amp;type=1", "莱美药业:首次公开发行股票并在创业板上市招股说明书")</f>
        <v>莱美药业:首次公开发行股票并在创业板上市招股说明书</v>
      </c>
      <c r="D2872" t="s">
        <v>9237</v>
      </c>
      <c r="E2872" t="s">
        <v>6237</v>
      </c>
    </row>
    <row r="2873" spans="1:6" x14ac:dyDescent="0.15">
      <c r="A2873" s="1">
        <v>40080</v>
      </c>
      <c r="B2873" t="s">
        <v>4202</v>
      </c>
      <c r="C2873" s="2" t="str">
        <f>HYPERLINK("http://snap.windin.com/ns/bulletin.php?id=962098&amp;type=1", "华星股份：杭州华星创业通信技术股份有限公司创业板首发招股说明书（申报稿）")</f>
        <v>华星股份：杭州华星创业通信技术股份有限公司创业板首发招股说明书（申报稿）</v>
      </c>
      <c r="D2873" t="s">
        <v>9238</v>
      </c>
      <c r="E2873" t="s">
        <v>6443</v>
      </c>
      <c r="F2873" t="s">
        <v>6444</v>
      </c>
    </row>
    <row r="2874" spans="1:6" x14ac:dyDescent="0.15">
      <c r="A2874" s="1">
        <v>40077</v>
      </c>
      <c r="B2874" t="s">
        <v>4204</v>
      </c>
      <c r="C2874" s="2" t="str">
        <f>HYPERLINK("http://snap.windin.com/ns/bulletin.php?id=1670441&amp;type=1", "金亚科技：成都金亚科技股份有限公司创业板首发招股说明书（申报稿）")</f>
        <v>金亚科技：成都金亚科技股份有限公司创业板首发招股说明书（申报稿）</v>
      </c>
      <c r="D2874" t="s">
        <v>9239</v>
      </c>
      <c r="E2874" t="s">
        <v>6216</v>
      </c>
      <c r="F2874" t="s">
        <v>6445</v>
      </c>
    </row>
    <row r="2875" spans="1:6" x14ac:dyDescent="0.15">
      <c r="A2875" s="1">
        <v>40077</v>
      </c>
      <c r="B2875" t="s">
        <v>4203</v>
      </c>
      <c r="C2875" s="2" t="str">
        <f>HYPERLINK("http://snap.windin.com/ns/bulletin.php?id=1636114&amp;type=1", "大禹节水：甘肃大禹节水股份有限公司创业板首发招股说明书（申报稿）")</f>
        <v>大禹节水：甘肃大禹节水股份有限公司创业板首发招股说明书（申报稿）</v>
      </c>
      <c r="D2875" t="s">
        <v>9240</v>
      </c>
      <c r="E2875" t="s">
        <v>6215</v>
      </c>
      <c r="F2875" t="s">
        <v>6446</v>
      </c>
    </row>
    <row r="2876" spans="1:6" x14ac:dyDescent="0.15">
      <c r="A2876" s="1">
        <v>40077</v>
      </c>
      <c r="B2876" t="s">
        <v>4199</v>
      </c>
      <c r="C2876" s="2" t="str">
        <f>HYPERLINK("http://snap.windin.com/ns/bulletin.php?id=530226&amp;type=1", "银江电子：浙江银江电子股份有限公司创业板首发招股说明书（申报稿）")</f>
        <v>银江电子：浙江银江电子股份有限公司创业板首发招股说明书（申报稿）</v>
      </c>
      <c r="D2876" t="s">
        <v>9241</v>
      </c>
      <c r="E2876" t="s">
        <v>6447</v>
      </c>
      <c r="F2876" t="s">
        <v>6448</v>
      </c>
    </row>
    <row r="2877" spans="1:6" x14ac:dyDescent="0.15">
      <c r="A2877" s="1">
        <v>40077</v>
      </c>
      <c r="B2877" t="s">
        <v>4165</v>
      </c>
      <c r="C2877" s="2" t="str">
        <f>HYPERLINK("http://snap.windin.com/ns/bulletin.php?id=664551&amp;type=1", "同花顺：浙江核新同花顺网络信息股份有限公司创业板首发招股说明书（申报稿）")</f>
        <v>同花顺：浙江核新同花顺网络信息股份有限公司创业板首发招股说明书（申报稿）</v>
      </c>
      <c r="D2877" t="s">
        <v>9242</v>
      </c>
      <c r="E2877" t="s">
        <v>6312</v>
      </c>
      <c r="F2877" t="s">
        <v>6416</v>
      </c>
    </row>
    <row r="2878" spans="1:6" x14ac:dyDescent="0.15">
      <c r="A2878" s="1">
        <v>40077</v>
      </c>
      <c r="B2878" t="s">
        <v>4200</v>
      </c>
      <c r="C2878" s="2" t="str">
        <f>HYPERLINK("http://snap.windin.com/ns/bulletin.php?id=632284&amp;type=1", "新松机器人：沈阳新松机器人自动化股份有限公司创业板首发招股说明书（申报稿）")</f>
        <v>新松机器人：沈阳新松机器人自动化股份有限公司创业板首发招股说明书（申报稿）</v>
      </c>
      <c r="D2878" t="s">
        <v>9243</v>
      </c>
      <c r="E2878" t="s">
        <v>6449</v>
      </c>
      <c r="F2878" t="s">
        <v>6450</v>
      </c>
    </row>
    <row r="2879" spans="1:6" x14ac:dyDescent="0.15">
      <c r="A2879" s="1">
        <v>40077</v>
      </c>
      <c r="B2879" t="s">
        <v>4207</v>
      </c>
      <c r="C2879" s="2" t="str">
        <f>HYPERLINK("http://snap.windin.com/ns/bulletin.php?id=1133847&amp;type=1", "成都硅宝：成都硅宝科技股份有限公司创业板首发招股说明书（申报稿）")</f>
        <v>成都硅宝：成都硅宝科技股份有限公司创业板首发招股说明书（申报稿）</v>
      </c>
      <c r="D2879" t="s">
        <v>9244</v>
      </c>
      <c r="E2879" t="s">
        <v>6451</v>
      </c>
      <c r="F2879" t="s">
        <v>6452</v>
      </c>
    </row>
    <row r="2880" spans="1:6" x14ac:dyDescent="0.15">
      <c r="A2880" s="1">
        <v>40077</v>
      </c>
      <c r="B2880" t="s">
        <v>4197</v>
      </c>
      <c r="C2880" s="2" t="str">
        <f>HYPERLINK("http://snap.windin.com/ns/bulletin.php?id=1011731&amp;type=1", "吉峰农机：四川吉峰农机连锁股份有限公司创业板首发招股说明书（申报稿）")</f>
        <v>吉峰农机：四川吉峰农机连锁股份有限公司创业板首发招股说明书（申报稿）</v>
      </c>
      <c r="D2880" t="s">
        <v>9245</v>
      </c>
      <c r="E2880" t="s">
        <v>6209</v>
      </c>
      <c r="F2880" t="s">
        <v>6453</v>
      </c>
    </row>
    <row r="2881" spans="1:6" x14ac:dyDescent="0.15">
      <c r="A2881" s="1">
        <v>40075</v>
      </c>
      <c r="B2881" t="s">
        <v>4051</v>
      </c>
      <c r="C2881" s="2" t="str">
        <f>HYPERLINK("http://snap.windin.com/ns/bulletin.php?id=211183&amp;type=1", "华谊股份：北京华谊嘉信整合营销顾问股份有限公司创业板首发招股说明书（申报稿）")</f>
        <v>华谊股份：北京华谊嘉信整合营销顾问股份有限公司创业板首发招股说明书（申报稿）</v>
      </c>
      <c r="D2881" t="s">
        <v>9246</v>
      </c>
      <c r="E2881" t="s">
        <v>6454</v>
      </c>
      <c r="F2881" t="s">
        <v>6455</v>
      </c>
    </row>
    <row r="2882" spans="1:6" x14ac:dyDescent="0.15">
      <c r="A2882" s="1">
        <v>40075</v>
      </c>
      <c r="B2882" t="s">
        <v>4208</v>
      </c>
      <c r="C2882" s="2" t="str">
        <f>HYPERLINK("http://snap.windin.com/ns/bulletin.php?id=179998&amp;type=1", "网宿科技：上海网宿科技股份有限公司创业板首发招股说明书（申报稿）")</f>
        <v>网宿科技：上海网宿科技股份有限公司创业板首发招股说明书（申报稿）</v>
      </c>
      <c r="D2882" t="s">
        <v>9247</v>
      </c>
      <c r="E2882" t="s">
        <v>6219</v>
      </c>
      <c r="F2882" t="s">
        <v>6456</v>
      </c>
    </row>
    <row r="2883" spans="1:6" x14ac:dyDescent="0.15">
      <c r="A2883" s="1">
        <v>40075</v>
      </c>
      <c r="B2883" t="s">
        <v>4116</v>
      </c>
      <c r="C2883" s="2" t="str">
        <f>HYPERLINK("http://snap.windin.com/ns/bulletin.php?id=105224&amp;type=1", "正泰电器：浙江正泰电器股份有限公司首发招股说明书（申报稿）")</f>
        <v>正泰电器：浙江正泰电器股份有限公司首发招股说明书（申报稿）</v>
      </c>
      <c r="D2883" t="s">
        <v>9248</v>
      </c>
      <c r="E2883" t="s">
        <v>6171</v>
      </c>
      <c r="F2883" t="s">
        <v>6457</v>
      </c>
    </row>
    <row r="2884" spans="1:6" x14ac:dyDescent="0.15">
      <c r="A2884" s="1">
        <v>40075</v>
      </c>
      <c r="B2884" t="s">
        <v>4211</v>
      </c>
      <c r="C2884" s="2" t="str">
        <f>HYPERLINK("http://snap.windin.com/ns/bulletin.php?id=2078929&amp;type=1", "爱尔眼科：爱尔眼科医院集团股份有限公司创业板首发招股说明书（申报稿）")</f>
        <v>爱尔眼科：爱尔眼科医院集团股份有限公司创业板首发招股说明书（申报稿）</v>
      </c>
      <c r="D2884" t="s">
        <v>9249</v>
      </c>
      <c r="E2884" t="s">
        <v>6222</v>
      </c>
      <c r="F2884" t="s">
        <v>6458</v>
      </c>
    </row>
    <row r="2885" spans="1:6" x14ac:dyDescent="0.15">
      <c r="A2885" s="1">
        <v>40075</v>
      </c>
      <c r="B2885" t="s">
        <v>4174</v>
      </c>
      <c r="C2885" s="2" t="str">
        <f>HYPERLINK("http://snap.windin.com/ns/bulletin.php?id=2033971&amp;type=1", "海峡航运：海南海峡航运股份有限公司首发招股说明书（申报稿）")</f>
        <v>海峡航运：海南海峡航运股份有限公司首发招股说明书（申报稿）</v>
      </c>
      <c r="D2885" t="s">
        <v>9250</v>
      </c>
      <c r="E2885" t="s">
        <v>6459</v>
      </c>
      <c r="F2885" t="s">
        <v>6460</v>
      </c>
    </row>
    <row r="2886" spans="1:6" x14ac:dyDescent="0.15">
      <c r="A2886" s="1">
        <v>40074</v>
      </c>
      <c r="B2886" t="s">
        <v>4226</v>
      </c>
      <c r="C2886" s="2" t="str">
        <f>HYPERLINK("http://snap.windin.com/ns/bulletin.php?id=1706291&amp;type=1", "601618:中国中冶首次公开发行A股股票招股说明书")</f>
        <v>601618:中国中冶首次公开发行A股股票招股说明书</v>
      </c>
      <c r="D2886" t="s">
        <v>9251</v>
      </c>
      <c r="E2886">
        <v>601618</v>
      </c>
    </row>
    <row r="2887" spans="1:6" x14ac:dyDescent="0.15">
      <c r="A2887" s="1">
        <v>40074</v>
      </c>
      <c r="B2887" t="s">
        <v>4212</v>
      </c>
      <c r="C2887" s="2" t="str">
        <f>HYPERLINK("http://snap.windin.com/ns/bulletin.php?id=220653&amp;type=1", "华测检测：深圳市华测检测技术股份有限公司创业板首发招股说明书（申报稿）")</f>
        <v>华测检测：深圳市华测检测技术股份有限公司创业板首发招股说明书（申报稿）</v>
      </c>
      <c r="D2887" t="s">
        <v>9252</v>
      </c>
      <c r="E2887" t="s">
        <v>6223</v>
      </c>
      <c r="F2887" t="s">
        <v>6461</v>
      </c>
    </row>
    <row r="2888" spans="1:6" x14ac:dyDescent="0.15">
      <c r="A2888" s="1">
        <v>40074</v>
      </c>
      <c r="B2888" t="s">
        <v>4201</v>
      </c>
      <c r="C2888" s="2" t="str">
        <f>HYPERLINK("http://snap.windin.com/ns/bulletin.php?id=1222198&amp;type=1", "宝德股份：西安宝德自动化股份有限公司创业板首发招股说明书（申报稿）")</f>
        <v>宝德股份：西安宝德自动化股份有限公司创业板首发招股说明书（申报稿）</v>
      </c>
      <c r="D2888" t="s">
        <v>9253</v>
      </c>
      <c r="E2888" t="s">
        <v>6213</v>
      </c>
      <c r="F2888" t="s">
        <v>6462</v>
      </c>
    </row>
    <row r="2889" spans="1:6" x14ac:dyDescent="0.15">
      <c r="A2889" s="1">
        <v>40074</v>
      </c>
      <c r="B2889" t="s">
        <v>4156</v>
      </c>
      <c r="C2889" s="2" t="str">
        <f>HYPERLINK("http://snap.windin.com/ns/bulletin.php?id=501752&amp;type=1", "新朋实业：上海新朋实业股份有限公司首发招股说明书（申报稿）")</f>
        <v>新朋实业：上海新朋实业股份有限公司首发招股说明书（申报稿）</v>
      </c>
      <c r="D2889" t="s">
        <v>9254</v>
      </c>
      <c r="E2889" t="s">
        <v>6463</v>
      </c>
      <c r="F2889" t="s">
        <v>6464</v>
      </c>
    </row>
    <row r="2890" spans="1:6" x14ac:dyDescent="0.15">
      <c r="A2890" s="1">
        <v>40074</v>
      </c>
      <c r="B2890" t="s">
        <v>4120</v>
      </c>
      <c r="C2890" s="2" t="str">
        <f>HYPERLINK("http://snap.windin.com/ns/bulletin.php?id=514628&amp;type=1", "皖新传媒：安徽新华传媒股份有限公司首发招股说明书（申报稿）")</f>
        <v>皖新传媒：安徽新华传媒股份有限公司首发招股说明书（申报稿）</v>
      </c>
      <c r="D2890" t="s">
        <v>9255</v>
      </c>
      <c r="E2890" t="s">
        <v>6175</v>
      </c>
      <c r="F2890" t="s">
        <v>6465</v>
      </c>
    </row>
    <row r="2891" spans="1:6" x14ac:dyDescent="0.15">
      <c r="A2891" s="1">
        <v>40074</v>
      </c>
      <c r="B2891" t="s">
        <v>4213</v>
      </c>
      <c r="C2891" s="2" t="str">
        <f>HYPERLINK("http://snap.windin.com/ns/bulletin.php?id=2041065&amp;type=1", "北陆药业：北京北陆药业股份有限公司创业板首发招股说明书（申报稿）")</f>
        <v>北陆药业：北京北陆药业股份有限公司创业板首发招股说明书（申报稿）</v>
      </c>
      <c r="D2891" t="s">
        <v>9256</v>
      </c>
      <c r="E2891" t="s">
        <v>6224</v>
      </c>
      <c r="F2891" t="s">
        <v>6466</v>
      </c>
    </row>
    <row r="2892" spans="1:6" x14ac:dyDescent="0.15">
      <c r="A2892" s="1">
        <v>40074</v>
      </c>
      <c r="B2892" t="s">
        <v>4206</v>
      </c>
      <c r="C2892" s="2" t="str">
        <f>HYPERLINK("http://snap.windin.com/ns/bulletin.php?id=1580331&amp;type=1", "华电科技：武汉中元华电科技股份有限公司创业板首发招股说明书（申报稿）")</f>
        <v>华电科技：武汉中元华电科技股份有限公司创业板首发招股说明书（申报稿）</v>
      </c>
      <c r="D2892" t="s">
        <v>9257</v>
      </c>
      <c r="E2892" t="s">
        <v>6467</v>
      </c>
      <c r="F2892" t="s">
        <v>6468</v>
      </c>
    </row>
    <row r="2893" spans="1:6" x14ac:dyDescent="0.15">
      <c r="A2893" s="1">
        <v>40073</v>
      </c>
      <c r="B2893" t="s">
        <v>4227</v>
      </c>
      <c r="C2893" s="2" t="str">
        <f>HYPERLINK("http://snap.windin.com/ns/bulletin.php?id=1637599&amp;type=1", "博云新材:首次公开发行股票招股说明书")</f>
        <v>博云新材:首次公开发行股票招股说明书</v>
      </c>
      <c r="D2893" t="s">
        <v>9258</v>
      </c>
      <c r="E2893" t="s">
        <v>6238</v>
      </c>
    </row>
    <row r="2894" spans="1:6" x14ac:dyDescent="0.15">
      <c r="A2894" s="1">
        <v>40073</v>
      </c>
      <c r="B2894" t="s">
        <v>4228</v>
      </c>
      <c r="C2894" s="2" t="str">
        <f>HYPERLINK("http://snap.windin.com/ns/bulletin.php?id=426813&amp;type=1", "鑫龙电器:首次公开发行股票招股说明书")</f>
        <v>鑫龙电器:首次公开发行股票招股说明书</v>
      </c>
      <c r="D2894" t="s">
        <v>9259</v>
      </c>
      <c r="E2894" t="s">
        <v>6239</v>
      </c>
    </row>
    <row r="2895" spans="1:6" x14ac:dyDescent="0.15">
      <c r="A2895" s="1">
        <v>40071</v>
      </c>
      <c r="B2895" t="s">
        <v>4210</v>
      </c>
      <c r="C2895" s="2" t="str">
        <f>HYPERLINK("http://snap.windin.com/ns/bulletin.php?id=140393&amp;type=1", "亿纬锂能：惠州亿纬锂能股份有限公司创业板首发招股说明书（申报稿）")</f>
        <v>亿纬锂能：惠州亿纬锂能股份有限公司创业板首发招股说明书（申报稿）</v>
      </c>
      <c r="D2895" t="s">
        <v>9260</v>
      </c>
      <c r="E2895" t="s">
        <v>6221</v>
      </c>
      <c r="F2895" t="s">
        <v>6469</v>
      </c>
    </row>
    <row r="2896" spans="1:6" x14ac:dyDescent="0.15">
      <c r="A2896" s="1">
        <v>40071</v>
      </c>
      <c r="B2896" t="s">
        <v>4220</v>
      </c>
      <c r="C2896" s="2" t="str">
        <f>HYPERLINK("http://snap.windin.com/ns/bulletin.php?id=175713&amp;type=1", "汉威电子：河南汉威电子股份有限公司创业板首发招股说明书（申报稿）")</f>
        <v>汉威电子：河南汉威电子股份有限公司创业板首发招股说明书（申报稿）</v>
      </c>
      <c r="D2896" t="s">
        <v>9261</v>
      </c>
      <c r="E2896" t="s">
        <v>6232</v>
      </c>
      <c r="F2896" t="s">
        <v>6470</v>
      </c>
    </row>
    <row r="2897" spans="1:6" x14ac:dyDescent="0.15">
      <c r="A2897" s="1">
        <v>40071</v>
      </c>
      <c r="B2897" t="s">
        <v>4218</v>
      </c>
      <c r="C2897" s="2" t="str">
        <f>HYPERLINK("http://snap.windin.com/ns/bulletin.php?id=1361009&amp;type=1", "探路者：北京探路者户外用品股份有限公司创业板首发招股说明书（申报稿）")</f>
        <v>探路者：北京探路者户外用品股份有限公司创业板首发招股说明书（申报稿）</v>
      </c>
      <c r="D2897" t="s">
        <v>9262</v>
      </c>
      <c r="E2897" t="s">
        <v>6229</v>
      </c>
      <c r="F2897" t="s">
        <v>6471</v>
      </c>
    </row>
    <row r="2898" spans="1:6" x14ac:dyDescent="0.15">
      <c r="A2898" s="1">
        <v>40071</v>
      </c>
      <c r="B2898" t="s">
        <v>4209</v>
      </c>
      <c r="C2898" s="2" t="str">
        <f>HYPERLINK("http://snap.windin.com/ns/bulletin.php?id=537118&amp;type=1", "新宁物流：江苏新宁现代物流股份有限公司创业板首发招股说明书（申报稿）")</f>
        <v>新宁物流：江苏新宁现代物流股份有限公司创业板首发招股说明书（申报稿）</v>
      </c>
      <c r="D2898" t="s">
        <v>9263</v>
      </c>
      <c r="E2898" t="s">
        <v>6220</v>
      </c>
      <c r="F2898" t="s">
        <v>6472</v>
      </c>
    </row>
    <row r="2899" spans="1:6" x14ac:dyDescent="0.15">
      <c r="A2899" s="1">
        <v>40071</v>
      </c>
      <c r="B2899" t="s">
        <v>4219</v>
      </c>
      <c r="C2899" s="2" t="str">
        <f>HYPERLINK("http://snap.windin.com/ns/bulletin.php?id=1027336&amp;type=1", "安科生物：安徽安科生物工程（集团）股份有限公司创业板首发招股说明书（申报稿）")</f>
        <v>安科生物：安徽安科生物工程（集团）股份有限公司创业板首发招股说明书（申报稿）</v>
      </c>
      <c r="D2899" t="s">
        <v>9264</v>
      </c>
      <c r="E2899" t="s">
        <v>6230</v>
      </c>
      <c r="F2899" t="s">
        <v>6473</v>
      </c>
    </row>
    <row r="2900" spans="1:6" x14ac:dyDescent="0.15">
      <c r="A2900" s="1">
        <v>40071</v>
      </c>
      <c r="B2900" t="s">
        <v>4205</v>
      </c>
      <c r="C2900" s="2" t="str">
        <f>HYPERLINK("http://snap.windin.com/ns/bulletin.php?id=686606&amp;type=1", "鼎汉技术：北京鼎汉技术股份有限公司创业板首发招股说明书（申报稿）")</f>
        <v>鼎汉技术：北京鼎汉技术股份有限公司创业板首发招股说明书（申报稿）</v>
      </c>
      <c r="D2900" t="s">
        <v>9265</v>
      </c>
      <c r="E2900" t="s">
        <v>6225</v>
      </c>
      <c r="F2900" t="s">
        <v>6474</v>
      </c>
    </row>
    <row r="2901" spans="1:6" x14ac:dyDescent="0.15">
      <c r="A2901" s="1">
        <v>40070</v>
      </c>
      <c r="B2901" t="s">
        <v>4217</v>
      </c>
      <c r="C2901" s="2" t="str">
        <f>HYPERLINK("http://snap.windin.com/ns/bulletin.php?id=1647513&amp;type=1", "南方风机：南方风机股份有限公司创业板首发招股说明书（申报稿）")</f>
        <v>南方风机：南方风机股份有限公司创业板首发招股说明书（申报稿）</v>
      </c>
      <c r="D2901" t="s">
        <v>9266</v>
      </c>
      <c r="E2901" t="s">
        <v>6475</v>
      </c>
      <c r="F2901" t="s">
        <v>6476</v>
      </c>
    </row>
    <row r="2902" spans="1:6" x14ac:dyDescent="0.15">
      <c r="A2902" s="1">
        <v>40070</v>
      </c>
      <c r="B2902" t="s">
        <v>4229</v>
      </c>
      <c r="C2902" s="2" t="str">
        <f>HYPERLINK("http://snap.windin.com/ns/bulletin.php?id=93023&amp;type=1", "精艺股份:首次公开发行股票招股说明书")</f>
        <v>精艺股份:首次公开发行股票招股说明书</v>
      </c>
      <c r="D2902" t="s">
        <v>9267</v>
      </c>
      <c r="E2902" t="s">
        <v>6240</v>
      </c>
    </row>
    <row r="2903" spans="1:6" x14ac:dyDescent="0.15">
      <c r="A2903" s="1">
        <v>40070</v>
      </c>
      <c r="B2903" t="s">
        <v>4230</v>
      </c>
      <c r="C2903" s="2" t="str">
        <f>HYPERLINK("http://snap.windin.com/ns/bulletin.php?id=1363250&amp;type=1", "辉煌科技:首次公开发行股票招股说明书")</f>
        <v>辉煌科技:首次公开发行股票招股说明书</v>
      </c>
      <c r="D2903" t="s">
        <v>9268</v>
      </c>
      <c r="E2903" t="s">
        <v>6241</v>
      </c>
    </row>
    <row r="2904" spans="1:6" x14ac:dyDescent="0.15">
      <c r="A2904" s="1">
        <v>40070</v>
      </c>
      <c r="B2904" t="s">
        <v>4223</v>
      </c>
      <c r="C2904" s="2" t="str">
        <f>HYPERLINK("http://snap.windin.com/ns/bulletin.php?id=474077&amp;type=1", "佳豪船舶：上海佳豪船舶工程设计股份有限公司创业板首发招股说明书(申报稿)")</f>
        <v>佳豪船舶：上海佳豪船舶工程设计股份有限公司创业板首发招股说明书(申报稿)</v>
      </c>
      <c r="D2904" t="s">
        <v>9269</v>
      </c>
      <c r="E2904" t="s">
        <v>6477</v>
      </c>
      <c r="F2904" t="s">
        <v>6478</v>
      </c>
    </row>
    <row r="2905" spans="1:6" x14ac:dyDescent="0.15">
      <c r="A2905" s="1">
        <v>40070</v>
      </c>
      <c r="B2905" t="s">
        <v>4221</v>
      </c>
      <c r="C2905" s="2" t="str">
        <f>HYPERLINK("http://snap.windin.com/ns/bulletin.php?id=1799800&amp;type=1", "特锐德电气：青岛特锐德电气股份有限公司创业板首发招股说明书(申报稿)")</f>
        <v>特锐德电气：青岛特锐德电气股份有限公司创业板首发招股说明书(申报稿)</v>
      </c>
      <c r="D2905" t="s">
        <v>9270</v>
      </c>
      <c r="E2905" t="s">
        <v>6479</v>
      </c>
      <c r="F2905" t="s">
        <v>6480</v>
      </c>
    </row>
    <row r="2906" spans="1:6" x14ac:dyDescent="0.15">
      <c r="A2906" s="1">
        <v>40070</v>
      </c>
      <c r="B2906" t="s">
        <v>4231</v>
      </c>
      <c r="C2906" s="2" t="str">
        <f>HYPERLINK("http://snap.windin.com/ns/bulletin.php?id=1848390&amp;type=1", "神州泰岳：北京神州泰岳软件股份有限公司创业板首发招股说明书(申报稿)")</f>
        <v>神州泰岳：北京神州泰岳软件股份有限公司创业板首发招股说明书(申报稿)</v>
      </c>
      <c r="D2906" t="s">
        <v>9271</v>
      </c>
      <c r="E2906" t="s">
        <v>6481</v>
      </c>
      <c r="F2906" t="s">
        <v>6482</v>
      </c>
    </row>
    <row r="2907" spans="1:6" x14ac:dyDescent="0.15">
      <c r="A2907" s="1">
        <v>40070</v>
      </c>
      <c r="B2907" t="s">
        <v>4222</v>
      </c>
      <c r="C2907" s="2" t="str">
        <f>HYPERLINK("http://snap.windin.com/ns/bulletin.php?id=1581935&amp;type=1", "立思辰：北京立思辰科技股份有限公司创业板首发招股说明书(申报稿)")</f>
        <v>立思辰：北京立思辰科技股份有限公司创业板首发招股说明书(申报稿)</v>
      </c>
      <c r="D2907" t="s">
        <v>9272</v>
      </c>
      <c r="E2907" t="s">
        <v>6234</v>
      </c>
      <c r="F2907" t="s">
        <v>6483</v>
      </c>
    </row>
    <row r="2908" spans="1:6" x14ac:dyDescent="0.15">
      <c r="A2908" s="1">
        <v>40070</v>
      </c>
      <c r="B2908" t="s">
        <v>4224</v>
      </c>
      <c r="C2908" s="2" t="str">
        <f>HYPERLINK("http://snap.windin.com/ns/bulletin.php?id=916052&amp;type=1", "乐普医疗：乐普（北京）医疗器械股份有限公司创业板首发招股说明书(申报稿)")</f>
        <v>乐普医疗：乐普（北京）医疗器械股份有限公司创业板首发招股说明书(申报稿)</v>
      </c>
      <c r="D2908" t="s">
        <v>9273</v>
      </c>
      <c r="E2908" t="s">
        <v>6236</v>
      </c>
      <c r="F2908" t="s">
        <v>6484</v>
      </c>
    </row>
    <row r="2909" spans="1:6" x14ac:dyDescent="0.15">
      <c r="A2909" s="1">
        <v>40070</v>
      </c>
      <c r="B2909" t="s">
        <v>4225</v>
      </c>
      <c r="C2909" s="2" t="str">
        <f>HYPERLINK("http://snap.windin.com/ns/bulletin.php?id=886126&amp;type=1", "莱美药业：重庆莱美药业股份有限公司创业板首发招股说明书(申报稿)")</f>
        <v>莱美药业：重庆莱美药业股份有限公司创业板首发招股说明书(申报稿)</v>
      </c>
      <c r="D2909" t="s">
        <v>9274</v>
      </c>
      <c r="E2909" t="s">
        <v>6237</v>
      </c>
      <c r="F2909" t="s">
        <v>6485</v>
      </c>
    </row>
    <row r="2910" spans="1:6" x14ac:dyDescent="0.15">
      <c r="A2910" s="1">
        <v>40068</v>
      </c>
      <c r="B2910" t="s">
        <v>4153</v>
      </c>
      <c r="C2910" s="2" t="str">
        <f>HYPERLINK("http://snap.windin.com/ns/bulletin.php?id=2108315&amp;type=1", "皖通科技：安徽皖通科技股份有限公司首发招股说明书（申报稿）")</f>
        <v>皖通科技：安徽皖通科技股份有限公司首发招股说明书（申报稿）</v>
      </c>
      <c r="D2910" t="s">
        <v>9275</v>
      </c>
      <c r="E2910" t="s">
        <v>6283</v>
      </c>
      <c r="F2910" t="s">
        <v>6486</v>
      </c>
    </row>
    <row r="2911" spans="1:6" x14ac:dyDescent="0.15">
      <c r="A2911" s="1">
        <v>40068</v>
      </c>
      <c r="B2911" t="s">
        <v>4167</v>
      </c>
      <c r="C2911" s="2" t="str">
        <f>HYPERLINK("http://snap.windin.com/ns/bulletin.php?id=825717&amp;type=1", "洪涛装饰：深圳市洪涛装饰股份有限公司首发招股说明书（申报稿）")</f>
        <v>洪涛装饰：深圳市洪涛装饰股份有限公司首发招股说明书（申报稿）</v>
      </c>
      <c r="D2911" t="s">
        <v>9276</v>
      </c>
      <c r="E2911" t="s">
        <v>6487</v>
      </c>
      <c r="F2911" t="s">
        <v>6488</v>
      </c>
    </row>
    <row r="2912" spans="1:6" x14ac:dyDescent="0.15">
      <c r="A2912" s="1">
        <v>40067</v>
      </c>
      <c r="B2912" t="s">
        <v>3901</v>
      </c>
      <c r="C2912" s="2" t="str">
        <f>HYPERLINK("http://snap.windin.com/ns/bulletin.php?id=1427883&amp;type=1", "榕基软件：福建榕基软件股份有限公司首发招股说明书（申报稿）")</f>
        <v>榕基软件：福建榕基软件股份有限公司首发招股说明书（申报稿）</v>
      </c>
      <c r="D2912" t="s">
        <v>9277</v>
      </c>
      <c r="E2912" t="s">
        <v>5925</v>
      </c>
      <c r="F2912" t="s">
        <v>6489</v>
      </c>
    </row>
    <row r="2913" spans="1:6" x14ac:dyDescent="0.15">
      <c r="A2913" s="1">
        <v>40067</v>
      </c>
      <c r="B2913" t="s">
        <v>4173</v>
      </c>
      <c r="C2913" s="2" t="str">
        <f>HYPERLINK("http://snap.windin.com/ns/bulletin.php?id=1117635&amp;type=1", "华英农业：河南华英农业发展股份有限公司首发招股说明书（申报稿）")</f>
        <v>华英农业：河南华英农业发展股份有限公司首发招股说明书（申报稿）</v>
      </c>
      <c r="D2913" t="s">
        <v>9278</v>
      </c>
      <c r="E2913" t="s">
        <v>6348</v>
      </c>
      <c r="F2913" t="s">
        <v>6490</v>
      </c>
    </row>
    <row r="2914" spans="1:6" x14ac:dyDescent="0.15">
      <c r="A2914" s="1">
        <v>40061</v>
      </c>
      <c r="B2914" t="s">
        <v>4175</v>
      </c>
      <c r="C2914" s="2" t="str">
        <f>HYPERLINK("http://snap.windin.com/ns/bulletin.php?id=2110745&amp;type=1", "乐通化工：珠海市乐通化工股份有限公司首发招股说明书（申报稿）")</f>
        <v>乐通化工：珠海市乐通化工股份有限公司首发招股说明书（申报稿）</v>
      </c>
      <c r="D2914" t="s">
        <v>9279</v>
      </c>
      <c r="E2914" t="s">
        <v>6491</v>
      </c>
      <c r="F2914" t="s">
        <v>6492</v>
      </c>
    </row>
    <row r="2915" spans="1:6" x14ac:dyDescent="0.15">
      <c r="A2915" s="1">
        <v>40061</v>
      </c>
      <c r="B2915" t="s">
        <v>4176</v>
      </c>
      <c r="C2915" s="2" t="str">
        <f>HYPERLINK("http://snap.windin.com/ns/bulletin.php?id=124234&amp;type=1", "众生药业：广东众生药业股份有限公司首发招股说明书（申报稿）")</f>
        <v>众生药业：广东众生药业股份有限公司首发招股说明书（申报稿）</v>
      </c>
      <c r="D2915" t="s">
        <v>9280</v>
      </c>
      <c r="E2915" t="s">
        <v>6357</v>
      </c>
      <c r="F2915" t="s">
        <v>6493</v>
      </c>
    </row>
    <row r="2916" spans="1:6" x14ac:dyDescent="0.15">
      <c r="A2916" s="1">
        <v>40060</v>
      </c>
      <c r="B2916" t="s">
        <v>4157</v>
      </c>
      <c r="C2916" s="2" t="str">
        <f>HYPERLINK("http://snap.windin.com/ns/bulletin.php?id=685464&amp;type=1", "富安娜家：首发招股说明书（申报稿）")</f>
        <v>富安娜家：首发招股说明书（申报稿）</v>
      </c>
      <c r="D2916" t="s">
        <v>9281</v>
      </c>
      <c r="E2916" t="s">
        <v>6494</v>
      </c>
      <c r="F2916" t="s">
        <v>5513</v>
      </c>
    </row>
    <row r="2917" spans="1:6" x14ac:dyDescent="0.15">
      <c r="A2917" s="1">
        <v>40060</v>
      </c>
      <c r="B2917" t="s">
        <v>4177</v>
      </c>
      <c r="C2917" s="2" t="str">
        <f>HYPERLINK("http://snap.windin.com/ns/bulletin.php?id=960940&amp;type=1", "久立科技：首发招股说明书（申报稿）")</f>
        <v>久立科技：首发招股说明书（申报稿）</v>
      </c>
      <c r="D2917" t="s">
        <v>9282</v>
      </c>
      <c r="E2917" t="s">
        <v>6495</v>
      </c>
      <c r="F2917" t="s">
        <v>5513</v>
      </c>
    </row>
    <row r="2918" spans="1:6" x14ac:dyDescent="0.15">
      <c r="A2918" s="1">
        <v>40057</v>
      </c>
      <c r="B2918" t="s">
        <v>4232</v>
      </c>
      <c r="C2918" s="2" t="str">
        <f>HYPERLINK("http://snap.windin.com/ns/bulletin.php?id=1198454&amp;type=1", "信立泰:首次公开发行股票招股说明书")</f>
        <v>信立泰:首次公开发行股票招股说明书</v>
      </c>
      <c r="D2918" t="s">
        <v>9283</v>
      </c>
      <c r="E2918" t="s">
        <v>6242</v>
      </c>
    </row>
    <row r="2919" spans="1:6" x14ac:dyDescent="0.15">
      <c r="A2919" s="1">
        <v>40057</v>
      </c>
      <c r="B2919" t="s">
        <v>4233</v>
      </c>
      <c r="C2919" s="2" t="str">
        <f>HYPERLINK("http://snap.windin.com/ns/bulletin.php?id=1263221&amp;type=1", "罗莱家纺：罗莱家纺首次公开发行股票招股说明书")</f>
        <v>罗莱家纺：罗莱家纺首次公开发行股票招股说明书</v>
      </c>
      <c r="D2919" t="s">
        <v>9284</v>
      </c>
      <c r="E2919" t="s">
        <v>6496</v>
      </c>
      <c r="F2919" t="s">
        <v>6497</v>
      </c>
    </row>
    <row r="2920" spans="1:6" x14ac:dyDescent="0.15">
      <c r="A2920" s="1">
        <v>40057</v>
      </c>
      <c r="B2920" t="s">
        <v>4135</v>
      </c>
      <c r="C2920" s="2" t="str">
        <f>HYPERLINK("http://snap.windin.com/ns/bulletin.php?id=574571&amp;type=1", "中国化学：中国化学工程股份有限公司首发招股说明书（申报稿）")</f>
        <v>中国化学：中国化学工程股份有限公司首发招股说明书（申报稿）</v>
      </c>
      <c r="D2920" t="s">
        <v>9285</v>
      </c>
      <c r="E2920" t="s">
        <v>6192</v>
      </c>
      <c r="F2920" t="s">
        <v>6498</v>
      </c>
    </row>
    <row r="2921" spans="1:6" x14ac:dyDescent="0.15">
      <c r="A2921" s="1">
        <v>40054</v>
      </c>
      <c r="B2921" t="s">
        <v>4110</v>
      </c>
      <c r="C2921" s="2" t="str">
        <f>HYPERLINK("http://snap.windin.com/ns/bulletin.php?id=169328&amp;type=1", "浩宁达：深圳浩宁达仪表股份有限公司首发招股说明书（申报稿）")</f>
        <v>浩宁达：深圳浩宁达仪表股份有限公司首发招股说明书（申报稿）</v>
      </c>
      <c r="D2921" t="s">
        <v>9286</v>
      </c>
      <c r="E2921" t="s">
        <v>6161</v>
      </c>
      <c r="F2921" t="s">
        <v>6499</v>
      </c>
    </row>
    <row r="2922" spans="1:6" x14ac:dyDescent="0.15">
      <c r="A2922" s="1">
        <v>40054</v>
      </c>
      <c r="B2922" t="s">
        <v>4179</v>
      </c>
      <c r="C2922" s="2" t="str">
        <f>HYPERLINK("http://snap.windin.com/ns/bulletin.php?id=1139469&amp;type=1", "键桥通讯：首发招股说明书（申报稿）")</f>
        <v>键桥通讯：首发招股说明书（申报稿）</v>
      </c>
      <c r="D2922" t="s">
        <v>9287</v>
      </c>
      <c r="E2922" t="s">
        <v>6366</v>
      </c>
      <c r="F2922" t="s">
        <v>5513</v>
      </c>
    </row>
    <row r="2923" spans="1:6" x14ac:dyDescent="0.15">
      <c r="A2923" s="1">
        <v>40053</v>
      </c>
      <c r="B2923" t="s">
        <v>4234</v>
      </c>
      <c r="C2923" s="2" t="str">
        <f>HYPERLINK("http://snap.windin.com/ns/bulletin.php?id=409617&amp;type=1", "奥飞动漫:首次公开发行股票招股说明书")</f>
        <v>奥飞动漫:首次公开发行股票招股说明书</v>
      </c>
      <c r="D2923" t="s">
        <v>9288</v>
      </c>
      <c r="E2923" t="s">
        <v>6243</v>
      </c>
    </row>
    <row r="2924" spans="1:6" x14ac:dyDescent="0.15">
      <c r="A2924" s="1">
        <v>40053</v>
      </c>
      <c r="B2924" t="s">
        <v>4180</v>
      </c>
      <c r="C2924" s="2" t="str">
        <f>HYPERLINK("http://snap.windin.com/ns/bulletin.php?id=783794&amp;type=1", "雅致集成：雅致集成房屋股份有限公司首发招股说明书（申报稿）")</f>
        <v>雅致集成：雅致集成房屋股份有限公司首发招股说明书（申报稿）</v>
      </c>
      <c r="D2924" t="s">
        <v>9289</v>
      </c>
      <c r="E2924" t="s">
        <v>6500</v>
      </c>
      <c r="F2924" t="s">
        <v>6501</v>
      </c>
    </row>
    <row r="2925" spans="1:6" x14ac:dyDescent="0.15">
      <c r="A2925" s="1">
        <v>40050</v>
      </c>
      <c r="B2925" t="s">
        <v>4235</v>
      </c>
      <c r="C2925" s="2" t="str">
        <f>HYPERLINK("http://snap.windin.com/ns/bulletin.php?id=2066417&amp;type=1", "禾盛新材:首次公开发行股票招股说明书")</f>
        <v>禾盛新材:首次公开发行股票招股说明书</v>
      </c>
      <c r="D2925" t="s">
        <v>9290</v>
      </c>
      <c r="E2925" t="s">
        <v>6244</v>
      </c>
    </row>
    <row r="2926" spans="1:6" x14ac:dyDescent="0.15">
      <c r="A2926" s="1">
        <v>40050</v>
      </c>
      <c r="B2926" t="s">
        <v>4236</v>
      </c>
      <c r="C2926" s="2" t="str">
        <f>HYPERLINK("http://snap.windin.com/ns/bulletin.php?id=783805&amp;type=1", "星期六:首次公开发行股票招股说明书")</f>
        <v>星期六:首次公开发行股票招股说明书</v>
      </c>
      <c r="D2926" t="s">
        <v>9291</v>
      </c>
      <c r="E2926" t="s">
        <v>6245</v>
      </c>
    </row>
    <row r="2927" spans="1:6" x14ac:dyDescent="0.15">
      <c r="A2927" s="1">
        <v>40047</v>
      </c>
      <c r="B2927" t="s">
        <v>4182</v>
      </c>
      <c r="C2927" s="2" t="str">
        <f>HYPERLINK("http://snap.windin.com/ns/bulletin.php?id=1631234&amp;type=1", "日海通讯：首发招股说明书(申报稿)")</f>
        <v>日海通讯：首发招股说明书(申报稿)</v>
      </c>
      <c r="D2927" t="s">
        <v>9292</v>
      </c>
      <c r="E2927" t="s">
        <v>6372</v>
      </c>
      <c r="F2927" t="s">
        <v>5523</v>
      </c>
    </row>
    <row r="2928" spans="1:6" x14ac:dyDescent="0.15">
      <c r="A2928" s="1">
        <v>40047</v>
      </c>
      <c r="B2928" t="s">
        <v>4226</v>
      </c>
      <c r="C2928" s="2" t="str">
        <f>HYPERLINK("http://snap.windin.com/ns/bulletin.php?id=1485620&amp;type=1", "中国中冶：中国化学工程股份有限公司首发招股说明书（申报稿）")</f>
        <v>中国中冶：中国化学工程股份有限公司首发招股说明书（申报稿）</v>
      </c>
      <c r="D2928" t="s">
        <v>9293</v>
      </c>
      <c r="E2928" t="s">
        <v>6502</v>
      </c>
      <c r="F2928" t="s">
        <v>6498</v>
      </c>
    </row>
    <row r="2929" spans="1:6" x14ac:dyDescent="0.15">
      <c r="A2929" s="1">
        <v>40046</v>
      </c>
      <c r="B2929" t="s">
        <v>3815</v>
      </c>
      <c r="C2929" s="2" t="str">
        <f>HYPERLINK("http://snap.windin.com/ns/bulletin.php?id=1699922&amp;type=1", "株洲天桥：株洲天桥起重机股份有限公司首发招股说明书（申报稿）")</f>
        <v>株洲天桥：株洲天桥起重机股份有限公司首发招股说明书（申报稿）</v>
      </c>
      <c r="D2929" t="s">
        <v>9294</v>
      </c>
      <c r="E2929" t="s">
        <v>6503</v>
      </c>
      <c r="F2929" t="s">
        <v>6504</v>
      </c>
    </row>
    <row r="2930" spans="1:6" x14ac:dyDescent="0.15">
      <c r="A2930" s="1">
        <v>40046</v>
      </c>
      <c r="B2930" t="s">
        <v>4181</v>
      </c>
      <c r="C2930" s="2" t="str">
        <f>HYPERLINK("http://snap.windin.com/ns/bulletin.php?id=2002475&amp;type=1", "三泰电子：成都三泰电子实业股份有限公司首发招股说明书申报稿")</f>
        <v>三泰电子：成都三泰电子实业股份有限公司首发招股说明书申报稿</v>
      </c>
      <c r="D2930" t="s">
        <v>9295</v>
      </c>
      <c r="E2930" t="s">
        <v>6371</v>
      </c>
      <c r="F2930" t="s">
        <v>6505</v>
      </c>
    </row>
    <row r="2931" spans="1:6" x14ac:dyDescent="0.15">
      <c r="A2931" s="1">
        <v>40046</v>
      </c>
      <c r="B2931" t="s">
        <v>4237</v>
      </c>
      <c r="C2931" s="2" t="str">
        <f>HYPERLINK("http://snap.windin.com/ns/bulletin.php?id=451946&amp;type=1", "宇顺电子:首次公开发行股票招股说明书")</f>
        <v>宇顺电子:首次公开发行股票招股说明书</v>
      </c>
      <c r="D2931" t="s">
        <v>9296</v>
      </c>
      <c r="E2931" t="s">
        <v>6246</v>
      </c>
    </row>
    <row r="2932" spans="1:6" x14ac:dyDescent="0.15">
      <c r="A2932" s="1">
        <v>40046</v>
      </c>
      <c r="B2932" t="s">
        <v>4238</v>
      </c>
      <c r="C2932" s="2" t="str">
        <f>HYPERLINK("http://snap.windin.com/ns/bulletin.php?id=802637&amp;type=1", "超华科技:首次公开发行股票招股说明书")</f>
        <v>超华科技:首次公开发行股票招股说明书</v>
      </c>
      <c r="D2932" t="s">
        <v>9297</v>
      </c>
      <c r="E2932" t="s">
        <v>6247</v>
      </c>
    </row>
    <row r="2933" spans="1:6" x14ac:dyDescent="0.15">
      <c r="A2933" s="1">
        <v>40043</v>
      </c>
      <c r="B2933" t="s">
        <v>4239</v>
      </c>
      <c r="C2933" s="2" t="str">
        <f>HYPERLINK("http://snap.windin.com/ns/bulletin.php?id=1776900&amp;type=1", "保龄宝:首次公开发行股票招股说明书")</f>
        <v>保龄宝:首次公开发行股票招股说明书</v>
      </c>
      <c r="D2933" t="s">
        <v>9298</v>
      </c>
      <c r="E2933" t="s">
        <v>6248</v>
      </c>
    </row>
    <row r="2934" spans="1:6" x14ac:dyDescent="0.15">
      <c r="A2934" s="1">
        <v>40043</v>
      </c>
      <c r="B2934" t="s">
        <v>4184</v>
      </c>
      <c r="C2934" s="2" t="str">
        <f>HYPERLINK("http://snap.windin.com/ns/bulletin.php?id=182884&amp;type=1", "海大集团：广东海大集团股份有限公司首发招股说明书（申报稿）")</f>
        <v>海大集团：广东海大集团股份有限公司首发招股说明书（申报稿）</v>
      </c>
      <c r="D2934" t="s">
        <v>9299</v>
      </c>
      <c r="E2934" t="s">
        <v>6386</v>
      </c>
      <c r="F2934" t="s">
        <v>6506</v>
      </c>
    </row>
    <row r="2935" spans="1:6" x14ac:dyDescent="0.15">
      <c r="A2935" s="1">
        <v>40043</v>
      </c>
      <c r="B2935" t="s">
        <v>4240</v>
      </c>
      <c r="C2935" s="2" t="str">
        <f>HYPERLINK("http://snap.windin.com/ns/bulletin.php?id=1431664&amp;type=1", "奇正藏药:首次公开发行股票招股说明书")</f>
        <v>奇正藏药:首次公开发行股票招股说明书</v>
      </c>
      <c r="D2935" t="s">
        <v>9300</v>
      </c>
      <c r="E2935" t="s">
        <v>6249</v>
      </c>
    </row>
    <row r="2936" spans="1:6" x14ac:dyDescent="0.15">
      <c r="A2936" s="1">
        <v>40043</v>
      </c>
      <c r="B2936" t="s">
        <v>5</v>
      </c>
      <c r="C2936" s="2" t="str">
        <f>HYPERLINK("http://snap.windin.com/ns/bulletin.php?id=1598648&amp;type=1", "中国北车：中国北车股份有限公司首发招股说明书（申报稿）")</f>
        <v>中国北车：中国北车股份有限公司首发招股说明书（申报稿）</v>
      </c>
      <c r="D2936" t="s">
        <v>9301</v>
      </c>
      <c r="E2936" t="s">
        <v>384</v>
      </c>
      <c r="F2936" t="s">
        <v>6507</v>
      </c>
    </row>
    <row r="2937" spans="1:6" x14ac:dyDescent="0.15">
      <c r="A2937" s="1">
        <v>40042</v>
      </c>
      <c r="B2937" t="s">
        <v>4241</v>
      </c>
      <c r="C2937" s="2" t="str">
        <f>HYPERLINK("http://snap.windin.com/ns/bulletin.php?id=1912605&amp;type=1", "601788:光大证券首次公开发行股票招股说明书")</f>
        <v>601788:光大证券首次公开发行股票招股说明书</v>
      </c>
      <c r="D2937" t="s">
        <v>9302</v>
      </c>
      <c r="E2937">
        <v>601788</v>
      </c>
    </row>
    <row r="2938" spans="1:6" x14ac:dyDescent="0.15">
      <c r="A2938" s="1">
        <v>40039</v>
      </c>
      <c r="B2938" t="s">
        <v>4146</v>
      </c>
      <c r="C2938" s="2" t="str">
        <f>HYPERLINK("http://snap.windin.com/ns/bulletin.php?id=146072&amp;type=1", "燃气集团：深圳市燃气集团股份有限公司首发招股说明书（申报稿）")</f>
        <v>燃气集团：深圳市燃气集团股份有限公司首发招股说明书（申报稿）</v>
      </c>
      <c r="D2938" t="s">
        <v>9303</v>
      </c>
      <c r="E2938" t="s">
        <v>6508</v>
      </c>
      <c r="F2938" t="s">
        <v>6509</v>
      </c>
    </row>
    <row r="2939" spans="1:6" x14ac:dyDescent="0.15">
      <c r="A2939" s="1">
        <v>40039</v>
      </c>
      <c r="B2939" t="s">
        <v>4242</v>
      </c>
      <c r="C2939" s="2" t="str">
        <f>HYPERLINK("http://snap.windin.com/ns/bulletin.php?id=2054308&amp;type=1", "亚太股份:首次公开发行股票招股说明书")</f>
        <v>亚太股份:首次公开发行股票招股说明书</v>
      </c>
      <c r="D2939" t="s">
        <v>9304</v>
      </c>
      <c r="E2939" t="s">
        <v>6250</v>
      </c>
    </row>
    <row r="2940" spans="1:6" x14ac:dyDescent="0.15">
      <c r="A2940" s="1">
        <v>40039</v>
      </c>
      <c r="B2940" t="s">
        <v>4187</v>
      </c>
      <c r="C2940" s="2" t="str">
        <f>HYPERLINK("http://snap.windin.com/ns/bulletin.php?id=1925262&amp;type=1", "中利科技：中利科技集团股份有限公司首发招股说明书（申报稿）")</f>
        <v>中利科技：中利科技集团股份有限公司首发招股说明书（申报稿）</v>
      </c>
      <c r="D2940" t="s">
        <v>9305</v>
      </c>
      <c r="E2940" t="s">
        <v>6396</v>
      </c>
      <c r="F2940" t="s">
        <v>6510</v>
      </c>
    </row>
    <row r="2941" spans="1:6" x14ac:dyDescent="0.15">
      <c r="A2941" s="1">
        <v>40039</v>
      </c>
      <c r="B2941" t="s">
        <v>4243</v>
      </c>
      <c r="C2941" s="2" t="str">
        <f>HYPERLINK("http://snap.windin.com/ns/bulletin.php?id=1548715&amp;type=1", "世联地产:首次公开发行股票招股说明书")</f>
        <v>世联地产:首次公开发行股票招股说明书</v>
      </c>
      <c r="D2941" t="s">
        <v>9306</v>
      </c>
      <c r="E2941" t="s">
        <v>6251</v>
      </c>
    </row>
    <row r="2942" spans="1:6" x14ac:dyDescent="0.15">
      <c r="A2942" s="1">
        <v>40036</v>
      </c>
      <c r="B2942" t="s">
        <v>4183</v>
      </c>
      <c r="C2942" s="2" t="str">
        <f>HYPERLINK("http://snap.windin.com/ns/bulletin.php?id=112884&amp;type=1", "东方园林：北京东方园林股份有限公司首发招股说明书（申报稿）")</f>
        <v>东方园林：北京东方园林股份有限公司首发招股说明书（申报稿）</v>
      </c>
      <c r="D2942" t="s">
        <v>9307</v>
      </c>
      <c r="E2942" t="s">
        <v>6382</v>
      </c>
      <c r="F2942" t="s">
        <v>6511</v>
      </c>
    </row>
    <row r="2943" spans="1:6" x14ac:dyDescent="0.15">
      <c r="A2943" s="1">
        <v>40036</v>
      </c>
      <c r="B2943" t="s">
        <v>4244</v>
      </c>
      <c r="C2943" s="2" t="str">
        <f>HYPERLINK("http://snap.windin.com/ns/bulletin.php?id=1472637&amp;type=1", "天润曲轴:首次公开发行股票招股说明书")</f>
        <v>天润曲轴:首次公开发行股票招股说明书</v>
      </c>
      <c r="D2943" t="s">
        <v>9308</v>
      </c>
      <c r="E2943" t="s">
        <v>6252</v>
      </c>
    </row>
    <row r="2944" spans="1:6" x14ac:dyDescent="0.15">
      <c r="A2944" s="1">
        <v>40036</v>
      </c>
      <c r="B2944" t="s">
        <v>4245</v>
      </c>
      <c r="C2944" s="2" t="str">
        <f>HYPERLINK("http://snap.windin.com/ns/bulletin.php?id=814145&amp;type=1", "博深工具:首次公开发行股票招股说明书")</f>
        <v>博深工具:首次公开发行股票招股说明书</v>
      </c>
      <c r="D2944" t="s">
        <v>9309</v>
      </c>
      <c r="E2944" t="s">
        <v>6253</v>
      </c>
    </row>
    <row r="2945" spans="1:6" x14ac:dyDescent="0.15">
      <c r="A2945" s="1">
        <v>40032</v>
      </c>
      <c r="B2945" t="s">
        <v>4246</v>
      </c>
      <c r="C2945" s="2" t="str">
        <f>HYPERLINK("http://snap.windin.com/ns/bulletin.php?id=1393557&amp;type=1", "光迅科技:首次公开发行股票招股说明书")</f>
        <v>光迅科技:首次公开发行股票招股说明书</v>
      </c>
      <c r="D2945" t="s">
        <v>9310</v>
      </c>
      <c r="E2945" t="s">
        <v>6254</v>
      </c>
    </row>
    <row r="2946" spans="1:6" x14ac:dyDescent="0.15">
      <c r="A2946" s="1">
        <v>40032</v>
      </c>
      <c r="B2946" t="s">
        <v>4247</v>
      </c>
      <c r="C2946" s="2" t="str">
        <f>HYPERLINK("http://snap.windin.com/ns/bulletin.php?id=1815475&amp;type=1", "新世纪:首次公开发行股票招股说明书")</f>
        <v>新世纪:首次公开发行股票招股说明书</v>
      </c>
      <c r="D2946" t="s">
        <v>9311</v>
      </c>
      <c r="E2946" t="s">
        <v>6255</v>
      </c>
    </row>
    <row r="2947" spans="1:6" x14ac:dyDescent="0.15">
      <c r="A2947" s="1">
        <v>40032</v>
      </c>
      <c r="B2947" t="s">
        <v>4186</v>
      </c>
      <c r="C2947" s="2" t="str">
        <f>HYPERLINK("http://snap.windin.com/ns/bulletin.php?id=1560082&amp;type=1", "威创科技：广东威创视讯科技股份有限公司首发招股说明书（申报稿）")</f>
        <v>威创科技：广东威创视讯科技股份有限公司首发招股说明书（申报稿）</v>
      </c>
      <c r="D2947" t="s">
        <v>9312</v>
      </c>
      <c r="E2947" t="s">
        <v>6512</v>
      </c>
      <c r="F2947" t="s">
        <v>6513</v>
      </c>
    </row>
    <row r="2948" spans="1:6" x14ac:dyDescent="0.15">
      <c r="A2948" s="1">
        <v>40029</v>
      </c>
      <c r="B2948" t="s">
        <v>4194</v>
      </c>
      <c r="C2948" s="2" t="str">
        <f>HYPERLINK("http://snap.windin.com/ns/bulletin.php?id=203999&amp;type=1", "美盈森：首次公开发行股票招股说明书（申报稿）")</f>
        <v>美盈森：首次公开发行股票招股说明书（申报稿）</v>
      </c>
      <c r="D2948" t="s">
        <v>9313</v>
      </c>
      <c r="E2948" t="s">
        <v>6207</v>
      </c>
      <c r="F2948" t="s">
        <v>5452</v>
      </c>
    </row>
    <row r="2949" spans="1:6" x14ac:dyDescent="0.15">
      <c r="A2949" s="1">
        <v>40029</v>
      </c>
      <c r="B2949" t="s">
        <v>4192</v>
      </c>
      <c r="C2949" s="2" t="str">
        <f>HYPERLINK("http://snap.windin.com/ns/bulletin.php?id=1235509&amp;type=1", "南国置业：首次公开发行股票招股说明书（申报稿）")</f>
        <v>南国置业：首次公开发行股票招股说明书（申报稿）</v>
      </c>
      <c r="D2949" t="s">
        <v>9314</v>
      </c>
      <c r="E2949" t="s">
        <v>6205</v>
      </c>
      <c r="F2949" t="s">
        <v>5452</v>
      </c>
    </row>
    <row r="2950" spans="1:6" x14ac:dyDescent="0.15">
      <c r="A2950" s="1">
        <v>40029</v>
      </c>
      <c r="B2950" t="s">
        <v>4178</v>
      </c>
      <c r="C2950" s="2" t="str">
        <f>HYPERLINK("http://snap.windin.com/ns/bulletin.php?id=1278508&amp;type=1", "焦点科技：首次公开发行股票招股说明书（申报稿）")</f>
        <v>焦点科技：首次公开发行股票招股说明书（申报稿）</v>
      </c>
      <c r="D2950" t="s">
        <v>9315</v>
      </c>
      <c r="E2950" t="s">
        <v>6365</v>
      </c>
      <c r="F2950" t="s">
        <v>5452</v>
      </c>
    </row>
    <row r="2951" spans="1:6" x14ac:dyDescent="0.15">
      <c r="A2951" s="1">
        <v>40025</v>
      </c>
      <c r="B2951" t="s">
        <v>4119</v>
      </c>
      <c r="C2951" s="2" t="str">
        <f>HYPERLINK("http://snap.windin.com/ns/bulletin.php?id=1414992&amp;type=1", "北京科锐:北京科锐配电自动化股份有限公司首发招股说明书(申报稿)")</f>
        <v>北京科锐:北京科锐配电自动化股份有限公司首发招股说明书(申报稿)</v>
      </c>
      <c r="D2951" t="s">
        <v>9316</v>
      </c>
      <c r="E2951" t="s">
        <v>6174</v>
      </c>
    </row>
    <row r="2952" spans="1:6" x14ac:dyDescent="0.15">
      <c r="A2952" s="1">
        <v>40024</v>
      </c>
      <c r="B2952" t="s">
        <v>4248</v>
      </c>
      <c r="C2952" s="2" t="str">
        <f>HYPERLINK("http://snap.windin.com/ns/bulletin.php?id=1778536&amp;type=1", "久其软件:首次公开发行股票招股说明书")</f>
        <v>久其软件:首次公开发行股票招股说明书</v>
      </c>
      <c r="D2952" t="s">
        <v>9317</v>
      </c>
      <c r="E2952" t="s">
        <v>6256</v>
      </c>
    </row>
    <row r="2953" spans="1:6" x14ac:dyDescent="0.15">
      <c r="A2953" s="1">
        <v>40022</v>
      </c>
      <c r="B2953" t="s">
        <v>4090</v>
      </c>
      <c r="C2953" s="2" t="str">
        <f>HYPERLINK("http://snap.windin.com/ns/bulletin.php?id=1378421&amp;type=1", "永安药业：潜江永安药业股份有限公司首次公开发行股票招股说明书（申报稿）")</f>
        <v>永安药业：潜江永安药业股份有限公司首次公开发行股票招股说明书（申报稿）</v>
      </c>
      <c r="D2953" t="s">
        <v>9318</v>
      </c>
      <c r="E2953" t="s">
        <v>6138</v>
      </c>
      <c r="F2953" t="s">
        <v>6514</v>
      </c>
    </row>
    <row r="2954" spans="1:6" x14ac:dyDescent="0.15">
      <c r="A2954" s="1">
        <v>40022</v>
      </c>
      <c r="B2954" t="s">
        <v>4249</v>
      </c>
      <c r="C2954" s="2" t="str">
        <f>HYPERLINK("http://snap.windin.com/ns/bulletin.php?id=2023433&amp;type=1", "601668:中国建筑首次公开发行股票招股说明书")</f>
        <v>601668:中国建筑首次公开发行股票招股说明书</v>
      </c>
      <c r="D2954" t="s">
        <v>9319</v>
      </c>
      <c r="E2954">
        <v>601668</v>
      </c>
    </row>
    <row r="2955" spans="1:6" x14ac:dyDescent="0.15">
      <c r="A2955" s="1">
        <v>40022</v>
      </c>
      <c r="B2955" t="s">
        <v>4190</v>
      </c>
      <c r="C2955" s="2" t="str">
        <f>HYPERLINK("http://snap.windin.com/ns/bulletin.php?id=1567261&amp;type=1", "北新路桥：首次公开发行股票招股说明书(申报稿)")</f>
        <v>北新路桥：首次公开发行股票招股说明书(申报稿)</v>
      </c>
      <c r="D2955" t="s">
        <v>9320</v>
      </c>
      <c r="E2955" t="s">
        <v>6411</v>
      </c>
      <c r="F2955" t="s">
        <v>5466</v>
      </c>
    </row>
    <row r="2956" spans="1:6" x14ac:dyDescent="0.15">
      <c r="A2956" s="1">
        <v>40022</v>
      </c>
      <c r="B2956" t="s">
        <v>4193</v>
      </c>
      <c r="C2956" s="2" t="str">
        <f>HYPERLINK("http://snap.windin.com/ns/bulletin.php?id=916840&amp;type=1", "西部建设：首次公开发行股票招股说明书(申报稿)")</f>
        <v>西部建设：首次公开发行股票招股说明书(申报稿)</v>
      </c>
      <c r="D2956" t="s">
        <v>9321</v>
      </c>
      <c r="E2956" t="s">
        <v>6206</v>
      </c>
      <c r="F2956" t="s">
        <v>5466</v>
      </c>
    </row>
    <row r="2957" spans="1:6" x14ac:dyDescent="0.15">
      <c r="A2957" s="1">
        <v>40021</v>
      </c>
      <c r="B2957" t="s">
        <v>4250</v>
      </c>
      <c r="C2957" s="2" t="str">
        <f>HYPERLINK("http://snap.windin.com/ns/bulletin.php?id=1629020&amp;type=1", "神开股份:首次公开发行股票招股说明书")</f>
        <v>神开股份:首次公开发行股票招股说明书</v>
      </c>
      <c r="D2957" t="s">
        <v>9322</v>
      </c>
      <c r="E2957" t="s">
        <v>6257</v>
      </c>
    </row>
    <row r="2958" spans="1:6" x14ac:dyDescent="0.15">
      <c r="A2958" s="1">
        <v>40019</v>
      </c>
      <c r="B2958" t="s">
        <v>4189</v>
      </c>
      <c r="C2958" s="2" t="str">
        <f>HYPERLINK("http://snap.windin.com/ns/bulletin.php?id=1027506&amp;type=1", "湘鄂情：首次公开发行股票招股说明书(申报稿)")</f>
        <v>湘鄂情：首次公开发行股票招股说明书(申报稿)</v>
      </c>
      <c r="D2958" t="s">
        <v>9323</v>
      </c>
      <c r="E2958" t="s">
        <v>6410</v>
      </c>
      <c r="F2958" t="s">
        <v>5466</v>
      </c>
    </row>
    <row r="2959" spans="1:6" x14ac:dyDescent="0.15">
      <c r="A2959" s="1">
        <v>40018</v>
      </c>
      <c r="B2959" t="s">
        <v>4191</v>
      </c>
      <c r="C2959" s="2" t="str">
        <f>HYPERLINK("http://snap.windin.com/ns/bulletin.php?id=434070&amp;type=1", "洋河酒厂：洋河酒厂股份有限公司首发招股说明书（申报稿）")</f>
        <v>洋河酒厂：洋河酒厂股份有限公司首发招股说明书（申报稿）</v>
      </c>
      <c r="D2959" t="s">
        <v>9324</v>
      </c>
      <c r="E2959" t="s">
        <v>6515</v>
      </c>
      <c r="F2959" t="s">
        <v>6516</v>
      </c>
    </row>
    <row r="2960" spans="1:6" x14ac:dyDescent="0.15">
      <c r="A2960" s="1">
        <v>40018</v>
      </c>
      <c r="B2960" t="s">
        <v>4164</v>
      </c>
      <c r="C2960" s="2" t="str">
        <f>HYPERLINK("http://snap.windin.com/ns/bulletin.php?id=749059&amp;type=1", "中国重工：首次公开发行A股股票招股说明书(申报稿)")</f>
        <v>中国重工：首次公开发行A股股票招股说明书(申报稿)</v>
      </c>
      <c r="D2960" t="s">
        <v>9325</v>
      </c>
      <c r="E2960" t="s">
        <v>6310</v>
      </c>
      <c r="F2960" t="s">
        <v>5558</v>
      </c>
    </row>
    <row r="2961" spans="1:6" x14ac:dyDescent="0.15">
      <c r="A2961" s="1">
        <v>40018</v>
      </c>
      <c r="B2961" t="s">
        <v>4251</v>
      </c>
      <c r="C2961" s="2" t="str">
        <f>HYPERLINK("http://snap.windin.com/ns/bulletin.php?id=960904&amp;type=1", "601107:四川成渝首次公开发行A股股票招股说明书")</f>
        <v>601107:四川成渝首次公开发行A股股票招股说明书</v>
      </c>
      <c r="D2961" t="s">
        <v>9326</v>
      </c>
      <c r="E2961">
        <v>601107</v>
      </c>
    </row>
    <row r="2962" spans="1:6" x14ac:dyDescent="0.15">
      <c r="A2962" s="1">
        <v>40014</v>
      </c>
      <c r="B2962" t="s">
        <v>4214</v>
      </c>
      <c r="C2962" s="2" t="str">
        <f>HYPERLINK("http://snap.windin.com/ns/bulletin.php?id=198047&amp;type=1", "齐心文具：首发招股说明书(申报稿)")</f>
        <v>齐心文具：首发招股说明书(申报稿)</v>
      </c>
      <c r="D2962" t="s">
        <v>9327</v>
      </c>
      <c r="E2962" t="s">
        <v>6226</v>
      </c>
      <c r="F2962" t="s">
        <v>5523</v>
      </c>
    </row>
    <row r="2963" spans="1:6" x14ac:dyDescent="0.15">
      <c r="A2963" s="1">
        <v>40014</v>
      </c>
      <c r="B2963" t="s">
        <v>256</v>
      </c>
      <c r="C2963" s="2" t="str">
        <f>HYPERLINK("http://snap.windin.com/ns/bulletin.php?id=1980913&amp;type=1", "浙江永强：浙江永强集团股份有限公司首发招股说明书(申报稿)")</f>
        <v>浙江永强：浙江永强集团股份有限公司首发招股说明书(申报稿)</v>
      </c>
      <c r="D2963" t="s">
        <v>9328</v>
      </c>
      <c r="E2963" t="s">
        <v>738</v>
      </c>
      <c r="F2963" t="s">
        <v>6517</v>
      </c>
    </row>
    <row r="2964" spans="1:6" x14ac:dyDescent="0.15">
      <c r="A2964" s="1">
        <v>40012</v>
      </c>
      <c r="B2964" t="s">
        <v>4215</v>
      </c>
      <c r="C2964" s="2" t="str">
        <f>HYPERLINK("http://snap.windin.com/ns/bulletin.php?id=480733&amp;type=1", "圣农发展：首次公开发行股票招股说明书(申报稿)")</f>
        <v>圣农发展：首次公开发行股票招股说明书(申报稿)</v>
      </c>
      <c r="D2964" t="s">
        <v>9329</v>
      </c>
      <c r="E2964" t="s">
        <v>6227</v>
      </c>
      <c r="F2964" t="s">
        <v>5466</v>
      </c>
    </row>
    <row r="2965" spans="1:6" x14ac:dyDescent="0.15">
      <c r="A2965" s="1">
        <v>40011</v>
      </c>
      <c r="B2965" t="s">
        <v>4196</v>
      </c>
      <c r="C2965" s="2" t="str">
        <f>HYPERLINK("http://snap.windin.com/ns/bulletin.php?id=2096042&amp;type=1", "中国国旅：首次公开发行股票招股说明书(申报稿)")</f>
        <v>中国国旅：首次公开发行股票招股说明书(申报稿)</v>
      </c>
      <c r="D2965" t="s">
        <v>9330</v>
      </c>
      <c r="E2965" t="s">
        <v>6518</v>
      </c>
      <c r="F2965" t="s">
        <v>5466</v>
      </c>
    </row>
    <row r="2966" spans="1:6" x14ac:dyDescent="0.15">
      <c r="A2966" s="1">
        <v>40007</v>
      </c>
      <c r="B2966" t="s">
        <v>4228</v>
      </c>
      <c r="C2966" s="2" t="str">
        <f>HYPERLINK("http://snap.windin.com/ns/bulletin.php?id=728576&amp;type=1", "鑫龙电器：首次公开发行股票招股说明书(申报稿)")</f>
        <v>鑫龙电器：首次公开发行股票招股说明书(申报稿)</v>
      </c>
      <c r="D2966" t="s">
        <v>9331</v>
      </c>
      <c r="E2966" t="s">
        <v>6239</v>
      </c>
      <c r="F2966" t="s">
        <v>5466</v>
      </c>
    </row>
    <row r="2967" spans="1:6" x14ac:dyDescent="0.15">
      <c r="A2967" s="1">
        <v>40007</v>
      </c>
      <c r="B2967" t="s">
        <v>3836</v>
      </c>
      <c r="C2967" s="2" t="str">
        <f>HYPERLINK("http://snap.windin.com/ns/bulletin.php?id=691960&amp;type=1", "上海超日：上海超日太阳能科技股份有限公司首发招股说明书（申报稿）")</f>
        <v>上海超日：上海超日太阳能科技股份有限公司首发招股说明书（申报稿）</v>
      </c>
      <c r="D2967" t="s">
        <v>9332</v>
      </c>
      <c r="E2967" t="s">
        <v>6519</v>
      </c>
      <c r="F2967" t="s">
        <v>6520</v>
      </c>
    </row>
    <row r="2968" spans="1:6" x14ac:dyDescent="0.15">
      <c r="A2968" s="1">
        <v>40001</v>
      </c>
      <c r="B2968" t="s">
        <v>4252</v>
      </c>
      <c r="C2968" s="2" t="str">
        <f>HYPERLINK("http://snap.windin.com/ns/bulletin.php?id=1321541&amp;type=1", "家润多:首次公开发行股票招股说明书")</f>
        <v>家润多:首次公开发行股票招股说明书</v>
      </c>
      <c r="D2968" t="s">
        <v>9333</v>
      </c>
      <c r="E2968" t="s">
        <v>6258</v>
      </c>
    </row>
    <row r="2969" spans="1:6" x14ac:dyDescent="0.15">
      <c r="A2969" s="1">
        <v>39995</v>
      </c>
      <c r="B2969" t="s">
        <v>4253</v>
      </c>
      <c r="C2969" s="2" t="str">
        <f>HYPERLINK("http://snap.windin.com/ns/bulletin.php?id=118152&amp;type=1", "万马电缆:首次公开发行A股股票招股说明书")</f>
        <v>万马电缆:首次公开发行A股股票招股说明书</v>
      </c>
      <c r="D2969" t="s">
        <v>9334</v>
      </c>
      <c r="E2969" t="s">
        <v>6259</v>
      </c>
    </row>
    <row r="2970" spans="1:6" x14ac:dyDescent="0.15">
      <c r="A2970" s="1">
        <v>39990</v>
      </c>
      <c r="B2970" t="s">
        <v>4254</v>
      </c>
      <c r="C2970" s="2" t="str">
        <f>HYPERLINK("http://snap.windin.com/ns/bulletin.php?id=1746097&amp;type=1", "桂林三金:首次公开发行股票招股说明书")</f>
        <v>桂林三金:首次公开发行股票招股说明书</v>
      </c>
      <c r="D2970" t="s">
        <v>9335</v>
      </c>
      <c r="E2970" t="s">
        <v>6260</v>
      </c>
    </row>
    <row r="2971" spans="1:6" x14ac:dyDescent="0.15">
      <c r="A2971" s="1">
        <v>39785</v>
      </c>
      <c r="B2971" t="s">
        <v>4255</v>
      </c>
      <c r="C2971" s="2" t="str">
        <f>HYPERLINK("http://snap.windin.com/ns/bulletin.php?id=407976&amp;type=1", "上海电气：上海电气首次公开发行A股招股说明书暨换股吸收合并上海输配电股份有限公司报告书")</f>
        <v>上海电气：上海电气首次公开发行A股招股说明书暨换股吸收合并上海输配电股份有限公司报告书</v>
      </c>
      <c r="D2971" t="s">
        <v>9336</v>
      </c>
      <c r="E2971" t="s">
        <v>6521</v>
      </c>
      <c r="F2971" t="s">
        <v>6522</v>
      </c>
    </row>
    <row r="2972" spans="1:6" x14ac:dyDescent="0.15">
      <c r="A2972" s="1">
        <v>39763</v>
      </c>
      <c r="B2972" t="s">
        <v>4255</v>
      </c>
      <c r="C2972" s="2" t="str">
        <f>HYPERLINK("http://snap.windin.com/ns/bulletin.php?id=1961686&amp;type=1", "上海电气：上海电气首次公开发行A股招股说明书暨换股吸收合并上海输配电股份有限公司报告书附录")</f>
        <v>上海电气：上海电气首次公开发行A股招股说明书暨换股吸收合并上海输配电股份有限公司报告书附录</v>
      </c>
      <c r="D2972" t="s">
        <v>9337</v>
      </c>
      <c r="E2972" t="s">
        <v>6521</v>
      </c>
      <c r="F2972" t="s">
        <v>6523</v>
      </c>
    </row>
    <row r="2973" spans="1:6" x14ac:dyDescent="0.15">
      <c r="A2973" s="1">
        <v>39763</v>
      </c>
      <c r="B2973" t="s">
        <v>4255</v>
      </c>
      <c r="C2973" s="2" t="str">
        <f>HYPERLINK("http://snap.windin.com/ns/bulletin.php?id=1056867&amp;type=1", "上海电气：上海电气首次公开发行A股招股说明书暨换股吸收合并上海输配电股份有限公司报告书")</f>
        <v>上海电气：上海电气首次公开发行A股招股说明书暨换股吸收合并上海输配电股份有限公司报告书</v>
      </c>
      <c r="D2973" t="s">
        <v>9338</v>
      </c>
      <c r="E2973" t="s">
        <v>6521</v>
      </c>
      <c r="F2973" t="s">
        <v>6522</v>
      </c>
    </row>
    <row r="2974" spans="1:6" x14ac:dyDescent="0.15">
      <c r="A2974" s="1">
        <v>39743</v>
      </c>
      <c r="B2974" t="s">
        <v>4256</v>
      </c>
      <c r="C2974" s="2" t="str">
        <f>HYPERLINK("http://snap.windin.com/ns/bulletin.php?id=1337906&amp;type=1", "济南钢铁：济南钢铁公开增发A股招股说明书")</f>
        <v>济南钢铁：济南钢铁公开增发A股招股说明书</v>
      </c>
      <c r="D2974" t="s">
        <v>9339</v>
      </c>
      <c r="E2974" t="s">
        <v>6524</v>
      </c>
      <c r="F2974" t="s">
        <v>6525</v>
      </c>
    </row>
    <row r="2975" spans="1:6" x14ac:dyDescent="0.15">
      <c r="A2975" s="1">
        <v>39703</v>
      </c>
      <c r="B2975" t="s">
        <v>4257</v>
      </c>
      <c r="C2975" s="2" t="str">
        <f>HYPERLINK("http://snap.windin.com/ns/bulletin.php?id=73090&amp;type=1", "华昌化工:首次公开发行股票招股说明书")</f>
        <v>华昌化工:首次公开发行股票招股说明书</v>
      </c>
      <c r="D2975" t="s">
        <v>9340</v>
      </c>
      <c r="E2975" t="s">
        <v>6261</v>
      </c>
    </row>
    <row r="2976" spans="1:6" x14ac:dyDescent="0.15">
      <c r="A2976" s="1">
        <v>39702</v>
      </c>
      <c r="B2976" t="s">
        <v>4227</v>
      </c>
      <c r="C2976" s="2" t="str">
        <f>HYPERLINK("http://snap.windin.com/ns/bulletin.php?id=1315559&amp;type=1", "博云股份：湖南博云新材料股份有限公司首发招股说明书(申报稿)")</f>
        <v>博云股份：湖南博云新材料股份有限公司首发招股说明书(申报稿)</v>
      </c>
      <c r="D2976" t="s">
        <v>9341</v>
      </c>
      <c r="E2976" t="s">
        <v>6526</v>
      </c>
      <c r="F2976" t="s">
        <v>6527</v>
      </c>
    </row>
    <row r="2977" spans="1:6" x14ac:dyDescent="0.15">
      <c r="A2977" s="1">
        <v>39696</v>
      </c>
      <c r="B2977" t="s">
        <v>4258</v>
      </c>
      <c r="C2977" s="2" t="str">
        <f>HYPERLINK("http://snap.windin.com/ns/bulletin.php?id=1026954&amp;type=1", "川润股份:首次公开发行股票招股说明书")</f>
        <v>川润股份:首次公开发行股票招股说明书</v>
      </c>
      <c r="D2977" t="s">
        <v>9342</v>
      </c>
      <c r="E2977" t="s">
        <v>6262</v>
      </c>
    </row>
    <row r="2978" spans="1:6" x14ac:dyDescent="0.15">
      <c r="A2978" s="1">
        <v>39695</v>
      </c>
      <c r="B2978" t="s">
        <v>4259</v>
      </c>
      <c r="C2978" s="2" t="str">
        <f>HYPERLINK("http://snap.windin.com/ns/bulletin.php?id=204120&amp;type=1", "水晶光电:首次公开发行股票招股说明书")</f>
        <v>水晶光电:首次公开发行股票招股说明书</v>
      </c>
      <c r="D2978" t="s">
        <v>9343</v>
      </c>
      <c r="E2978" t="s">
        <v>6263</v>
      </c>
    </row>
    <row r="2979" spans="1:6" x14ac:dyDescent="0.15">
      <c r="A2979" s="1">
        <v>39695</v>
      </c>
      <c r="B2979" t="s">
        <v>4185</v>
      </c>
      <c r="C2979" s="2" t="str">
        <f>HYPERLINK("http://snap.windin.com/ns/bulletin.php?id=547898&amp;type=1", "招商证券：招商证券股份有限公司首发招股说明书(申报稿)")</f>
        <v>招商证券：招商证券股份有限公司首发招股说明书(申报稿)</v>
      </c>
      <c r="D2979" t="s">
        <v>9344</v>
      </c>
      <c r="E2979" t="s">
        <v>6389</v>
      </c>
      <c r="F2979" t="s">
        <v>6528</v>
      </c>
    </row>
    <row r="2980" spans="1:6" x14ac:dyDescent="0.15">
      <c r="A2980" s="1">
        <v>39694</v>
      </c>
      <c r="B2980" t="s">
        <v>4232</v>
      </c>
      <c r="C2980" s="2" t="str">
        <f>HYPERLINK("http://snap.windin.com/ns/bulletin.php?id=76813&amp;type=1", "信立泰：深圳信立泰药业股份有限公司首发招股说明书(申报稿)")</f>
        <v>信立泰：深圳信立泰药业股份有限公司首发招股说明书(申报稿)</v>
      </c>
      <c r="D2980" t="s">
        <v>9345</v>
      </c>
      <c r="E2980" t="s">
        <v>6242</v>
      </c>
      <c r="F2980" t="s">
        <v>6529</v>
      </c>
    </row>
    <row r="2981" spans="1:6" x14ac:dyDescent="0.15">
      <c r="A2981" s="1">
        <v>39692</v>
      </c>
      <c r="B2981" t="s">
        <v>4233</v>
      </c>
      <c r="C2981" s="2" t="str">
        <f>HYPERLINK("http://snap.windin.com/ns/bulletin.php?id=2115090&amp;type=1", "罗莱家纺：罗莱家纺股份有限公司首发招股说明书(申报稿)")</f>
        <v>罗莱家纺：罗莱家纺股份有限公司首发招股说明书(申报稿)</v>
      </c>
      <c r="D2981" t="s">
        <v>9346</v>
      </c>
      <c r="E2981" t="s">
        <v>6496</v>
      </c>
      <c r="F2981" t="s">
        <v>6530</v>
      </c>
    </row>
    <row r="2982" spans="1:6" x14ac:dyDescent="0.15">
      <c r="A2982" s="1">
        <v>39689</v>
      </c>
      <c r="B2982" t="s">
        <v>4260</v>
      </c>
      <c r="C2982" s="2" t="str">
        <f>HYPERLINK("http://snap.windin.com/ns/bulletin.php?id=171547&amp;type=1", "东方雨虹:首次公开发行股票招股说明书")</f>
        <v>东方雨虹:首次公开发行股票招股说明书</v>
      </c>
      <c r="D2982" t="s">
        <v>9347</v>
      </c>
      <c r="E2982" t="s">
        <v>6264</v>
      </c>
    </row>
    <row r="2983" spans="1:6" x14ac:dyDescent="0.15">
      <c r="A2983" s="1">
        <v>39687</v>
      </c>
      <c r="B2983" t="s">
        <v>4234</v>
      </c>
      <c r="C2983" s="2" t="str">
        <f>HYPERLINK("http://snap.windin.com/ns/bulletin.php?id=463299&amp;type=1", "奥飞动漫：广东奥飞动漫文化股份有限公司招股说明书(申报稿)")</f>
        <v>奥飞动漫：广东奥飞动漫文化股份有限公司招股说明书(申报稿)</v>
      </c>
      <c r="D2983" t="s">
        <v>9348</v>
      </c>
      <c r="E2983" t="s">
        <v>6243</v>
      </c>
      <c r="F2983" t="s">
        <v>6531</v>
      </c>
    </row>
    <row r="2984" spans="1:6" x14ac:dyDescent="0.15">
      <c r="A2984" s="1">
        <v>39685</v>
      </c>
      <c r="B2984" t="s">
        <v>4236</v>
      </c>
      <c r="C2984" s="2" t="str">
        <f>HYPERLINK("http://snap.windin.com/ns/bulletin.php?id=1701909&amp;type=1", "星期六鞋业：佛山星期六鞋业股份有限公司首发招股说明书(申报稿)")</f>
        <v>星期六鞋业：佛山星期六鞋业股份有限公司首发招股说明书(申报稿)</v>
      </c>
      <c r="D2984" t="s">
        <v>9349</v>
      </c>
      <c r="E2984" t="s">
        <v>6532</v>
      </c>
      <c r="F2984" t="s">
        <v>6533</v>
      </c>
    </row>
    <row r="2985" spans="1:6" x14ac:dyDescent="0.15">
      <c r="A2985" s="1">
        <v>39685</v>
      </c>
      <c r="B2985" t="s">
        <v>4216</v>
      </c>
      <c r="C2985" s="2" t="str">
        <f>HYPERLINK("http://snap.windin.com/ns/bulletin.php?id=1150614&amp;type=1", "南平电缆：福建南平太阳电缆股份有限公司首发招股说明书(申报稿)")</f>
        <v>南平电缆：福建南平太阳电缆股份有限公司首发招股说明书(申报稿)</v>
      </c>
      <c r="D2985" t="s">
        <v>9350</v>
      </c>
      <c r="E2985" t="s">
        <v>6534</v>
      </c>
      <c r="F2985" t="s">
        <v>6535</v>
      </c>
    </row>
    <row r="2986" spans="1:6" x14ac:dyDescent="0.15">
      <c r="A2986" s="1">
        <v>39685</v>
      </c>
      <c r="B2986" t="s">
        <v>4261</v>
      </c>
      <c r="C2986" s="2" t="str">
        <f>HYPERLINK("http://snap.windin.com/ns/bulletin.php?id=418150&amp;type=1", "法因数控：首次公开发行股票招股说明书")</f>
        <v>法因数控：首次公开发行股票招股说明书</v>
      </c>
      <c r="D2986" t="s">
        <v>9351</v>
      </c>
      <c r="E2986" t="s">
        <v>6536</v>
      </c>
      <c r="F2986" t="s">
        <v>399</v>
      </c>
    </row>
    <row r="2987" spans="1:6" x14ac:dyDescent="0.15">
      <c r="A2987" s="1">
        <v>39678</v>
      </c>
      <c r="B2987" t="s">
        <v>4230</v>
      </c>
      <c r="C2987" s="2" t="str">
        <f>HYPERLINK("http://snap.windin.com/ns/bulletin.php?id=242874&amp;type=1", "河南辉煌：河南辉煌科技股份有限公司首发招股说明书(申报稿)")</f>
        <v>河南辉煌：河南辉煌科技股份有限公司首发招股说明书(申报稿)</v>
      </c>
      <c r="D2987" t="s">
        <v>9352</v>
      </c>
      <c r="E2987" t="s">
        <v>6537</v>
      </c>
      <c r="F2987" t="s">
        <v>6538</v>
      </c>
    </row>
    <row r="2988" spans="1:6" x14ac:dyDescent="0.15">
      <c r="A2988" s="1">
        <v>39678</v>
      </c>
      <c r="B2988" t="s">
        <v>4229</v>
      </c>
      <c r="C2988" s="2" t="str">
        <f>HYPERLINK("http://snap.windin.com/ns/bulletin.php?id=430550&amp;type=1", "精艺金属：广东精艺金属股份有限公司首发招股说明书(申报稿)")</f>
        <v>精艺金属：广东精艺金属股份有限公司首发招股说明书(申报稿)</v>
      </c>
      <c r="D2988" t="s">
        <v>9353</v>
      </c>
      <c r="E2988" t="s">
        <v>6539</v>
      </c>
      <c r="F2988" t="s">
        <v>6540</v>
      </c>
    </row>
    <row r="2989" spans="1:6" x14ac:dyDescent="0.15">
      <c r="A2989" s="1">
        <v>39675</v>
      </c>
      <c r="B2989" t="s">
        <v>4262</v>
      </c>
      <c r="C2989" s="2" t="str">
        <f>HYPERLINK("http://snap.windin.com/ns/bulletin.php?id=1070038&amp;type=1", "中国南车招股说明书")</f>
        <v>中国南车招股说明书</v>
      </c>
      <c r="D2989" t="s">
        <v>9354</v>
      </c>
      <c r="E2989" t="s">
        <v>4462</v>
      </c>
    </row>
    <row r="2990" spans="1:6" x14ac:dyDescent="0.15">
      <c r="A2990" s="1">
        <v>39673</v>
      </c>
      <c r="B2990" t="s">
        <v>4263</v>
      </c>
      <c r="C2990" s="2" t="str">
        <f>HYPERLINK("http://snap.windin.com/ns/bulletin.php?id=632277&amp;type=1", "美邦服饰：首次公开发行股票（A股）招股说明书")</f>
        <v>美邦服饰：首次公开发行股票（A股）招股说明书</v>
      </c>
      <c r="D2990" t="s">
        <v>9355</v>
      </c>
      <c r="E2990" t="s">
        <v>6541</v>
      </c>
      <c r="F2990" t="s">
        <v>661</v>
      </c>
    </row>
    <row r="2991" spans="1:6" x14ac:dyDescent="0.15">
      <c r="A2991" s="1">
        <v>39671</v>
      </c>
      <c r="B2991" t="s">
        <v>4235</v>
      </c>
      <c r="C2991" s="2" t="str">
        <f>HYPERLINK("http://snap.windin.com/ns/bulletin.php?id=200219&amp;type=1", "禾盛材料：苏州禾盛新型材料股份有限公司首次发行股票招股说明书(申报稿)")</f>
        <v>禾盛材料：苏州禾盛新型材料股份有限公司首次发行股票招股说明书(申报稿)</v>
      </c>
      <c r="D2991" t="s">
        <v>9356</v>
      </c>
      <c r="E2991" t="s">
        <v>6542</v>
      </c>
      <c r="F2991" t="s">
        <v>6543</v>
      </c>
    </row>
    <row r="2992" spans="1:6" x14ac:dyDescent="0.15">
      <c r="A2992" s="1">
        <v>39668</v>
      </c>
      <c r="B2992" t="s">
        <v>4237</v>
      </c>
      <c r="C2992" s="2" t="str">
        <f>HYPERLINK("http://snap.windin.com/ns/bulletin.php?id=1940672&amp;type=1", "宇顺电子：深圳市宇顺电子股份有限公司首次公开发行股票招股说明书(申报稿)")</f>
        <v>宇顺电子：深圳市宇顺电子股份有限公司首次公开发行股票招股说明书(申报稿)</v>
      </c>
      <c r="D2992" t="s">
        <v>9357</v>
      </c>
      <c r="E2992" t="s">
        <v>6246</v>
      </c>
      <c r="F2992" t="s">
        <v>6544</v>
      </c>
    </row>
    <row r="2993" spans="1:6" x14ac:dyDescent="0.15">
      <c r="A2993" s="1">
        <v>39668</v>
      </c>
      <c r="B2993" t="s">
        <v>4238</v>
      </c>
      <c r="C2993" s="2" t="str">
        <f>HYPERLINK("http://snap.windin.com/ns/bulletin.php?id=691373&amp;type=1", "超华科技：广东超华科技股份有限公司首发招股说明书(申报稿)")</f>
        <v>超华科技：广东超华科技股份有限公司首发招股说明书(申报稿)</v>
      </c>
      <c r="D2993" t="s">
        <v>9358</v>
      </c>
      <c r="E2993" t="s">
        <v>6247</v>
      </c>
      <c r="F2993" t="s">
        <v>6545</v>
      </c>
    </row>
    <row r="2994" spans="1:6" x14ac:dyDescent="0.15">
      <c r="A2994" s="1">
        <v>39667</v>
      </c>
      <c r="B2994" t="s">
        <v>4240</v>
      </c>
      <c r="C2994" s="2" t="str">
        <f>HYPERLINK("http://snap.windin.com/ns/bulletin.php?id=111743&amp;type=1", "奇正藏药：奇正藏药股份有限公司首发招股说明书(申报稿)")</f>
        <v>奇正藏药：奇正藏药股份有限公司首发招股说明书(申报稿)</v>
      </c>
      <c r="D2994" t="s">
        <v>9359</v>
      </c>
      <c r="E2994" t="s">
        <v>6249</v>
      </c>
      <c r="F2994" t="s">
        <v>6546</v>
      </c>
    </row>
    <row r="2995" spans="1:6" x14ac:dyDescent="0.15">
      <c r="A2995" s="1">
        <v>39667</v>
      </c>
      <c r="B2995" t="s">
        <v>4239</v>
      </c>
      <c r="C2995" s="2" t="str">
        <f>HYPERLINK("http://snap.windin.com/ns/bulletin.php?id=972183&amp;type=1", "保龄宝：保龄宝生物股份有限公司首发招股说明书(申报稿)")</f>
        <v>保龄宝：保龄宝生物股份有限公司首发招股说明书(申报稿)</v>
      </c>
      <c r="D2995" t="s">
        <v>9360</v>
      </c>
      <c r="E2995" t="s">
        <v>6248</v>
      </c>
      <c r="F2995" t="s">
        <v>6547</v>
      </c>
    </row>
    <row r="2996" spans="1:6" x14ac:dyDescent="0.15">
      <c r="A2996" s="1">
        <v>39659</v>
      </c>
      <c r="B2996" t="s">
        <v>4246</v>
      </c>
      <c r="C2996" s="2" t="str">
        <f>HYPERLINK("http://snap.windin.com/ns/bulletin.php?id=159679&amp;type=1", "光迅科技：武汉光迅科技股份有限公司首发招股说明书(申报稿)")</f>
        <v>光迅科技：武汉光迅科技股份有限公司首发招股说明书(申报稿)</v>
      </c>
      <c r="D2996" t="s">
        <v>9361</v>
      </c>
      <c r="E2996" t="s">
        <v>6254</v>
      </c>
      <c r="F2996" t="s">
        <v>6548</v>
      </c>
    </row>
    <row r="2997" spans="1:6" x14ac:dyDescent="0.15">
      <c r="A2997" s="1">
        <v>39659</v>
      </c>
      <c r="B2997" t="s">
        <v>4243</v>
      </c>
      <c r="C2997" s="2" t="str">
        <f>HYPERLINK("http://snap.windin.com/ns/bulletin.php?id=2050380&amp;type=1", "世联顾问：深圳世联地产顾问股份有限公司首发招股说明书(申报稿)")</f>
        <v>世联顾问：深圳世联地产顾问股份有限公司首发招股说明书(申报稿)</v>
      </c>
      <c r="D2997" t="s">
        <v>9362</v>
      </c>
      <c r="E2997" t="s">
        <v>6549</v>
      </c>
      <c r="F2997" t="s">
        <v>6550</v>
      </c>
    </row>
    <row r="2998" spans="1:6" x14ac:dyDescent="0.15">
      <c r="A2998" s="1">
        <v>39659</v>
      </c>
      <c r="B2998" t="s">
        <v>4264</v>
      </c>
      <c r="C2998" s="2" t="str">
        <f>HYPERLINK("http://snap.windin.com/ns/bulletin.php?id=644831&amp;type=1", "陕天然气：首次公开发行股票招股说明书")</f>
        <v>陕天然气：首次公开发行股票招股说明书</v>
      </c>
      <c r="D2998" t="s">
        <v>9363</v>
      </c>
      <c r="E2998" t="s">
        <v>6551</v>
      </c>
      <c r="F2998" t="s">
        <v>399</v>
      </c>
    </row>
    <row r="2999" spans="1:6" x14ac:dyDescent="0.15">
      <c r="A2999" s="1">
        <v>39658</v>
      </c>
      <c r="B2999" t="s">
        <v>4265</v>
      </c>
      <c r="C2999" s="2" t="str">
        <f>HYPERLINK("http://snap.windin.com/ns/bulletin.php?id=1517147&amp;type=1", "卫 士 通：首次公开发行股票招股说明书")</f>
        <v>卫 士 通：首次公开发行股票招股说明书</v>
      </c>
      <c r="D2999" t="s">
        <v>9364</v>
      </c>
      <c r="E2999" t="s">
        <v>6552</v>
      </c>
      <c r="F2999" t="s">
        <v>399</v>
      </c>
    </row>
    <row r="3000" spans="1:6" x14ac:dyDescent="0.15">
      <c r="A3000" s="1">
        <v>39654</v>
      </c>
      <c r="B3000" t="s">
        <v>4248</v>
      </c>
      <c r="C3000" s="2" t="str">
        <f>HYPERLINK("http://snap.windin.com/ns/bulletin.php?id=239639&amp;type=1", "久其软件：北京久其软件股份有限公司首发招股说明书(申报稿)")</f>
        <v>久其软件：北京久其软件股份有限公司首发招股说明书(申报稿)</v>
      </c>
      <c r="D3000" t="s">
        <v>9365</v>
      </c>
      <c r="E3000" t="s">
        <v>6256</v>
      </c>
      <c r="F3000" t="s">
        <v>6553</v>
      </c>
    </row>
    <row r="3001" spans="1:6" x14ac:dyDescent="0.15">
      <c r="A3001" s="1">
        <v>39654</v>
      </c>
      <c r="B3001" t="s">
        <v>4247</v>
      </c>
      <c r="C3001" s="2" t="str">
        <f>HYPERLINK("http://snap.windin.com/ns/bulletin.php?id=593929&amp;type=1", "新世纪信息：杭州新世纪信息技术股份有限公司首发招股说明书(申报稿)")</f>
        <v>新世纪信息：杭州新世纪信息技术股份有限公司首发招股说明书(申报稿)</v>
      </c>
      <c r="D3001" t="s">
        <v>9366</v>
      </c>
      <c r="E3001" t="s">
        <v>6554</v>
      </c>
      <c r="F3001" t="s">
        <v>6555</v>
      </c>
    </row>
    <row r="3002" spans="1:6" x14ac:dyDescent="0.15">
      <c r="A3002" s="1">
        <v>39653</v>
      </c>
      <c r="B3002" t="s">
        <v>4266</v>
      </c>
      <c r="C3002" s="2" t="str">
        <f>HYPERLINK("http://snap.windin.com/ns/bulletin.php?id=1161974&amp;type=1", "西仪股份：首次公开发行股票并上市之招股说明书")</f>
        <v>西仪股份：首次公开发行股票并上市之招股说明书</v>
      </c>
      <c r="D3002" t="s">
        <v>9367</v>
      </c>
      <c r="E3002" t="s">
        <v>6556</v>
      </c>
      <c r="F3002" t="s">
        <v>6557</v>
      </c>
    </row>
    <row r="3003" spans="1:6" x14ac:dyDescent="0.15">
      <c r="A3003" s="1">
        <v>39653</v>
      </c>
      <c r="B3003" t="s">
        <v>4267</v>
      </c>
      <c r="C3003" s="2" t="str">
        <f>HYPERLINK("http://snap.windin.com/ns/bulletin.php?id=751131&amp;type=1", "浙富股份：首次公开发行股票招股说明书")</f>
        <v>浙富股份：首次公开发行股票招股说明书</v>
      </c>
      <c r="D3003" t="s">
        <v>9368</v>
      </c>
      <c r="E3003" t="s">
        <v>6558</v>
      </c>
      <c r="F3003" t="s">
        <v>399</v>
      </c>
    </row>
    <row r="3004" spans="1:6" x14ac:dyDescent="0.15">
      <c r="A3004" s="1">
        <v>39652</v>
      </c>
      <c r="B3004" t="s">
        <v>4268</v>
      </c>
      <c r="C3004" s="2" t="str">
        <f>HYPERLINK("http://snap.windin.com/ns/bulletin.php?id=1680649&amp;type=1", "太钢不锈：向非特定对象公开发行A股股票招股说明书")</f>
        <v>太钢不锈：向非特定对象公开发行A股股票招股说明书</v>
      </c>
      <c r="D3004" t="s">
        <v>9369</v>
      </c>
      <c r="E3004" t="s">
        <v>6559</v>
      </c>
      <c r="F3004" t="s">
        <v>6560</v>
      </c>
    </row>
    <row r="3005" spans="1:6" x14ac:dyDescent="0.15">
      <c r="A3005" s="1">
        <v>39651</v>
      </c>
      <c r="B3005" t="s">
        <v>3933</v>
      </c>
      <c r="C3005" s="2" t="str">
        <f>HYPERLINK("http://snap.windin.com/ns/bulletin.php?id=870373&amp;type=1", "珠江啤酒：广州珠江啤酒股份有限公司首发招股说明书(申报稿)")</f>
        <v>珠江啤酒：广州珠江啤酒股份有限公司首发招股说明书(申报稿)</v>
      </c>
      <c r="D3005" t="s">
        <v>9370</v>
      </c>
      <c r="E3005" t="s">
        <v>5959</v>
      </c>
      <c r="F3005" t="s">
        <v>6561</v>
      </c>
    </row>
    <row r="3006" spans="1:6" x14ac:dyDescent="0.15">
      <c r="A3006" s="1">
        <v>39651</v>
      </c>
      <c r="B3006" t="s">
        <v>317</v>
      </c>
      <c r="C3006" s="2" t="str">
        <f>HYPERLINK("http://snap.windin.com/ns/bulletin.php?id=793468&amp;type=1", "盛通印刷：北京盛通印刷股份有限公司首发招股说明书(申报稿)")</f>
        <v>盛通印刷：北京盛通印刷股份有限公司首发招股说明书(申报稿)</v>
      </c>
      <c r="D3006" t="s">
        <v>9371</v>
      </c>
      <c r="E3006" t="s">
        <v>6562</v>
      </c>
      <c r="F3006" t="s">
        <v>6563</v>
      </c>
    </row>
    <row r="3007" spans="1:6" x14ac:dyDescent="0.15">
      <c r="A3007" s="1">
        <v>39647</v>
      </c>
      <c r="B3007" t="s">
        <v>4269</v>
      </c>
      <c r="C3007" s="2" t="str">
        <f>HYPERLINK("http://snap.windin.com/ns/bulletin.php?id=419087&amp;type=1", "新 华 都：首次公开发行股票招股说明书")</f>
        <v>新 华 都：首次公开发行股票招股说明书</v>
      </c>
      <c r="D3007" t="s">
        <v>9372</v>
      </c>
      <c r="E3007" t="s">
        <v>6564</v>
      </c>
      <c r="F3007" t="s">
        <v>399</v>
      </c>
    </row>
    <row r="3008" spans="1:6" x14ac:dyDescent="0.15">
      <c r="A3008" s="1">
        <v>39647</v>
      </c>
      <c r="B3008" t="s">
        <v>4250</v>
      </c>
      <c r="C3008" s="2" t="str">
        <f>HYPERLINK("http://snap.windin.com/ns/bulletin.php?id=1778138&amp;type=1", "神开股份：上海神开石油化工装备股份有限公司首发招股说明书(申报稿)")</f>
        <v>神开股份：上海神开石油化工装备股份有限公司首发招股说明书(申报稿)</v>
      </c>
      <c r="D3008" t="s">
        <v>9373</v>
      </c>
      <c r="E3008" t="s">
        <v>6257</v>
      </c>
      <c r="F3008" t="s">
        <v>6565</v>
      </c>
    </row>
    <row r="3009" spans="1:6" x14ac:dyDescent="0.15">
      <c r="A3009" s="1">
        <v>39647</v>
      </c>
      <c r="B3009" t="s">
        <v>4255</v>
      </c>
      <c r="C3009" s="2" t="str">
        <f>HYPERLINK("http://snap.windin.com/ns/bulletin.php?id=766857&amp;type=1", "上海电气：上海电气集团股份有限公司首发招股说明书暨换股吸收合并报告书(申报稿)")</f>
        <v>上海电气：上海电气集团股份有限公司首发招股说明书暨换股吸收合并报告书(申报稿)</v>
      </c>
      <c r="D3009" t="s">
        <v>9374</v>
      </c>
      <c r="E3009" t="s">
        <v>6521</v>
      </c>
      <c r="F3009" t="s">
        <v>6566</v>
      </c>
    </row>
    <row r="3010" spans="1:6" x14ac:dyDescent="0.15">
      <c r="A3010" s="1">
        <v>39646</v>
      </c>
      <c r="B3010" t="s">
        <v>4270</v>
      </c>
      <c r="C3010" s="2" t="str">
        <f>HYPERLINK("http://snap.windin.com/ns/bulletin.php?id=1917450&amp;type=1", "大 东 南：首次公开发行股票招股说明书")</f>
        <v>大 东 南：首次公开发行股票招股说明书</v>
      </c>
      <c r="D3010" t="s">
        <v>9375</v>
      </c>
      <c r="E3010" t="s">
        <v>6567</v>
      </c>
      <c r="F3010" t="s">
        <v>399</v>
      </c>
    </row>
    <row r="3011" spans="1:6" x14ac:dyDescent="0.15">
      <c r="A3011" s="1">
        <v>39640</v>
      </c>
      <c r="B3011" t="s">
        <v>4271</v>
      </c>
      <c r="C3011" s="2" t="str">
        <f>HYPERLINK("http://snap.windin.com/ns/bulletin.php?id=2094864&amp;type=1", "恩华药业：首次公开发行股票并上市招股说明书")</f>
        <v>恩华药业：首次公开发行股票并上市招股说明书</v>
      </c>
      <c r="D3011" t="s">
        <v>9376</v>
      </c>
      <c r="E3011" t="s">
        <v>6568</v>
      </c>
      <c r="F3011" t="s">
        <v>469</v>
      </c>
    </row>
    <row r="3012" spans="1:6" x14ac:dyDescent="0.15">
      <c r="A3012" s="1">
        <v>39640</v>
      </c>
      <c r="B3012" t="s">
        <v>4272</v>
      </c>
      <c r="C3012" s="2" t="str">
        <f>HYPERLINK("http://snap.windin.com/ns/bulletin.php?id=649806&amp;type=1", "拓维信息：首次公开发行股票招股说明书")</f>
        <v>拓维信息：首次公开发行股票招股说明书</v>
      </c>
      <c r="D3012" t="s">
        <v>9377</v>
      </c>
      <c r="E3012" t="s">
        <v>6569</v>
      </c>
      <c r="F3012" t="s">
        <v>399</v>
      </c>
    </row>
    <row r="3013" spans="1:6" x14ac:dyDescent="0.15">
      <c r="A3013" s="1">
        <v>39638</v>
      </c>
      <c r="B3013" t="s">
        <v>266</v>
      </c>
      <c r="C3013" s="2" t="str">
        <f>HYPERLINK("http://snap.windin.com/ns/bulletin.php?id=145693&amp;type=1", "长城汽车：长城汽车股份有限公司首发A股招股说明书(申报稿)")</f>
        <v>长城汽车：长城汽车股份有限公司首发A股招股说明书(申报稿)</v>
      </c>
      <c r="D3013" t="s">
        <v>9378</v>
      </c>
      <c r="E3013" t="s">
        <v>751</v>
      </c>
      <c r="F3013" t="s">
        <v>6570</v>
      </c>
    </row>
    <row r="3014" spans="1:6" x14ac:dyDescent="0.15">
      <c r="A3014" s="1">
        <v>39638</v>
      </c>
      <c r="B3014" t="s">
        <v>4252</v>
      </c>
      <c r="C3014" s="2" t="str">
        <f>HYPERLINK("http://snap.windin.com/ns/bulletin.php?id=1345537&amp;type=1", "家润多：家润多商业股份有限公司首发招股说明书(申报稿)")</f>
        <v>家润多：家润多商业股份有限公司首发招股说明书(申报稿)</v>
      </c>
      <c r="D3014" t="s">
        <v>9379</v>
      </c>
      <c r="E3014" t="s">
        <v>6258</v>
      </c>
      <c r="F3014" t="s">
        <v>6571</v>
      </c>
    </row>
    <row r="3015" spans="1:6" x14ac:dyDescent="0.15">
      <c r="A3015" s="1">
        <v>39638</v>
      </c>
      <c r="B3015" t="s">
        <v>4231</v>
      </c>
      <c r="C3015" s="2" t="str">
        <f>HYPERLINK("http://snap.windin.com/ns/bulletin.php?id=579347&amp;type=1", "神州泰岳：北京神州泰岳软件股份有限公司招股说明书(申报稿)")</f>
        <v>神州泰岳：北京神州泰岳软件股份有限公司招股说明书(申报稿)</v>
      </c>
      <c r="D3015" t="s">
        <v>9380</v>
      </c>
      <c r="E3015" t="s">
        <v>6481</v>
      </c>
      <c r="F3015" t="s">
        <v>6572</v>
      </c>
    </row>
    <row r="3016" spans="1:6" x14ac:dyDescent="0.15">
      <c r="A3016" s="1">
        <v>39638</v>
      </c>
      <c r="B3016" t="s">
        <v>3983</v>
      </c>
      <c r="C3016" s="2" t="str">
        <f>HYPERLINK("http://snap.windin.com/ns/bulletin.php?id=801635&amp;type=1", "神通阀门：江苏神通阀门股份有限公司首发招股说明书(申报稿)")</f>
        <v>神通阀门：江苏神通阀门股份有限公司首发招股说明书(申报稿)</v>
      </c>
      <c r="D3016" t="s">
        <v>9381</v>
      </c>
      <c r="E3016" t="s">
        <v>6573</v>
      </c>
      <c r="F3016" t="s">
        <v>6574</v>
      </c>
    </row>
    <row r="3017" spans="1:6" x14ac:dyDescent="0.15">
      <c r="A3017" s="1">
        <v>39633</v>
      </c>
      <c r="B3017" t="s">
        <v>4273</v>
      </c>
      <c r="C3017" s="2" t="str">
        <f>HYPERLINK("http://snap.windin.com/ns/bulletin.php?id=1839275&amp;type=1", "升达林业：首次公开发行股票招股说明书")</f>
        <v>升达林业：首次公开发行股票招股说明书</v>
      </c>
      <c r="D3017" t="s">
        <v>9382</v>
      </c>
      <c r="E3017" t="s">
        <v>6575</v>
      </c>
      <c r="F3017" t="s">
        <v>399</v>
      </c>
    </row>
    <row r="3018" spans="1:6" x14ac:dyDescent="0.15">
      <c r="A3018" s="1">
        <v>39633</v>
      </c>
      <c r="B3018" t="s">
        <v>4274</v>
      </c>
      <c r="C3018" s="2" t="str">
        <f>HYPERLINK("http://snap.windin.com/ns/bulletin.php?id=778828&amp;type=1", "伊 立 浦：首次公开发行股票招股说明书")</f>
        <v>伊 立 浦：首次公开发行股票招股说明书</v>
      </c>
      <c r="D3018" t="s">
        <v>9383</v>
      </c>
      <c r="E3018" t="s">
        <v>6576</v>
      </c>
      <c r="F3018" t="s">
        <v>399</v>
      </c>
    </row>
    <row r="3019" spans="1:6" x14ac:dyDescent="0.15">
      <c r="A3019" s="1">
        <v>39631</v>
      </c>
      <c r="B3019" t="s">
        <v>4245</v>
      </c>
      <c r="C3019" s="2" t="str">
        <f>HYPERLINK("http://snap.windin.com/ns/bulletin.php?id=184357&amp;type=1", "博深工具：博深工具股份有限公司首发招股说明书(申报稿)")</f>
        <v>博深工具：博深工具股份有限公司首发招股说明书(申报稿)</v>
      </c>
      <c r="D3019" t="s">
        <v>9384</v>
      </c>
      <c r="E3019" t="s">
        <v>6253</v>
      </c>
      <c r="F3019" t="s">
        <v>6577</v>
      </c>
    </row>
    <row r="3020" spans="1:6" x14ac:dyDescent="0.15">
      <c r="A3020" s="1">
        <v>39631</v>
      </c>
      <c r="B3020" t="s">
        <v>4093</v>
      </c>
      <c r="C3020" s="2" t="str">
        <f>HYPERLINK("http://snap.windin.com/ns/bulletin.php?id=1252977&amp;type=1", "汉王科技：汉王科技股份有限公司首发招股说明书(申报稿)")</f>
        <v>汉王科技：汉王科技股份有限公司首发招股说明书(申报稿)</v>
      </c>
      <c r="D3020" t="s">
        <v>9385</v>
      </c>
      <c r="E3020" t="s">
        <v>6141</v>
      </c>
      <c r="F3020" t="s">
        <v>6578</v>
      </c>
    </row>
    <row r="3021" spans="1:6" x14ac:dyDescent="0.15">
      <c r="A3021" s="1">
        <v>39631</v>
      </c>
      <c r="B3021" t="s">
        <v>4244</v>
      </c>
      <c r="C3021" s="2" t="str">
        <f>HYPERLINK("http://snap.windin.com/ns/bulletin.php?id=598828&amp;type=1", "天润曲轴：天润曲轴股份有限公司首发招股说明书(申报稿)")</f>
        <v>天润曲轴：天润曲轴股份有限公司首发招股说明书(申报稿)</v>
      </c>
      <c r="D3021" t="s">
        <v>9386</v>
      </c>
      <c r="E3021" t="s">
        <v>6252</v>
      </c>
      <c r="F3021" t="s">
        <v>6579</v>
      </c>
    </row>
    <row r="3022" spans="1:6" x14ac:dyDescent="0.15">
      <c r="A3022" s="1">
        <v>39631</v>
      </c>
      <c r="B3022" t="s">
        <v>4242</v>
      </c>
      <c r="C3022" s="2" t="str">
        <f>HYPERLINK("http://snap.windin.com/ns/bulletin.php?id=903611&amp;type=1", "浙江亚太：浙江亚太机电股份有限公司首发招股说明书(申报稿)")</f>
        <v>浙江亚太：浙江亚太机电股份有限公司首发招股说明书(申报稿)</v>
      </c>
      <c r="D3022" t="s">
        <v>9387</v>
      </c>
      <c r="E3022" t="s">
        <v>6580</v>
      </c>
      <c r="F3022" t="s">
        <v>6581</v>
      </c>
    </row>
    <row r="3023" spans="1:6" x14ac:dyDescent="0.15">
      <c r="A3023" s="1">
        <v>39629</v>
      </c>
      <c r="B3023" t="s">
        <v>4253</v>
      </c>
      <c r="C3023" s="2" t="str">
        <f>HYPERLINK("http://snap.windin.com/ns/bulletin.php?id=1416217&amp;type=1", "万马电缆：浙江万马电缆股份有限公司首次公开发行A股股票招股说明书(申报稿)")</f>
        <v>万马电缆：浙江万马电缆股份有限公司首次公开发行A股股票招股说明书(申报稿)</v>
      </c>
      <c r="D3023" t="s">
        <v>9388</v>
      </c>
      <c r="E3023" t="s">
        <v>6259</v>
      </c>
      <c r="F3023" t="s">
        <v>6582</v>
      </c>
    </row>
    <row r="3024" spans="1:6" x14ac:dyDescent="0.15">
      <c r="A3024" s="1">
        <v>39625</v>
      </c>
      <c r="B3024" t="s">
        <v>4262</v>
      </c>
      <c r="C3024" s="2" t="str">
        <f>HYPERLINK("http://snap.windin.com/ns/bulletin.php?id=1692883&amp;type=1", "中国南车：中国南车股份有限公司首发A股招股说明书(申报稿)")</f>
        <v>中国南车：中国南车股份有限公司首发A股招股说明书(申报稿)</v>
      </c>
      <c r="D3024" t="s">
        <v>9389</v>
      </c>
      <c r="E3024" t="s">
        <v>6583</v>
      </c>
      <c r="F3024" t="s">
        <v>6584</v>
      </c>
    </row>
    <row r="3025" spans="1:6" x14ac:dyDescent="0.15">
      <c r="A3025" s="1">
        <v>39625</v>
      </c>
      <c r="B3025" t="s">
        <v>4241</v>
      </c>
      <c r="C3025" s="2" t="str">
        <f>HYPERLINK("http://snap.windin.com/ns/bulletin.php?id=233637&amp;type=1", "光大证券：光大证券股份有限公司首发招股说明书(申报稿)")</f>
        <v>光大证券：光大证券股份有限公司首发招股说明书(申报稿)</v>
      </c>
      <c r="D3025" t="s">
        <v>9390</v>
      </c>
      <c r="E3025" t="s">
        <v>6585</v>
      </c>
      <c r="F3025" t="s">
        <v>6586</v>
      </c>
    </row>
    <row r="3026" spans="1:6" x14ac:dyDescent="0.15">
      <c r="A3026" s="1">
        <v>39624</v>
      </c>
      <c r="B3026" t="s">
        <v>4275</v>
      </c>
      <c r="C3026" s="2" t="str">
        <f>HYPERLINK("http://snap.windin.com/ns/bulletin.php?id=641963&amp;type=1", "利尔化学：首次公开发行股票招股说明书")</f>
        <v>利尔化学：首次公开发行股票招股说明书</v>
      </c>
      <c r="D3026" t="s">
        <v>9391</v>
      </c>
      <c r="E3026" t="s">
        <v>6587</v>
      </c>
      <c r="F3026" t="s">
        <v>399</v>
      </c>
    </row>
    <row r="3027" spans="1:6" x14ac:dyDescent="0.15">
      <c r="A3027" s="1">
        <v>39622</v>
      </c>
      <c r="B3027" t="s">
        <v>4251</v>
      </c>
      <c r="C3027" s="2" t="str">
        <f>HYPERLINK("http://snap.windin.com/ns/bulletin.php?id=1700602&amp;type=1", "四川成渝：四川成渝高速公路股份有限公司招股说明书(申报稿)")</f>
        <v>四川成渝：四川成渝高速公路股份有限公司招股说明书(申报稿)</v>
      </c>
      <c r="D3027" t="s">
        <v>9392</v>
      </c>
      <c r="E3027" t="s">
        <v>6588</v>
      </c>
      <c r="F3027" t="s">
        <v>6589</v>
      </c>
    </row>
    <row r="3028" spans="1:6" x14ac:dyDescent="0.15">
      <c r="A3028" s="1">
        <v>39622</v>
      </c>
      <c r="B3028" t="s">
        <v>3980</v>
      </c>
      <c r="C3028" s="2" t="str">
        <f>HYPERLINK("http://snap.windin.com/ns/bulletin.php?id=1663344&amp;type=1", "锐捷通讯：福建星网锐捷通讯股份有限公司首发招股说明书(申报稿)")</f>
        <v>锐捷通讯：福建星网锐捷通讯股份有限公司首发招股说明书(申报稿)</v>
      </c>
      <c r="D3028" t="s">
        <v>9393</v>
      </c>
      <c r="E3028" t="s">
        <v>6590</v>
      </c>
      <c r="F3028" t="s">
        <v>6591</v>
      </c>
    </row>
    <row r="3029" spans="1:6" x14ac:dyDescent="0.15">
      <c r="A3029" s="1">
        <v>39622</v>
      </c>
      <c r="B3029" t="s">
        <v>3869</v>
      </c>
      <c r="C3029" s="2" t="str">
        <f>HYPERLINK("http://snap.windin.com/ns/bulletin.php?id=242045&amp;type=1", "墨龙机械：山东墨龙石油机械股份有限公司首发A股招股说明书(申报稿)")</f>
        <v>墨龙机械：山东墨龙石油机械股份有限公司首发A股招股说明书(申报稿)</v>
      </c>
      <c r="D3029" t="s">
        <v>9394</v>
      </c>
      <c r="E3029" t="s">
        <v>6592</v>
      </c>
      <c r="F3029" t="s">
        <v>6593</v>
      </c>
    </row>
    <row r="3030" spans="1:6" x14ac:dyDescent="0.15">
      <c r="A3030" s="1">
        <v>39622</v>
      </c>
      <c r="B3030" t="s">
        <v>4259</v>
      </c>
      <c r="C3030" s="2" t="str">
        <f>HYPERLINK("http://snap.windin.com/ns/bulletin.php?id=75968&amp;type=1", "水晶光电：浙江水晶光电科技股份有限公司首发招股说明书(申报稿)")</f>
        <v>水晶光电：浙江水晶光电科技股份有限公司首发招股说明书(申报稿)</v>
      </c>
      <c r="D3030" t="s">
        <v>9395</v>
      </c>
      <c r="E3030" t="s">
        <v>6263</v>
      </c>
      <c r="F3030" t="s">
        <v>6594</v>
      </c>
    </row>
    <row r="3031" spans="1:6" x14ac:dyDescent="0.15">
      <c r="A3031" s="1">
        <v>39618</v>
      </c>
      <c r="B3031" t="s">
        <v>4254</v>
      </c>
      <c r="C3031" s="2" t="str">
        <f>HYPERLINK("http://snap.windin.com/ns/bulletin.php?id=1718911&amp;type=1", "三金药业：桂林三金药业股份有限公司首次公开发行股票招股说明书(申报稿)")</f>
        <v>三金药业：桂林三金药业股份有限公司首次公开发行股票招股说明书(申报稿)</v>
      </c>
      <c r="D3031" t="s">
        <v>9396</v>
      </c>
      <c r="E3031" t="s">
        <v>6595</v>
      </c>
      <c r="F3031" t="s">
        <v>6596</v>
      </c>
    </row>
    <row r="3032" spans="1:6" x14ac:dyDescent="0.15">
      <c r="A3032" s="1">
        <v>39618</v>
      </c>
      <c r="B3032" t="s">
        <v>4267</v>
      </c>
      <c r="C3032" s="2" t="str">
        <f>HYPERLINK("http://snap.windin.com/ns/bulletin.php?id=2089113&amp;type=1", "富春江：浙江富春江水电设备股份有限公司首发招股说明书(申报稿)")</f>
        <v>富春江：浙江富春江水电设备股份有限公司首发招股说明书(申报稿)</v>
      </c>
      <c r="D3032" t="s">
        <v>9397</v>
      </c>
      <c r="E3032" t="s">
        <v>6597</v>
      </c>
      <c r="F3032" t="s">
        <v>6598</v>
      </c>
    </row>
    <row r="3033" spans="1:6" x14ac:dyDescent="0.15">
      <c r="A3033" s="1">
        <v>39617</v>
      </c>
      <c r="B3033" t="s">
        <v>4258</v>
      </c>
      <c r="C3033" s="2" t="str">
        <f>HYPERLINK("http://snap.windin.com/ns/bulletin.php?id=1251917&amp;type=1", "川润股份：四川川润股份有限公司首发招股说明书(申报稿)")</f>
        <v>川润股份：四川川润股份有限公司首发招股说明书(申报稿)</v>
      </c>
      <c r="D3033" t="s">
        <v>9398</v>
      </c>
      <c r="E3033" t="s">
        <v>6262</v>
      </c>
      <c r="F3033" t="s">
        <v>6599</v>
      </c>
    </row>
    <row r="3034" spans="1:6" x14ac:dyDescent="0.15">
      <c r="A3034" s="1">
        <v>39615</v>
      </c>
      <c r="B3034" t="s">
        <v>4263</v>
      </c>
      <c r="C3034" s="2" t="str">
        <f>HYPERLINK("http://snap.windin.com/ns/bulletin.php?id=1663752&amp;type=1", "美特斯邦威：上海美特斯邦威服饰股份有限公司首发招股说明书(申报稿)")</f>
        <v>美特斯邦威：上海美特斯邦威服饰股份有限公司首发招股说明书(申报稿)</v>
      </c>
      <c r="D3034" t="s">
        <v>9399</v>
      </c>
      <c r="E3034" t="s">
        <v>6600</v>
      </c>
      <c r="F3034" t="s">
        <v>6601</v>
      </c>
    </row>
    <row r="3035" spans="1:6" x14ac:dyDescent="0.15">
      <c r="A3035" s="1">
        <v>39615</v>
      </c>
      <c r="B3035" t="s">
        <v>3964</v>
      </c>
      <c r="C3035" s="2" t="str">
        <f>HYPERLINK("http://snap.windin.com/ns/bulletin.php?id=491538&amp;type=1", "盛路通信：广东盛路通信科技股份有限公司首发招股说明书(申报稿)")</f>
        <v>盛路通信：广东盛路通信科技股份有限公司首发招股说明书(申报稿)</v>
      </c>
      <c r="D3035" t="s">
        <v>9400</v>
      </c>
      <c r="E3035" t="s">
        <v>5994</v>
      </c>
      <c r="F3035" t="s">
        <v>6602</v>
      </c>
    </row>
    <row r="3036" spans="1:6" x14ac:dyDescent="0.15">
      <c r="A3036" s="1">
        <v>39615</v>
      </c>
      <c r="B3036" t="s">
        <v>4261</v>
      </c>
      <c r="C3036" s="2" t="str">
        <f>HYPERLINK("http://snap.windin.com/ns/bulletin.php?id=1044895&amp;type=1", "法因数控：山东法因数控机械股份有限公司首发招股说明书（申报稿）")</f>
        <v>法因数控：山东法因数控机械股份有限公司首发招股说明书（申报稿）</v>
      </c>
      <c r="D3036" t="s">
        <v>9401</v>
      </c>
      <c r="E3036" t="s">
        <v>6536</v>
      </c>
      <c r="F3036" t="s">
        <v>6603</v>
      </c>
    </row>
    <row r="3037" spans="1:6" x14ac:dyDescent="0.15">
      <c r="A3037" s="1">
        <v>39612</v>
      </c>
      <c r="B3037" t="s">
        <v>4276</v>
      </c>
      <c r="C3037" s="2" t="str">
        <f>HYPERLINK("http://snap.windin.com/ns/bulletin.php?id=160933&amp;type=1", "海陆重工：首次公开发行股票招股说明书")</f>
        <v>海陆重工：首次公开发行股票招股说明书</v>
      </c>
      <c r="D3037" t="s">
        <v>9402</v>
      </c>
      <c r="E3037" t="s">
        <v>6604</v>
      </c>
      <c r="F3037" t="s">
        <v>399</v>
      </c>
    </row>
    <row r="3038" spans="1:6" x14ac:dyDescent="0.15">
      <c r="A3038" s="1">
        <v>39612</v>
      </c>
      <c r="B3038" t="s">
        <v>4277</v>
      </c>
      <c r="C3038" s="2" t="str">
        <f>HYPERLINK("http://snap.windin.com/ns/bulletin.php?id=1938495&amp;type=1", "彩虹精化：首次公开发行股票招股说明书")</f>
        <v>彩虹精化：首次公开发行股票招股说明书</v>
      </c>
      <c r="D3038" t="s">
        <v>9403</v>
      </c>
      <c r="E3038" t="s">
        <v>6605</v>
      </c>
      <c r="F3038" t="s">
        <v>399</v>
      </c>
    </row>
    <row r="3039" spans="1:6" x14ac:dyDescent="0.15">
      <c r="A3039" s="1">
        <v>39612</v>
      </c>
      <c r="B3039" t="s">
        <v>4278</v>
      </c>
      <c r="C3039" s="2" t="str">
        <f>HYPERLINK("http://snap.windin.com/ns/bulletin.php?id=763926&amp;type=1", "烟台氨纶：首次公开发行股票招股说明书")</f>
        <v>烟台氨纶：首次公开发行股票招股说明书</v>
      </c>
      <c r="D3039" t="s">
        <v>9404</v>
      </c>
      <c r="E3039" t="s">
        <v>6606</v>
      </c>
      <c r="F3039" t="s">
        <v>399</v>
      </c>
    </row>
    <row r="3040" spans="1:6" x14ac:dyDescent="0.15">
      <c r="A3040" s="1">
        <v>39610</v>
      </c>
      <c r="B3040" t="s">
        <v>4260</v>
      </c>
      <c r="C3040" s="2" t="str">
        <f>HYPERLINK("http://snap.windin.com/ns/bulletin.php?id=1838840&amp;type=1", "东方雨虹：北京东方雨虹防水技术股份有限公司首发招股说明书(申报稿)")</f>
        <v>东方雨虹：北京东方雨虹防水技术股份有限公司首发招股说明书(申报稿)</v>
      </c>
      <c r="D3040" t="s">
        <v>9405</v>
      </c>
      <c r="E3040" t="s">
        <v>6264</v>
      </c>
      <c r="F3040" t="s">
        <v>6607</v>
      </c>
    </row>
    <row r="3041" spans="1:6" x14ac:dyDescent="0.15">
      <c r="A3041" s="1">
        <v>39609</v>
      </c>
      <c r="B3041" t="s">
        <v>4279</v>
      </c>
      <c r="C3041" s="2" t="str">
        <f>HYPERLINK("http://snap.windin.com/ns/bulletin.php?id=659312&amp;type=1", "上海莱士：首次公开发行股票招股说明书")</f>
        <v>上海莱士：首次公开发行股票招股说明书</v>
      </c>
      <c r="D3041" t="s">
        <v>9406</v>
      </c>
      <c r="E3041" t="s">
        <v>6608</v>
      </c>
      <c r="F3041" t="s">
        <v>399</v>
      </c>
    </row>
    <row r="3042" spans="1:6" x14ac:dyDescent="0.15">
      <c r="A3042" s="1">
        <v>39609</v>
      </c>
      <c r="B3042" t="s">
        <v>4280</v>
      </c>
      <c r="C3042" s="2" t="str">
        <f>HYPERLINK("http://snap.windin.com/ns/bulletin.php?id=1485353&amp;type=1", "川大智胜：首次公开发行股票招股说明书")</f>
        <v>川大智胜：首次公开发行股票招股说明书</v>
      </c>
      <c r="D3042" t="s">
        <v>9407</v>
      </c>
      <c r="E3042" t="s">
        <v>6609</v>
      </c>
      <c r="F3042" t="s">
        <v>399</v>
      </c>
    </row>
    <row r="3043" spans="1:6" x14ac:dyDescent="0.15">
      <c r="A3043" s="1">
        <v>39604</v>
      </c>
      <c r="B3043" t="s">
        <v>4281</v>
      </c>
      <c r="C3043" s="2" t="str">
        <f>HYPERLINK("http://snap.windin.com/ns/bulletin.php?id=939393&amp;type=1", "步 步 高：首次公开发行股票（A股）招股说明书")</f>
        <v>步 步 高：首次公开发行股票（A股）招股说明书</v>
      </c>
      <c r="D3043" t="s">
        <v>9408</v>
      </c>
      <c r="E3043" t="s">
        <v>6610</v>
      </c>
      <c r="F3043" t="s">
        <v>661</v>
      </c>
    </row>
    <row r="3044" spans="1:6" x14ac:dyDescent="0.15">
      <c r="A3044" s="1">
        <v>39603</v>
      </c>
      <c r="B3044" t="s">
        <v>4282</v>
      </c>
      <c r="C3044" s="2" t="str">
        <f>HYPERLINK("http://snap.windin.com/ns/bulletin.php?id=155937&amp;type=1", "联化科技：首次公开发行股票招股说明书")</f>
        <v>联化科技：首次公开发行股票招股说明书</v>
      </c>
      <c r="D3044" t="s">
        <v>9409</v>
      </c>
      <c r="E3044" t="s">
        <v>6611</v>
      </c>
      <c r="F3044" t="s">
        <v>399</v>
      </c>
    </row>
    <row r="3045" spans="1:6" x14ac:dyDescent="0.15">
      <c r="A3045" s="1">
        <v>39603</v>
      </c>
      <c r="B3045" t="s">
        <v>4283</v>
      </c>
      <c r="C3045" s="2" t="str">
        <f>HYPERLINK("http://snap.windin.com/ns/bulletin.php?id=1292446&amp;type=1", "晨鸣纸业：关于刊发H股招股说明书、H股发行价格区间及H股香港公开发售等相关事宜的公告")</f>
        <v>晨鸣纸业：关于刊发H股招股说明书、H股发行价格区间及H股香港公开发售等相关事宜的公告</v>
      </c>
      <c r="D3045" t="s">
        <v>9410</v>
      </c>
      <c r="E3045" t="s">
        <v>6612</v>
      </c>
      <c r="F3045" t="s">
        <v>873</v>
      </c>
    </row>
    <row r="3046" spans="1:6" x14ac:dyDescent="0.15">
      <c r="A3046" s="1">
        <v>39603</v>
      </c>
      <c r="B3046" t="s">
        <v>4284</v>
      </c>
      <c r="C3046" s="2" t="str">
        <f>HYPERLINK("http://snap.windin.com/ns/bulletin.php?id=1291113&amp;type=1", "大洋电机：首次公开发行股票招股说明书")</f>
        <v>大洋电机：首次公开发行股票招股说明书</v>
      </c>
      <c r="D3046" t="s">
        <v>9411</v>
      </c>
      <c r="E3046" t="s">
        <v>6613</v>
      </c>
      <c r="F3046" t="s">
        <v>399</v>
      </c>
    </row>
    <row r="3047" spans="1:6" x14ac:dyDescent="0.15">
      <c r="A3047" s="1">
        <v>39601</v>
      </c>
      <c r="B3047" t="s">
        <v>4285</v>
      </c>
      <c r="C3047" s="2" t="str">
        <f>HYPERLINK("http://snap.windin.com/ns/bulletin.php?id=743954&amp;type=1", "华东数控：首次公开发行股票招股说明书")</f>
        <v>华东数控：首次公开发行股票招股说明书</v>
      </c>
      <c r="D3047" t="s">
        <v>9412</v>
      </c>
      <c r="E3047" t="s">
        <v>6614</v>
      </c>
      <c r="F3047" t="s">
        <v>399</v>
      </c>
    </row>
    <row r="3048" spans="1:6" x14ac:dyDescent="0.15">
      <c r="A3048" s="1">
        <v>39598</v>
      </c>
      <c r="B3048" t="s">
        <v>4264</v>
      </c>
      <c r="C3048" s="2" t="str">
        <f>HYPERLINK("http://snap.windin.com/ns/bulletin.php?id=558628&amp;type=1", "陕西天然气：陕西省天然气股份有限公司首发招股说明书(申报稿)")</f>
        <v>陕西天然气：陕西省天然气股份有限公司首发招股说明书(申报稿)</v>
      </c>
      <c r="D3048" t="s">
        <v>9413</v>
      </c>
      <c r="E3048" t="s">
        <v>6615</v>
      </c>
      <c r="F3048" t="s">
        <v>6616</v>
      </c>
    </row>
    <row r="3049" spans="1:6" x14ac:dyDescent="0.15">
      <c r="A3049" s="1">
        <v>39598</v>
      </c>
      <c r="B3049" t="s">
        <v>4249</v>
      </c>
      <c r="C3049" s="2" t="str">
        <f>HYPERLINK("http://snap.windin.com/ns/bulletin.php?id=1462940&amp;type=1", "中国建筑：中国建筑股份有限公司首发招股说明书(申报稿)")</f>
        <v>中国建筑：中国建筑股份有限公司首发招股说明书(申报稿)</v>
      </c>
      <c r="D3049" t="s">
        <v>9414</v>
      </c>
      <c r="E3049" t="s">
        <v>6617</v>
      </c>
      <c r="F3049" t="s">
        <v>6618</v>
      </c>
    </row>
    <row r="3050" spans="1:6" x14ac:dyDescent="0.15">
      <c r="A3050" s="1">
        <v>39595</v>
      </c>
      <c r="B3050" t="s">
        <v>4286</v>
      </c>
      <c r="C3050" s="2" t="str">
        <f>HYPERLINK("http://snap.windin.com/ns/bulletin.php?id=697965&amp;type=1", "帝龙新材：首次公开发行股票招股说明书")</f>
        <v>帝龙新材：首次公开发行股票招股说明书</v>
      </c>
      <c r="D3050" t="s">
        <v>9415</v>
      </c>
      <c r="E3050" t="s">
        <v>6619</v>
      </c>
      <c r="F3050" t="s">
        <v>399</v>
      </c>
    </row>
    <row r="3051" spans="1:6" x14ac:dyDescent="0.15">
      <c r="A3051" s="1">
        <v>39594</v>
      </c>
      <c r="B3051" t="s">
        <v>4287</v>
      </c>
      <c r="C3051" s="2" t="str">
        <f>HYPERLINK("http://snap.windin.com/ns/bulletin.php?id=443764&amp;type=1", "北化股份：首次公开发行股票招股说明书")</f>
        <v>北化股份：首次公开发行股票招股说明书</v>
      </c>
      <c r="D3051" t="s">
        <v>9416</v>
      </c>
      <c r="E3051" t="s">
        <v>6620</v>
      </c>
      <c r="F3051" t="s">
        <v>399</v>
      </c>
    </row>
    <row r="3052" spans="1:6" x14ac:dyDescent="0.15">
      <c r="A3052" s="1">
        <v>39591</v>
      </c>
      <c r="B3052" t="s">
        <v>4288</v>
      </c>
      <c r="C3052" s="2" t="str">
        <f>HYPERLINK("http://snap.windin.com/ns/bulletin.php?id=1989319&amp;type=1", "澳洋顺昌：首次公开发行股票招股说明书")</f>
        <v>澳洋顺昌：首次公开发行股票招股说明书</v>
      </c>
      <c r="D3052" t="s">
        <v>9417</v>
      </c>
      <c r="E3052" t="s">
        <v>6621</v>
      </c>
      <c r="F3052" t="s">
        <v>399</v>
      </c>
    </row>
    <row r="3053" spans="1:6" x14ac:dyDescent="0.15">
      <c r="A3053" s="1">
        <v>39584</v>
      </c>
      <c r="B3053" t="s">
        <v>4289</v>
      </c>
      <c r="C3053" s="2" t="str">
        <f>HYPERLINK("http://snap.windin.com/ns/bulletin.php?id=186238&amp;type=1", "通产丽星：首次公开发行股票招股说明书")</f>
        <v>通产丽星：首次公开发行股票招股说明书</v>
      </c>
      <c r="D3053" t="s">
        <v>9418</v>
      </c>
      <c r="E3053" t="s">
        <v>6622</v>
      </c>
      <c r="F3053" t="s">
        <v>399</v>
      </c>
    </row>
    <row r="3054" spans="1:6" x14ac:dyDescent="0.15">
      <c r="A3054" s="1">
        <v>39584</v>
      </c>
      <c r="B3054" t="s">
        <v>4290</v>
      </c>
      <c r="C3054" s="2" t="str">
        <f>HYPERLINK("http://snap.windin.com/ns/bulletin.php?id=827930&amp;type=1", "滨江集团：首次公开发行股票招股说明书")</f>
        <v>滨江集团：首次公开发行股票招股说明书</v>
      </c>
      <c r="D3054" t="s">
        <v>9419</v>
      </c>
      <c r="E3054" t="s">
        <v>6623</v>
      </c>
      <c r="F3054" t="s">
        <v>399</v>
      </c>
    </row>
    <row r="3055" spans="1:6" x14ac:dyDescent="0.15">
      <c r="A3055" s="1">
        <v>39583</v>
      </c>
      <c r="B3055" t="s">
        <v>4291</v>
      </c>
      <c r="C3055" s="2" t="str">
        <f>HYPERLINK("http://snap.windin.com/ns/bulletin.php?id=1977322&amp;type=1", "九阳股份：首次公开发行股票招股说明书")</f>
        <v>九阳股份：首次公开发行股票招股说明书</v>
      </c>
      <c r="D3055" t="s">
        <v>9420</v>
      </c>
      <c r="E3055" t="s">
        <v>6624</v>
      </c>
      <c r="F3055" t="s">
        <v>399</v>
      </c>
    </row>
    <row r="3056" spans="1:6" x14ac:dyDescent="0.15">
      <c r="A3056" s="1">
        <v>39581</v>
      </c>
      <c r="B3056" t="s">
        <v>4292</v>
      </c>
      <c r="C3056" s="2" t="str">
        <f>HYPERLINK("http://snap.windin.com/ns/bulletin.php?id=1750052&amp;type=1", "歌尔声学：首次公开发行股票招股说明书")</f>
        <v>歌尔声学：首次公开发行股票招股说明书</v>
      </c>
      <c r="D3056" t="s">
        <v>9421</v>
      </c>
      <c r="E3056" t="s">
        <v>6625</v>
      </c>
      <c r="F3056" t="s">
        <v>399</v>
      </c>
    </row>
    <row r="3057" spans="1:6" x14ac:dyDescent="0.15">
      <c r="A3057" s="1">
        <v>39580</v>
      </c>
      <c r="B3057" t="s">
        <v>4293</v>
      </c>
      <c r="C3057" s="2" t="str">
        <f>HYPERLINK("http://snap.windin.com/ns/bulletin.php?id=87703&amp;type=1", "威华股份：首次公开发行股票招股说明书")</f>
        <v>威华股份：首次公开发行股票招股说明书</v>
      </c>
      <c r="D3057" t="s">
        <v>9422</v>
      </c>
      <c r="E3057" t="s">
        <v>6626</v>
      </c>
      <c r="F3057" t="s">
        <v>399</v>
      </c>
    </row>
    <row r="3058" spans="1:6" x14ac:dyDescent="0.15">
      <c r="A3058" s="1">
        <v>39577</v>
      </c>
      <c r="B3058" t="s">
        <v>4294</v>
      </c>
      <c r="C3058" s="2" t="str">
        <f>HYPERLINK("http://snap.windin.com/ns/bulletin.php?id=2090743&amp;type=1", "奥维通信：首次公开发行股票（A股）招股说明书")</f>
        <v>奥维通信：首次公开发行股票（A股）招股说明书</v>
      </c>
      <c r="D3058" t="s">
        <v>9423</v>
      </c>
      <c r="E3058" t="s">
        <v>6627</v>
      </c>
      <c r="F3058" t="s">
        <v>661</v>
      </c>
    </row>
    <row r="3059" spans="1:6" x14ac:dyDescent="0.15">
      <c r="A3059" s="1">
        <v>39577</v>
      </c>
      <c r="B3059" t="s">
        <v>4295</v>
      </c>
      <c r="C3059" s="2" t="str">
        <f>HYPERLINK("http://snap.windin.com/ns/bulletin.php?id=2076707&amp;type=1", "天威视讯：首次公开发行股票招股说明书")</f>
        <v>天威视讯：首次公开发行股票招股说明书</v>
      </c>
      <c r="D3059" t="s">
        <v>9424</v>
      </c>
      <c r="E3059" t="s">
        <v>6628</v>
      </c>
      <c r="F3059" t="s">
        <v>399</v>
      </c>
    </row>
    <row r="3060" spans="1:6" x14ac:dyDescent="0.15">
      <c r="A3060" s="1">
        <v>39577</v>
      </c>
      <c r="B3060" t="s">
        <v>4296</v>
      </c>
      <c r="C3060" s="2" t="str">
        <f>HYPERLINK("http://snap.windin.com/ns/bulletin.php?id=1113558&amp;type=1", "金 飞 达：首次公开发行股票招股说明书")</f>
        <v>金 飞 达：首次公开发行股票招股说明书</v>
      </c>
      <c r="D3060" t="s">
        <v>9425</v>
      </c>
      <c r="E3060" t="s">
        <v>6629</v>
      </c>
      <c r="F3060" t="s">
        <v>399</v>
      </c>
    </row>
    <row r="3061" spans="1:6" x14ac:dyDescent="0.15">
      <c r="A3061" s="1">
        <v>39575</v>
      </c>
      <c r="B3061" t="s">
        <v>4297</v>
      </c>
      <c r="C3061" s="2" t="str">
        <f>HYPERLINK("http://snap.windin.com/ns/bulletin.php?id=1980163&amp;type=1", "恒邦股份：首次公开发行股票招股说明书")</f>
        <v>恒邦股份：首次公开发行股票招股说明书</v>
      </c>
      <c r="D3061" t="s">
        <v>9426</v>
      </c>
      <c r="E3061" t="s">
        <v>6630</v>
      </c>
      <c r="F3061" t="s">
        <v>399</v>
      </c>
    </row>
    <row r="3062" spans="1:6" x14ac:dyDescent="0.15">
      <c r="A3062" s="1">
        <v>39574</v>
      </c>
      <c r="B3062" t="s">
        <v>4298</v>
      </c>
      <c r="C3062" s="2" t="str">
        <f>HYPERLINK("http://snap.windin.com/ns/bulletin.php?id=875600&amp;type=1", "赛马实业：赛马实业公开增发A股招股说明书")</f>
        <v>赛马实业：赛马实业公开增发A股招股说明书</v>
      </c>
      <c r="D3062" t="s">
        <v>9427</v>
      </c>
      <c r="E3062" t="s">
        <v>6631</v>
      </c>
      <c r="F3062" t="s">
        <v>6632</v>
      </c>
    </row>
    <row r="3063" spans="1:6" x14ac:dyDescent="0.15">
      <c r="A3063" s="1">
        <v>39573</v>
      </c>
      <c r="B3063" t="s">
        <v>4301</v>
      </c>
      <c r="C3063" s="2" t="str">
        <f>HYPERLINK("http://snap.windin.com/ns/bulletin.php?id=1970464&amp;type=1", "塔牌集团：首次公开发行股票招股说明书")</f>
        <v>塔牌集团：首次公开发行股票招股说明书</v>
      </c>
      <c r="D3063" t="s">
        <v>9428</v>
      </c>
      <c r="E3063" t="s">
        <v>6635</v>
      </c>
      <c r="F3063" t="s">
        <v>399</v>
      </c>
    </row>
    <row r="3064" spans="1:6" x14ac:dyDescent="0.15">
      <c r="A3064" s="1">
        <v>39573</v>
      </c>
      <c r="B3064" t="s">
        <v>4300</v>
      </c>
      <c r="C3064" s="2" t="str">
        <f>HYPERLINK("http://snap.windin.com/ns/bulletin.php?id=1894156&amp;type=1", "安妮股份：首次公开发行股票招股说明书")</f>
        <v>安妮股份：首次公开发行股票招股说明书</v>
      </c>
      <c r="D3064" t="s">
        <v>9429</v>
      </c>
      <c r="E3064" t="s">
        <v>6634</v>
      </c>
      <c r="F3064" t="s">
        <v>399</v>
      </c>
    </row>
    <row r="3065" spans="1:6" x14ac:dyDescent="0.15">
      <c r="A3065" s="1">
        <v>39573</v>
      </c>
      <c r="B3065" t="s">
        <v>4299</v>
      </c>
      <c r="C3065" s="2" t="str">
        <f>HYPERLINK("http://snap.windin.com/ns/bulletin.php?id=636439&amp;type=1", "民和股份：首次公开发行股票招股说明书")</f>
        <v>民和股份：首次公开发行股票招股说明书</v>
      </c>
      <c r="D3065" t="s">
        <v>9430</v>
      </c>
      <c r="E3065" t="s">
        <v>6633</v>
      </c>
      <c r="F3065" t="s">
        <v>399</v>
      </c>
    </row>
    <row r="3066" spans="1:6" x14ac:dyDescent="0.15">
      <c r="A3066" s="1">
        <v>39562</v>
      </c>
      <c r="B3066" t="s">
        <v>4302</v>
      </c>
      <c r="C3066" s="2" t="str">
        <f>HYPERLINK("http://snap.windin.com/ns/bulletin.php?id=1672846&amp;type=1", "启明信息：首次公开发行股票招股说明书")</f>
        <v>启明信息：首次公开发行股票招股说明书</v>
      </c>
      <c r="D3066" t="s">
        <v>9431</v>
      </c>
      <c r="E3066" t="s">
        <v>6636</v>
      </c>
      <c r="F3066" t="s">
        <v>399</v>
      </c>
    </row>
    <row r="3067" spans="1:6" x14ac:dyDescent="0.15">
      <c r="A3067" s="1">
        <v>39562</v>
      </c>
      <c r="B3067" t="s">
        <v>4304</v>
      </c>
      <c r="C3067" s="2" t="str">
        <f>HYPERLINK("http://snap.windin.com/ns/bulletin.php?id=2029243&amp;type=1", "紫金矿业招股说明书")</f>
        <v>紫金矿业招股说明书</v>
      </c>
      <c r="D3067" t="s">
        <v>9432</v>
      </c>
      <c r="E3067" t="s">
        <v>4463</v>
      </c>
    </row>
    <row r="3068" spans="1:6" x14ac:dyDescent="0.15">
      <c r="A3068" s="1">
        <v>39562</v>
      </c>
      <c r="B3068" t="s">
        <v>4303</v>
      </c>
      <c r="C3068" s="2" t="str">
        <f>HYPERLINK("http://snap.windin.com/ns/bulletin.php?id=1438143&amp;type=1", "科大讯飞：首次公开发行股票招股说明书")</f>
        <v>科大讯飞：首次公开发行股票招股说明书</v>
      </c>
      <c r="D3068" t="s">
        <v>9433</v>
      </c>
      <c r="E3068" t="s">
        <v>6637</v>
      </c>
      <c r="F3068" t="s">
        <v>399</v>
      </c>
    </row>
    <row r="3069" spans="1:6" x14ac:dyDescent="0.15">
      <c r="A3069" s="1">
        <v>39561</v>
      </c>
      <c r="B3069" t="s">
        <v>4282</v>
      </c>
      <c r="C3069" s="2" t="str">
        <f>HYPERLINK("http://snap.windin.com/ns/bulletin.php?id=2103868&amp;type=1", "联化科技：联化科技股份有限公司首发招股说明书(申报稿)")</f>
        <v>联化科技：联化科技股份有限公司首发招股说明书(申报稿)</v>
      </c>
      <c r="D3069" t="s">
        <v>9434</v>
      </c>
      <c r="E3069" t="s">
        <v>6611</v>
      </c>
      <c r="F3069" t="s">
        <v>6638</v>
      </c>
    </row>
    <row r="3070" spans="1:6" x14ac:dyDescent="0.15">
      <c r="A3070" s="1">
        <v>39559</v>
      </c>
      <c r="B3070" t="s">
        <v>4269</v>
      </c>
      <c r="C3070" s="2" t="str">
        <f>HYPERLINK("http://snap.windin.com/ns/bulletin.php?id=1712300&amp;type=1", "新华都：福建新华都购物广场股份有限公司招股说明书(申报稿)")</f>
        <v>新华都：福建新华都购物广场股份有限公司招股说明书(申报稿)</v>
      </c>
      <c r="D3070" t="s">
        <v>9435</v>
      </c>
      <c r="E3070" t="s">
        <v>6639</v>
      </c>
      <c r="F3070" t="s">
        <v>6640</v>
      </c>
    </row>
    <row r="3071" spans="1:6" x14ac:dyDescent="0.15">
      <c r="A3071" s="1">
        <v>39559</v>
      </c>
      <c r="B3071" t="s">
        <v>4305</v>
      </c>
      <c r="C3071" s="2" t="str">
        <f>HYPERLINK("http://snap.windin.com/ns/bulletin.php?id=160012&amp;type=1", "奥 特 迅：首次公开发行股票招股说明书")</f>
        <v>奥 特 迅：首次公开发行股票招股说明书</v>
      </c>
      <c r="D3071" t="s">
        <v>9436</v>
      </c>
      <c r="E3071" t="s">
        <v>6641</v>
      </c>
      <c r="F3071" t="s">
        <v>399</v>
      </c>
    </row>
    <row r="3072" spans="1:6" x14ac:dyDescent="0.15">
      <c r="A3072" s="1">
        <v>39559</v>
      </c>
      <c r="B3072" t="s">
        <v>4306</v>
      </c>
      <c r="C3072" s="2" t="str">
        <f>HYPERLINK("http://snap.windin.com/ns/bulletin.php?id=179865&amp;type=1", "合兴包装：首次公开发行A股股票招股说明书")</f>
        <v>合兴包装：首次公开发行A股股票招股说明书</v>
      </c>
      <c r="D3072" t="s">
        <v>9437</v>
      </c>
      <c r="E3072" t="s">
        <v>6642</v>
      </c>
      <c r="F3072" t="s">
        <v>462</v>
      </c>
    </row>
    <row r="3073" spans="1:6" x14ac:dyDescent="0.15">
      <c r="A3073" s="1">
        <v>39559</v>
      </c>
      <c r="B3073" t="s">
        <v>4307</v>
      </c>
      <c r="C3073" s="2" t="str">
        <f>HYPERLINK("http://snap.windin.com/ns/bulletin.php?id=2105812&amp;type=1", "鸿博股份：首次公开发行股票招股说明书")</f>
        <v>鸿博股份：首次公开发行股票招股说明书</v>
      </c>
      <c r="D3073" t="s">
        <v>9438</v>
      </c>
      <c r="E3073" t="s">
        <v>6643</v>
      </c>
      <c r="F3073" t="s">
        <v>399</v>
      </c>
    </row>
    <row r="3074" spans="1:6" x14ac:dyDescent="0.15">
      <c r="A3074" s="1">
        <v>39559</v>
      </c>
      <c r="B3074" t="s">
        <v>4003</v>
      </c>
      <c r="C3074" s="2" t="str">
        <f>HYPERLINK("http://snap.windin.com/ns/bulletin.php?id=1897635&amp;type=1", "天虹商场：天虹商场股份有限公司首发招股说明书(申报稿)")</f>
        <v>天虹商场：天虹商场股份有限公司首发招股说明书(申报稿)</v>
      </c>
      <c r="D3074" t="s">
        <v>9439</v>
      </c>
      <c r="E3074" t="s">
        <v>6036</v>
      </c>
      <c r="F3074" t="s">
        <v>6644</v>
      </c>
    </row>
    <row r="3075" spans="1:6" x14ac:dyDescent="0.15">
      <c r="A3075" s="1">
        <v>39559</v>
      </c>
      <c r="B3075" t="s">
        <v>4275</v>
      </c>
      <c r="C3075" s="2" t="str">
        <f>HYPERLINK("http://snap.windin.com/ns/bulletin.php?id=1092168&amp;type=1", "利尔化学：利尔化学股份有限公司首发招股说明书(申报稿)")</f>
        <v>利尔化学：利尔化学股份有限公司首发招股说明书(申报稿)</v>
      </c>
      <c r="D3075" t="s">
        <v>9440</v>
      </c>
      <c r="E3075" t="s">
        <v>6587</v>
      </c>
      <c r="F3075" t="s">
        <v>6645</v>
      </c>
    </row>
    <row r="3076" spans="1:6" x14ac:dyDescent="0.15">
      <c r="A3076" s="1">
        <v>39559</v>
      </c>
      <c r="B3076" t="s">
        <v>4274</v>
      </c>
      <c r="C3076" s="2" t="str">
        <f>HYPERLINK("http://snap.windin.com/ns/bulletin.php?id=969475&amp;type=1", "伊立浦：广东伊立浦电器股份有限公司首发招股说明书(申报稿)")</f>
        <v>伊立浦：广东伊立浦电器股份有限公司首发招股说明书(申报稿)</v>
      </c>
      <c r="D3076" t="s">
        <v>9441</v>
      </c>
      <c r="E3076" t="s">
        <v>6646</v>
      </c>
      <c r="F3076" t="s">
        <v>6647</v>
      </c>
    </row>
    <row r="3077" spans="1:6" x14ac:dyDescent="0.15">
      <c r="A3077" s="1">
        <v>39556</v>
      </c>
      <c r="B3077" t="s">
        <v>4271</v>
      </c>
      <c r="C3077" s="2" t="str">
        <f>HYPERLINK("http://snap.windin.com/ns/bulletin.php?id=1649311&amp;type=1", "恩华药业：江苏恩华药业股份有限公司首发招股说明书(申报稿)")</f>
        <v>恩华药业：江苏恩华药业股份有限公司首发招股说明书(申报稿)</v>
      </c>
      <c r="D3077" t="s">
        <v>9442</v>
      </c>
      <c r="E3077" t="s">
        <v>6568</v>
      </c>
      <c r="F3077" t="s">
        <v>6648</v>
      </c>
    </row>
    <row r="3078" spans="1:6" x14ac:dyDescent="0.15">
      <c r="A3078" s="1">
        <v>39556</v>
      </c>
      <c r="B3078" t="s">
        <v>4273</v>
      </c>
      <c r="C3078" s="2" t="str">
        <f>HYPERLINK("http://snap.windin.com/ns/bulletin.php?id=168347&amp;type=1", "升达林业：四川升达林业产业股份有限公司首发招股说明书(申报稿)")</f>
        <v>升达林业：四川升达林业产业股份有限公司首发招股说明书(申报稿)</v>
      </c>
      <c r="D3078" t="s">
        <v>9443</v>
      </c>
      <c r="E3078" t="s">
        <v>6575</v>
      </c>
      <c r="F3078" t="s">
        <v>6649</v>
      </c>
    </row>
    <row r="3079" spans="1:6" x14ac:dyDescent="0.15">
      <c r="A3079" s="1">
        <v>39556</v>
      </c>
      <c r="B3079" t="s">
        <v>4104</v>
      </c>
      <c r="C3079" s="2" t="str">
        <f>HYPERLINK("http://snap.windin.com/ns/bulletin.php?id=1534535&amp;type=1", "二重装备：二重集团（德阳）重型装备股份有限公司首发招股说明书(申报稿)")</f>
        <v>二重装备：二重集团（德阳）重型装备股份有限公司首发招股说明书(申报稿)</v>
      </c>
      <c r="D3079" t="s">
        <v>9444</v>
      </c>
      <c r="E3079" t="s">
        <v>6340</v>
      </c>
      <c r="F3079" t="s">
        <v>6650</v>
      </c>
    </row>
    <row r="3080" spans="1:6" x14ac:dyDescent="0.15">
      <c r="A3080" s="1">
        <v>39554</v>
      </c>
      <c r="B3080" t="s">
        <v>4276</v>
      </c>
      <c r="C3080" s="2" t="str">
        <f>HYPERLINK("http://snap.windin.com/ns/bulletin.php?id=500400&amp;type=1", "海陆重工：苏州海陆重工股份有限公司首发招股说明书(申报稿)")</f>
        <v>海陆重工：苏州海陆重工股份有限公司首发招股说明书(申报稿)</v>
      </c>
      <c r="D3080" t="s">
        <v>9445</v>
      </c>
      <c r="E3080" t="s">
        <v>6604</v>
      </c>
      <c r="F3080" t="s">
        <v>6651</v>
      </c>
    </row>
    <row r="3081" spans="1:6" x14ac:dyDescent="0.15">
      <c r="A3081" s="1">
        <v>39554</v>
      </c>
      <c r="B3081" t="s">
        <v>4272</v>
      </c>
      <c r="C3081" s="2" t="str">
        <f>HYPERLINK("http://snap.windin.com/ns/bulletin.php?id=1278218&amp;type=1", "拓维股份：湖南拓维信息系统股份有限公司首发招股说明书(申报稿)")</f>
        <v>拓维股份：湖南拓维信息系统股份有限公司首发招股说明书(申报稿)</v>
      </c>
      <c r="D3081" t="s">
        <v>9446</v>
      </c>
      <c r="E3081" t="s">
        <v>6652</v>
      </c>
      <c r="F3081" t="s">
        <v>6653</v>
      </c>
    </row>
    <row r="3082" spans="1:6" x14ac:dyDescent="0.15">
      <c r="A3082" s="1">
        <v>39554</v>
      </c>
      <c r="B3082" t="s">
        <v>4308</v>
      </c>
      <c r="C3082" s="2" t="str">
        <f>HYPERLINK("http://snap.windin.com/ns/bulletin.php?id=1008804&amp;type=1", "金钼股份招股说明书")</f>
        <v>金钼股份招股说明书</v>
      </c>
      <c r="D3082" t="s">
        <v>9447</v>
      </c>
      <c r="E3082" t="s">
        <v>4464</v>
      </c>
    </row>
    <row r="3083" spans="1:6" x14ac:dyDescent="0.15">
      <c r="A3083" s="1">
        <v>39552</v>
      </c>
      <c r="B3083" t="s">
        <v>4309</v>
      </c>
      <c r="C3083" s="2" t="str">
        <f>HYPERLINK("http://snap.windin.com/ns/bulletin.php?id=722608&amp;type=1", "濮耐股份：首次公开发行股票招股说明书")</f>
        <v>濮耐股份：首次公开发行股票招股说明书</v>
      </c>
      <c r="D3083" t="s">
        <v>9448</v>
      </c>
      <c r="E3083" t="s">
        <v>6654</v>
      </c>
      <c r="F3083" t="s">
        <v>399</v>
      </c>
    </row>
    <row r="3084" spans="1:6" x14ac:dyDescent="0.15">
      <c r="A3084" s="1">
        <v>39549</v>
      </c>
      <c r="B3084" t="s">
        <v>4277</v>
      </c>
      <c r="C3084" s="2" t="str">
        <f>HYPERLINK("http://snap.windin.com/ns/bulletin.php?id=1754179&amp;type=1", "彩虹化工：深圳市彩虹精细化工股份有限公司首发招股说明书(申报稿)")</f>
        <v>彩虹化工：深圳市彩虹精细化工股份有限公司首发招股说明书(申报稿)</v>
      </c>
      <c r="D3084" t="s">
        <v>9449</v>
      </c>
      <c r="E3084" t="s">
        <v>6655</v>
      </c>
      <c r="F3084" t="s">
        <v>6656</v>
      </c>
    </row>
    <row r="3085" spans="1:6" x14ac:dyDescent="0.15">
      <c r="A3085" s="1">
        <v>39547</v>
      </c>
      <c r="B3085" t="s">
        <v>4281</v>
      </c>
      <c r="C3085" s="2" t="str">
        <f>HYPERLINK("http://snap.windin.com/ns/bulletin.php?id=1649583&amp;type=1", "步步高：步步高商业连锁股份有限公司首发招股说明书(申报稿)")</f>
        <v>步步高：步步高商业连锁股份有限公司首发招股说明书(申报稿)</v>
      </c>
      <c r="D3085" t="s">
        <v>9450</v>
      </c>
      <c r="E3085" t="s">
        <v>6657</v>
      </c>
      <c r="F3085" t="s">
        <v>6658</v>
      </c>
    </row>
    <row r="3086" spans="1:6" x14ac:dyDescent="0.15">
      <c r="A3086" s="1">
        <v>39547</v>
      </c>
      <c r="B3086" t="s">
        <v>4257</v>
      </c>
      <c r="C3086" s="2" t="str">
        <f>HYPERLINK("http://snap.windin.com/ns/bulletin.php?id=563252&amp;type=1", "华昌化工：江苏华昌化工股份有限公司首发招股说明书(申报稿)")</f>
        <v>华昌化工：江苏华昌化工股份有限公司首发招股说明书(申报稿)</v>
      </c>
      <c r="D3086" t="s">
        <v>9451</v>
      </c>
      <c r="E3086" t="s">
        <v>6261</v>
      </c>
      <c r="F3086" t="s">
        <v>6659</v>
      </c>
    </row>
    <row r="3087" spans="1:6" x14ac:dyDescent="0.15">
      <c r="A3087" s="1">
        <v>39547</v>
      </c>
      <c r="B3087" t="s">
        <v>3909</v>
      </c>
      <c r="C3087" s="2" t="str">
        <f>HYPERLINK("http://snap.windin.com/ns/bulletin.php?id=1116284&amp;type=1", "二六三网：二六三网络通信股份有限公司首发招股说明书(申报稿)")</f>
        <v>二六三网：二六三网络通信股份有限公司首发招股说明书(申报稿)</v>
      </c>
      <c r="D3087" t="s">
        <v>9452</v>
      </c>
      <c r="E3087" t="s">
        <v>6660</v>
      </c>
      <c r="F3087" t="s">
        <v>6661</v>
      </c>
    </row>
    <row r="3088" spans="1:6" x14ac:dyDescent="0.15">
      <c r="A3088" s="1">
        <v>39545</v>
      </c>
      <c r="B3088" t="s">
        <v>3776</v>
      </c>
      <c r="C3088" s="2" t="str">
        <f>HYPERLINK("http://snap.windin.com/ns/bulletin.php?id=1192888&amp;type=1", "四方继保：北京四方继保自动化股份有限公司首发招股说明书(申报稿)")</f>
        <v>四方继保：北京四方继保自动化股份有限公司首发招股说明书(申报稿)</v>
      </c>
      <c r="D3088" t="s">
        <v>9453</v>
      </c>
      <c r="E3088" t="s">
        <v>6662</v>
      </c>
      <c r="F3088" t="s">
        <v>6663</v>
      </c>
    </row>
    <row r="3089" spans="1:6" x14ac:dyDescent="0.15">
      <c r="A3089" s="1">
        <v>39545</v>
      </c>
      <c r="B3089" t="s">
        <v>4270</v>
      </c>
      <c r="C3089" s="2" t="str">
        <f>HYPERLINK("http://snap.windin.com/ns/bulletin.php?id=77560&amp;type=1", "东南包装：浙江大东南包装股份有限公司首发招股说明书(申报稿)")</f>
        <v>东南包装：浙江大东南包装股份有限公司首发招股说明书(申报稿)</v>
      </c>
      <c r="D3089" t="s">
        <v>9454</v>
      </c>
      <c r="E3089" t="s">
        <v>6664</v>
      </c>
      <c r="F3089" t="s">
        <v>6665</v>
      </c>
    </row>
    <row r="3090" spans="1:6" x14ac:dyDescent="0.15">
      <c r="A3090" s="1">
        <v>39545</v>
      </c>
      <c r="B3090" t="s">
        <v>3961</v>
      </c>
      <c r="C3090" s="2" t="str">
        <f>HYPERLINK("http://snap.windin.com/ns/bulletin.php?id=1860199&amp;type=1", "中原内配：河南省中原内配股份有限公司首发招股说明书(申报稿)")</f>
        <v>中原内配：河南省中原内配股份有限公司首发招股说明书(申报稿)</v>
      </c>
      <c r="D3090" t="s">
        <v>9455</v>
      </c>
      <c r="E3090" t="s">
        <v>5991</v>
      </c>
      <c r="F3090" t="s">
        <v>6666</v>
      </c>
    </row>
    <row r="3091" spans="1:6" x14ac:dyDescent="0.15">
      <c r="A3091" s="1">
        <v>39545</v>
      </c>
      <c r="B3091" t="s">
        <v>4310</v>
      </c>
      <c r="C3091" s="2" t="str">
        <f>HYPERLINK("http://snap.windin.com/ns/bulletin.php?id=1853642&amp;type=1", "鱼跃医疗：首次公开发行股票招股说明书")</f>
        <v>鱼跃医疗：首次公开发行股票招股说明书</v>
      </c>
      <c r="D3091" t="s">
        <v>9456</v>
      </c>
      <c r="E3091" t="s">
        <v>6667</v>
      </c>
      <c r="F3091" t="s">
        <v>399</v>
      </c>
    </row>
    <row r="3092" spans="1:6" x14ac:dyDescent="0.15">
      <c r="A3092" s="1">
        <v>39545</v>
      </c>
      <c r="B3092" t="s">
        <v>4285</v>
      </c>
      <c r="C3092" s="2" t="str">
        <f>HYPERLINK("http://snap.windin.com/ns/bulletin.php?id=1536645&amp;type=1", "华东数控：威海华东数控股份有限公司首发招股说明书(申报稿)")</f>
        <v>华东数控：威海华东数控股份有限公司首发招股说明书(申报稿)</v>
      </c>
      <c r="D3092" t="s">
        <v>9457</v>
      </c>
      <c r="E3092" t="s">
        <v>6614</v>
      </c>
      <c r="F3092" t="s">
        <v>6668</v>
      </c>
    </row>
    <row r="3093" spans="1:6" x14ac:dyDescent="0.15">
      <c r="A3093" s="1">
        <v>39535</v>
      </c>
      <c r="B3093" t="s">
        <v>4291</v>
      </c>
      <c r="C3093" s="2" t="str">
        <f>HYPERLINK("http://snap.windin.com/ns/bulletin.php?id=1698645&amp;type=1", "九阳股份有限公司首发招股说明书(申报稿)")</f>
        <v>九阳股份有限公司首发招股说明书(申报稿)</v>
      </c>
      <c r="D3093" t="s">
        <v>9458</v>
      </c>
      <c r="E3093" t="s">
        <v>4465</v>
      </c>
    </row>
    <row r="3094" spans="1:6" x14ac:dyDescent="0.15">
      <c r="A3094" s="1">
        <v>39535</v>
      </c>
      <c r="B3094" t="s">
        <v>4288</v>
      </c>
      <c r="C3094" s="2" t="str">
        <f>HYPERLINK("http://snap.windin.com/ns/bulletin.php?id=1689707&amp;type=1", "江苏澳洋顺昌金属材料股份有限公司首发招股说明书(申报稿)")</f>
        <v>江苏澳洋顺昌金属材料股份有限公司首发招股说明书(申报稿)</v>
      </c>
      <c r="D3094" t="s">
        <v>9459</v>
      </c>
      <c r="E3094" t="s">
        <v>4466</v>
      </c>
    </row>
    <row r="3095" spans="1:6" x14ac:dyDescent="0.15">
      <c r="A3095" s="1">
        <v>39535</v>
      </c>
      <c r="B3095" t="s">
        <v>4292</v>
      </c>
      <c r="C3095" s="2" t="str">
        <f>HYPERLINK("http://snap.windin.com/ns/bulletin.php?id=1799996&amp;type=1", "歌尔声学股份有限公司首发招股说明书(申报稿)")</f>
        <v>歌尔声学股份有限公司首发招股说明书(申报稿)</v>
      </c>
      <c r="D3095" t="s">
        <v>9460</v>
      </c>
      <c r="E3095" t="s">
        <v>4467</v>
      </c>
    </row>
    <row r="3096" spans="1:6" x14ac:dyDescent="0.15">
      <c r="A3096" s="1">
        <v>39533</v>
      </c>
      <c r="B3096" t="s">
        <v>4295</v>
      </c>
      <c r="C3096" s="2" t="str">
        <f>HYPERLINK("http://snap.windin.com/ns/bulletin.php?id=125291&amp;type=1", "深圳市天威视讯股份有限公司首发招股说明书(申报稿)")</f>
        <v>深圳市天威视讯股份有限公司首发招股说明书(申报稿)</v>
      </c>
      <c r="D3096" t="s">
        <v>9461</v>
      </c>
      <c r="E3096" t="s">
        <v>4468</v>
      </c>
    </row>
    <row r="3097" spans="1:6" x14ac:dyDescent="0.15">
      <c r="A3097" s="1">
        <v>39533</v>
      </c>
      <c r="B3097" t="s">
        <v>4296</v>
      </c>
      <c r="C3097" s="2" t="str">
        <f>HYPERLINK("http://snap.windin.com/ns/bulletin.php?id=494154&amp;type=1", "江苏金飞达服装股份有限公司首发招股说明书(申报稿)")</f>
        <v>江苏金飞达服装股份有限公司首发招股说明书(申报稿)</v>
      </c>
      <c r="D3097" t="s">
        <v>9462</v>
      </c>
      <c r="E3097" t="s">
        <v>4469</v>
      </c>
    </row>
    <row r="3098" spans="1:6" x14ac:dyDescent="0.15">
      <c r="A3098" s="1">
        <v>39533</v>
      </c>
      <c r="B3098" t="s">
        <v>4286</v>
      </c>
      <c r="C3098" s="2" t="str">
        <f>HYPERLINK("http://snap.windin.com/ns/bulletin.php?id=1596805&amp;type=1", "浙江帝龙新材料股份有限公司首发招股说明书(申报稿)")</f>
        <v>浙江帝龙新材料股份有限公司首发招股说明书(申报稿)</v>
      </c>
      <c r="D3098" t="s">
        <v>9463</v>
      </c>
      <c r="E3098" t="s">
        <v>4470</v>
      </c>
    </row>
    <row r="3099" spans="1:6" x14ac:dyDescent="0.15">
      <c r="A3099" s="1">
        <v>39531</v>
      </c>
      <c r="B3099" t="s">
        <v>4293</v>
      </c>
      <c r="C3099" s="2" t="str">
        <f>HYPERLINK("http://snap.windin.com/ns/bulletin.php?id=496026&amp;type=1", "广东威华股份有限公司首发招股说明书(申报稿)")</f>
        <v>广东威华股份有限公司首发招股说明书(申报稿)</v>
      </c>
      <c r="D3099" t="s">
        <v>9464</v>
      </c>
      <c r="E3099" t="s">
        <v>4471</v>
      </c>
    </row>
    <row r="3100" spans="1:6" x14ac:dyDescent="0.15">
      <c r="A3100" s="1">
        <v>39531</v>
      </c>
      <c r="B3100" t="s">
        <v>4266</v>
      </c>
      <c r="C3100" s="2" t="str">
        <f>HYPERLINK("http://snap.windin.com/ns/bulletin.php?id=425683&amp;type=1", "云南西仪工业股份有限公司首发招股说明书(申报稿)")</f>
        <v>云南西仪工业股份有限公司首发招股说明书(申报稿)</v>
      </c>
      <c r="D3100" t="s">
        <v>9465</v>
      </c>
      <c r="E3100" t="s">
        <v>4472</v>
      </c>
    </row>
    <row r="3101" spans="1:6" x14ac:dyDescent="0.15">
      <c r="A3101" s="1">
        <v>39531</v>
      </c>
      <c r="B3101" t="s">
        <v>4279</v>
      </c>
      <c r="C3101" s="2" t="str">
        <f>HYPERLINK("http://snap.windin.com/ns/bulletin.php?id=1875361&amp;type=1", "上海莱士血液制品股份有限公司首发招股说明书(申报稿)")</f>
        <v>上海莱士血液制品股份有限公司首发招股说明书(申报稿)</v>
      </c>
      <c r="D3101" t="s">
        <v>9466</v>
      </c>
      <c r="E3101" t="s">
        <v>4473</v>
      </c>
    </row>
    <row r="3102" spans="1:6" x14ac:dyDescent="0.15">
      <c r="A3102" s="1">
        <v>39527</v>
      </c>
      <c r="B3102" t="s">
        <v>4311</v>
      </c>
      <c r="C3102" s="2" t="str">
        <f>HYPERLINK("http://snap.windin.com/ns/bulletin.php?id=1869399&amp;type=1", "浙江大华技术股份有限公司首发招股说明书(申报稿)")</f>
        <v>浙江大华技术股份有限公司首发招股说明书(申报稿)</v>
      </c>
      <c r="D3102" t="s">
        <v>9467</v>
      </c>
      <c r="E3102" t="s">
        <v>4474</v>
      </c>
    </row>
    <row r="3103" spans="1:6" x14ac:dyDescent="0.15">
      <c r="A3103" s="1">
        <v>39526</v>
      </c>
      <c r="B3103" t="s">
        <v>4301</v>
      </c>
      <c r="C3103" s="2" t="str">
        <f>HYPERLINK("http://snap.windin.com/ns/bulletin.php?id=663789&amp;type=1", "广东塔牌集团股份有限公司首发招股说明书(申报稿)")</f>
        <v>广东塔牌集团股份有限公司首发招股说明书(申报稿)</v>
      </c>
      <c r="D3103" t="s">
        <v>9468</v>
      </c>
      <c r="E3103" t="s">
        <v>4475</v>
      </c>
    </row>
    <row r="3104" spans="1:6" x14ac:dyDescent="0.15">
      <c r="A3104" s="1">
        <v>39526</v>
      </c>
      <c r="B3104" t="s">
        <v>4289</v>
      </c>
      <c r="C3104" s="2" t="str">
        <f>HYPERLINK("http://snap.windin.com/ns/bulletin.php?id=1925132&amp;type=1", "深圳市通产丽星股份有限公司首发招股说明书(申报稿)")</f>
        <v>深圳市通产丽星股份有限公司首发招股说明书(申报稿)</v>
      </c>
      <c r="D3104" t="s">
        <v>9469</v>
      </c>
      <c r="E3104" t="s">
        <v>4476</v>
      </c>
    </row>
    <row r="3105" spans="1:6" x14ac:dyDescent="0.15">
      <c r="A3105" s="1">
        <v>39524</v>
      </c>
      <c r="B3105" t="s">
        <v>4299</v>
      </c>
      <c r="C3105" s="2" t="str">
        <f>HYPERLINK("http://snap.windin.com/ns/bulletin.php?id=1376208&amp;type=1", "山东民和牧业股份有限公司首发招股说明书(申报稿)")</f>
        <v>山东民和牧业股份有限公司首发招股说明书(申报稿)</v>
      </c>
      <c r="D3105" t="s">
        <v>9470</v>
      </c>
      <c r="E3105" t="s">
        <v>4477</v>
      </c>
    </row>
    <row r="3106" spans="1:6" x14ac:dyDescent="0.15">
      <c r="A3106" s="1">
        <v>39524</v>
      </c>
      <c r="B3106" t="s">
        <v>4280</v>
      </c>
      <c r="C3106" s="2" t="str">
        <f>HYPERLINK("http://snap.windin.com/ns/bulletin.php?id=1462655&amp;type=1", "四川川大智胜软件股份有限公司首发招股说明书(申报稿)")</f>
        <v>四川川大智胜软件股份有限公司首发招股说明书(申报稿)</v>
      </c>
      <c r="D3106" t="s">
        <v>9471</v>
      </c>
      <c r="E3106" t="s">
        <v>4478</v>
      </c>
    </row>
    <row r="3107" spans="1:6" x14ac:dyDescent="0.15">
      <c r="A3107" s="1">
        <v>39524</v>
      </c>
      <c r="B3107" t="s">
        <v>4287</v>
      </c>
      <c r="C3107" s="2" t="str">
        <f>HYPERLINK("http://snap.windin.com/ns/bulletin.php?id=805497&amp;type=1", "四川北方硝化棉股份有限公司首发招股说明书(申报稿)")</f>
        <v>四川北方硝化棉股份有限公司首发招股说明书(申报稿)</v>
      </c>
      <c r="D3107" t="s">
        <v>9472</v>
      </c>
      <c r="E3107" t="s">
        <v>4479</v>
      </c>
    </row>
    <row r="3108" spans="1:6" x14ac:dyDescent="0.15">
      <c r="A3108" s="1">
        <v>39519</v>
      </c>
      <c r="B3108" t="s">
        <v>4307</v>
      </c>
      <c r="C3108" s="2" t="str">
        <f>HYPERLINK("http://snap.windin.com/ns/bulletin.php?id=1858501&amp;type=1", "福建鸿博印刷股份有限公司首发招股说明书(申报稿)")</f>
        <v>福建鸿博印刷股份有限公司首发招股说明书(申报稿)</v>
      </c>
      <c r="D3108" t="s">
        <v>9473</v>
      </c>
      <c r="E3108" t="s">
        <v>4480</v>
      </c>
    </row>
    <row r="3109" spans="1:6" x14ac:dyDescent="0.15">
      <c r="A3109" s="1">
        <v>39519</v>
      </c>
      <c r="B3109" t="s">
        <v>4284</v>
      </c>
      <c r="C3109" s="2" t="str">
        <f>HYPERLINK("http://snap.windin.com/ns/bulletin.php?id=851015&amp;type=1", "中山大洋电机股份有限公司首发招股说明书(申报稿)")</f>
        <v>中山大洋电机股份有限公司首发招股说明书(申报稿)</v>
      </c>
      <c r="D3109" t="s">
        <v>9474</v>
      </c>
      <c r="E3109" t="s">
        <v>4481</v>
      </c>
    </row>
    <row r="3110" spans="1:6" x14ac:dyDescent="0.15">
      <c r="A3110" s="1">
        <v>39517</v>
      </c>
      <c r="B3110" t="s">
        <v>4302</v>
      </c>
      <c r="C3110" s="2" t="str">
        <f>HYPERLINK("http://snap.windin.com/ns/bulletin.php?id=142929&amp;type=1", "启明信息技术股份有限公司首发招股说明书(申报稿)")</f>
        <v>启明信息技术股份有限公司首发招股说明书(申报稿)</v>
      </c>
      <c r="D3110" t="s">
        <v>9475</v>
      </c>
      <c r="E3110" t="s">
        <v>4482</v>
      </c>
    </row>
    <row r="3111" spans="1:6" x14ac:dyDescent="0.15">
      <c r="A3111" s="1">
        <v>39517</v>
      </c>
      <c r="B3111" t="s">
        <v>4294</v>
      </c>
      <c r="C3111" s="2" t="str">
        <f>HYPERLINK("http://snap.windin.com/ns/bulletin.php?id=419888&amp;type=1", "奥维通信股份有限公司首发招股说明书(申报稿)")</f>
        <v>奥维通信股份有限公司首发招股说明书(申报稿)</v>
      </c>
      <c r="D3111" t="s">
        <v>9476</v>
      </c>
      <c r="E3111" t="s">
        <v>4483</v>
      </c>
    </row>
    <row r="3112" spans="1:6" x14ac:dyDescent="0.15">
      <c r="A3112" s="1">
        <v>39514</v>
      </c>
      <c r="B3112" t="s">
        <v>4312</v>
      </c>
      <c r="C3112" s="2" t="str">
        <f>HYPERLINK("http://snap.windin.com/ns/bulletin.php?id=1172450&amp;type=1", "中国铁建招股说明书")</f>
        <v>中国铁建招股说明书</v>
      </c>
      <c r="D3112" t="s">
        <v>9477</v>
      </c>
      <c r="E3112" t="s">
        <v>4484</v>
      </c>
    </row>
    <row r="3113" spans="1:6" x14ac:dyDescent="0.15">
      <c r="A3113" s="1">
        <v>39512</v>
      </c>
      <c r="B3113" t="s">
        <v>4313</v>
      </c>
      <c r="C3113" s="2" t="str">
        <f>HYPERLINK("http://snap.windin.com/ns/bulletin.php?id=758597&amp;type=1", "福晶科技首次公开发行股票招股说明书")</f>
        <v>福晶科技首次公开发行股票招股说明书</v>
      </c>
      <c r="D3113" t="s">
        <v>9478</v>
      </c>
      <c r="E3113" t="s">
        <v>4485</v>
      </c>
    </row>
    <row r="3114" spans="1:6" x14ac:dyDescent="0.15">
      <c r="A3114" s="1">
        <v>39510</v>
      </c>
      <c r="B3114" t="s">
        <v>4300</v>
      </c>
      <c r="C3114" s="2" t="str">
        <f>HYPERLINK("http://snap.windin.com/ns/bulletin.php?id=136760&amp;type=1", "厦门安妮股份有限公司首发招股说明书(申报稿)")</f>
        <v>厦门安妮股份有限公司首发招股说明书(申报稿)</v>
      </c>
      <c r="D3114" t="s">
        <v>9479</v>
      </c>
      <c r="E3114" t="s">
        <v>4486</v>
      </c>
    </row>
    <row r="3115" spans="1:6" x14ac:dyDescent="0.15">
      <c r="A3115" s="1">
        <v>39505</v>
      </c>
      <c r="B3115" t="s">
        <v>4303</v>
      </c>
      <c r="C3115" s="2" t="str">
        <f>HYPERLINK("http://snap.windin.com/ns/bulletin.php?id=1528068&amp;type=1", "安徽科大讯飞信息科技股份有限公司首发招股说明书(申报稿)")</f>
        <v>安徽科大讯飞信息科技股份有限公司首发招股说明书(申报稿)</v>
      </c>
      <c r="D3115" t="s">
        <v>9480</v>
      </c>
      <c r="E3115" t="s">
        <v>4487</v>
      </c>
    </row>
    <row r="3116" spans="1:6" x14ac:dyDescent="0.15">
      <c r="A3116" s="1">
        <v>39505</v>
      </c>
      <c r="B3116" t="s">
        <v>4297</v>
      </c>
      <c r="C3116" s="2" t="str">
        <f>HYPERLINK("http://snap.windin.com/ns/bulletin.php?id=865663&amp;type=1", "山东恒邦冶炼股份有限公司首发招股说明书(申报稿)")</f>
        <v>山东恒邦冶炼股份有限公司首发招股说明书(申报稿)</v>
      </c>
      <c r="D3116" t="s">
        <v>9481</v>
      </c>
      <c r="E3116" t="s">
        <v>4488</v>
      </c>
    </row>
    <row r="3117" spans="1:6" x14ac:dyDescent="0.15">
      <c r="A3117" s="1">
        <v>39503</v>
      </c>
      <c r="B3117" t="s">
        <v>4290</v>
      </c>
      <c r="C3117" s="2" t="str">
        <f>HYPERLINK("http://snap.windin.com/ns/bulletin.php?id=1622251&amp;type=1", "杭州滨江房地产集团股份有限公司首发招股说明书(申报稿)")</f>
        <v>杭州滨江房地产集团股份有限公司首发招股说明书(申报稿)</v>
      </c>
      <c r="D3117" t="s">
        <v>9482</v>
      </c>
      <c r="E3117" t="s">
        <v>4489</v>
      </c>
    </row>
    <row r="3118" spans="1:6" x14ac:dyDescent="0.15">
      <c r="A3118" s="1">
        <v>39503</v>
      </c>
      <c r="B3118" t="s">
        <v>4306</v>
      </c>
      <c r="C3118" s="2" t="str">
        <f>HYPERLINK("http://snap.windin.com/ns/bulletin.php?id=106887&amp;type=1", "厦门合兴包装印刷股份有限公司首发招股说明书(申报稿)")</f>
        <v>厦门合兴包装印刷股份有限公司首发招股说明书(申报稿)</v>
      </c>
      <c r="D3118" t="s">
        <v>9483</v>
      </c>
      <c r="E3118" t="s">
        <v>4490</v>
      </c>
    </row>
    <row r="3119" spans="1:6" x14ac:dyDescent="0.15">
      <c r="A3119" s="1">
        <v>39503</v>
      </c>
      <c r="B3119" t="s">
        <v>4305</v>
      </c>
      <c r="C3119" s="2" t="str">
        <f>HYPERLINK("http://snap.windin.com/ns/bulletin.php?id=1558644&amp;type=1", "深圳奥特迅电力设备股份有限公司首发招股说明书(申报稿)")</f>
        <v>深圳奥特迅电力设备股份有限公司首发招股说明书(申报稿)</v>
      </c>
      <c r="D3119" t="s">
        <v>9484</v>
      </c>
      <c r="E3119" t="s">
        <v>4491</v>
      </c>
    </row>
    <row r="3120" spans="1:6" x14ac:dyDescent="0.15">
      <c r="A3120" s="1">
        <v>39499</v>
      </c>
      <c r="B3120" t="s">
        <v>4314</v>
      </c>
      <c r="C3120" s="2" t="str">
        <f>HYPERLINK("http://snap.windin.com/ns/bulletin.php?id=435529&amp;type=1", "东华能源：首次公开发行股票招股说明书")</f>
        <v>东华能源：首次公开发行股票招股说明书</v>
      </c>
      <c r="D3120" t="s">
        <v>9485</v>
      </c>
      <c r="E3120" t="s">
        <v>6669</v>
      </c>
      <c r="F3120" t="s">
        <v>399</v>
      </c>
    </row>
    <row r="3121" spans="1:6" x14ac:dyDescent="0.15">
      <c r="A3121" s="1">
        <v>39498</v>
      </c>
      <c r="B3121" t="s">
        <v>4309</v>
      </c>
      <c r="C3121" s="2" t="str">
        <f>HYPERLINK("http://snap.windin.com/ns/bulletin.php?id=1730697&amp;type=1", "濮阳濮耐高温材料(集团)股份有限公司首次公开发行股票招股说明书(申报稿)")</f>
        <v>濮阳濮耐高温材料(集团)股份有限公司首次公开发行股票招股说明书(申报稿)</v>
      </c>
      <c r="D3121" t="s">
        <v>9486</v>
      </c>
      <c r="E3121" t="s">
        <v>4492</v>
      </c>
    </row>
    <row r="3122" spans="1:6" x14ac:dyDescent="0.15">
      <c r="A3122" s="1">
        <v>39498</v>
      </c>
      <c r="B3122" t="s">
        <v>4310</v>
      </c>
      <c r="C3122" s="2" t="str">
        <f>HYPERLINK("http://snap.windin.com/ns/bulletin.php?id=1628086&amp;type=1", "江苏鱼跃医疗设备股份有限公司首发招股说明书(申报稿)")</f>
        <v>江苏鱼跃医疗设备股份有限公司首发招股说明书(申报稿)</v>
      </c>
      <c r="D3122" t="s">
        <v>9487</v>
      </c>
      <c r="E3122" t="s">
        <v>4493</v>
      </c>
    </row>
    <row r="3123" spans="1:6" x14ac:dyDescent="0.15">
      <c r="A3123" s="1">
        <v>39498</v>
      </c>
      <c r="B3123" t="s">
        <v>4315</v>
      </c>
      <c r="C3123" s="2" t="str">
        <f>HYPERLINK("http://snap.windin.com/ns/bulletin.php?id=749841&amp;type=1", "独一味首次公开发行股票招股说明书")</f>
        <v>独一味首次公开发行股票招股说明书</v>
      </c>
      <c r="D3123" t="s">
        <v>9488</v>
      </c>
      <c r="E3123" t="s">
        <v>4494</v>
      </c>
    </row>
    <row r="3124" spans="1:6" x14ac:dyDescent="0.15">
      <c r="A3124" s="1">
        <v>39492</v>
      </c>
      <c r="B3124" t="s">
        <v>4316</v>
      </c>
      <c r="C3124" s="2" t="str">
        <f>HYPERLINK("http://snap.windin.com/ns/bulletin.php?id=1394425&amp;type=1", "天宝股份：首次公开发行股票招股说明书")</f>
        <v>天宝股份：首次公开发行股票招股说明书</v>
      </c>
      <c r="D3124" t="s">
        <v>9489</v>
      </c>
      <c r="E3124" t="s">
        <v>6670</v>
      </c>
      <c r="F3124" t="s">
        <v>399</v>
      </c>
    </row>
    <row r="3125" spans="1:6" x14ac:dyDescent="0.15">
      <c r="A3125" s="1">
        <v>39478</v>
      </c>
      <c r="B3125" t="s">
        <v>4317</v>
      </c>
      <c r="C3125" s="2" t="str">
        <f>HYPERLINK("http://snap.windin.com/ns/bulletin.php?id=2003559&amp;type=1", "中煤能源招股说明书")</f>
        <v>中煤能源招股说明书</v>
      </c>
      <c r="D3125" t="s">
        <v>9490</v>
      </c>
      <c r="E3125" t="s">
        <v>4495</v>
      </c>
    </row>
    <row r="3126" spans="1:6" x14ac:dyDescent="0.15">
      <c r="A3126" s="1">
        <v>39477</v>
      </c>
      <c r="B3126" t="s">
        <v>4318</v>
      </c>
      <c r="C3126" s="2" t="str">
        <f>HYPERLINK("http://snap.windin.com/ns/bulletin.php?id=736352&amp;type=1", "联合化工首次公开发行股票招股说明书")</f>
        <v>联合化工首次公开发行股票招股说明书</v>
      </c>
      <c r="D3126" t="s">
        <v>9491</v>
      </c>
      <c r="E3126" t="s">
        <v>4496</v>
      </c>
    </row>
    <row r="3127" spans="1:6" x14ac:dyDescent="0.15">
      <c r="A3127" s="1">
        <v>39469</v>
      </c>
      <c r="B3127" t="s">
        <v>4319</v>
      </c>
      <c r="C3127" s="2" t="str">
        <f>HYPERLINK("http://snap.windin.com/ns/bulletin.php?id=730272&amp;type=1", "宏达新材首次公开发行股票招股说明书")</f>
        <v>宏达新材首次公开发行股票招股说明书</v>
      </c>
      <c r="D3127" t="s">
        <v>9492</v>
      </c>
      <c r="E3127" t="s">
        <v>4497</v>
      </c>
    </row>
    <row r="3128" spans="1:6" x14ac:dyDescent="0.15">
      <c r="A3128" s="1">
        <v>39468</v>
      </c>
      <c r="B3128" t="s">
        <v>4320</v>
      </c>
      <c r="C3128" s="2" t="str">
        <f>HYPERLINK("http://snap.windin.com/ns/bulletin.php?id=1398943&amp;type=1", "特尔佳：首次公开发行股票招股说明书")</f>
        <v>特尔佳：首次公开发行股票招股说明书</v>
      </c>
      <c r="D3128" t="s">
        <v>9493</v>
      </c>
      <c r="E3128" t="s">
        <v>6671</v>
      </c>
      <c r="F3128" t="s">
        <v>399</v>
      </c>
    </row>
    <row r="3129" spans="1:6" x14ac:dyDescent="0.15">
      <c r="A3129" s="1">
        <v>39468</v>
      </c>
      <c r="B3129" t="s">
        <v>4321</v>
      </c>
      <c r="C3129" s="2" t="str">
        <f>HYPERLINK("http://snap.windin.com/ns/bulletin.php?id=729426&amp;type=1", "南洋股份首次公开发行股票招股说明书")</f>
        <v>南洋股份首次公开发行股票招股说明书</v>
      </c>
      <c r="D3129" t="s">
        <v>9494</v>
      </c>
      <c r="E3129" t="s">
        <v>4498</v>
      </c>
    </row>
    <row r="3130" spans="1:6" x14ac:dyDescent="0.15">
      <c r="A3130" s="1">
        <v>39465</v>
      </c>
      <c r="B3130" t="s">
        <v>4312</v>
      </c>
      <c r="C3130" s="2" t="str">
        <f>HYPERLINK("http://snap.windin.com/ns/bulletin.php?id=1248170&amp;type=1", "中国铁建股份有限公司首次公开发行A股股票招股说明书(申报稿)")</f>
        <v>中国铁建股份有限公司首次公开发行A股股票招股说明书(申报稿)</v>
      </c>
      <c r="D3130" t="s">
        <v>9495</v>
      </c>
      <c r="E3130" t="s">
        <v>4499</v>
      </c>
    </row>
    <row r="3131" spans="1:6" x14ac:dyDescent="0.15">
      <c r="A3131" s="1">
        <v>39463</v>
      </c>
      <c r="B3131" t="s">
        <v>4322</v>
      </c>
      <c r="C3131" s="2" t="str">
        <f>HYPERLINK("http://snap.windin.com/ns/bulletin.php?id=726104&amp;type=1", "合肥城建首次公开发行股票招股说明书")</f>
        <v>合肥城建首次公开发行股票招股说明书</v>
      </c>
      <c r="D3131" t="s">
        <v>9496</v>
      </c>
      <c r="E3131" t="s">
        <v>4500</v>
      </c>
    </row>
    <row r="3132" spans="1:6" x14ac:dyDescent="0.15">
      <c r="A3132" s="1">
        <v>39463</v>
      </c>
      <c r="B3132" t="s">
        <v>4323</v>
      </c>
      <c r="C3132" s="2" t="str">
        <f>HYPERLINK("http://snap.windin.com/ns/bulletin.php?id=726100&amp;type=1", "准油股份首次公开发行股票招股说明书")</f>
        <v>准油股份首次公开发行股票招股说明书</v>
      </c>
      <c r="D3132" t="s">
        <v>9497</v>
      </c>
      <c r="E3132" t="s">
        <v>4501</v>
      </c>
    </row>
    <row r="3133" spans="1:6" x14ac:dyDescent="0.15">
      <c r="A3133" s="1">
        <v>39461</v>
      </c>
      <c r="B3133" t="s">
        <v>4308</v>
      </c>
      <c r="C3133" s="2" t="str">
        <f>HYPERLINK("http://snap.windin.com/ns/bulletin.php?id=168930&amp;type=1", "金堆城钼业股份有限公司首发招股说明书(申报稿)")</f>
        <v>金堆城钼业股份有限公司首发招股说明书(申报稿)</v>
      </c>
      <c r="D3133" t="s">
        <v>9498</v>
      </c>
      <c r="E3133" t="s">
        <v>4502</v>
      </c>
    </row>
    <row r="3134" spans="1:6" x14ac:dyDescent="0.15">
      <c r="A3134" s="1">
        <v>39461</v>
      </c>
      <c r="B3134" t="s">
        <v>4315</v>
      </c>
      <c r="C3134" s="2" t="str">
        <f>HYPERLINK("http://snap.windin.com/ns/bulletin.php?id=1111838&amp;type=1", "甘肃独一味生物制药股份有限公司首发招股说明书(申报稿)")</f>
        <v>甘肃独一味生物制药股份有限公司首发招股说明书(申报稿)</v>
      </c>
      <c r="D3134" t="s">
        <v>9499</v>
      </c>
      <c r="E3134" t="s">
        <v>4503</v>
      </c>
    </row>
    <row r="3135" spans="1:6" x14ac:dyDescent="0.15">
      <c r="A3135" s="1">
        <v>39461</v>
      </c>
      <c r="B3135" t="s">
        <v>4324</v>
      </c>
      <c r="C3135" s="2" t="str">
        <f>HYPERLINK("http://snap.windin.com/ns/bulletin.php?id=790283&amp;type=1", "浙江三力士橡胶股份有限公司首发招股说明书(申报稿)")</f>
        <v>浙江三力士橡胶股份有限公司首发招股说明书(申报稿)</v>
      </c>
      <c r="D3135" t="s">
        <v>9500</v>
      </c>
      <c r="E3135" t="s">
        <v>4504</v>
      </c>
    </row>
    <row r="3136" spans="1:6" x14ac:dyDescent="0.15">
      <c r="A3136" s="1">
        <v>39456</v>
      </c>
      <c r="B3136" t="s">
        <v>4314</v>
      </c>
      <c r="C3136" s="2" t="str">
        <f>HYPERLINK("http://snap.windin.com/ns/bulletin.php?id=1723100&amp;type=1", "张家港东华能源股份有限公司首发招股说明书(申报稿)")</f>
        <v>张家港东华能源股份有限公司首发招股说明书(申报稿)</v>
      </c>
      <c r="D3136" t="s">
        <v>9501</v>
      </c>
      <c r="E3136" t="s">
        <v>4505</v>
      </c>
    </row>
    <row r="3137" spans="1:6" x14ac:dyDescent="0.15">
      <c r="A3137" s="1">
        <v>39456</v>
      </c>
      <c r="B3137" t="s">
        <v>4316</v>
      </c>
      <c r="C3137" s="2" t="str">
        <f>HYPERLINK("http://snap.windin.com/ns/bulletin.php?id=626707&amp;type=1", "大连天宝绿色食品股份有限公司首发招股说明书(申报稿)")</f>
        <v>大连天宝绿色食品股份有限公司首发招股说明书(申报稿)</v>
      </c>
      <c r="D3137" t="s">
        <v>9502</v>
      </c>
      <c r="E3137" t="s">
        <v>4506</v>
      </c>
    </row>
    <row r="3138" spans="1:6" x14ac:dyDescent="0.15">
      <c r="A3138" s="1">
        <v>39454</v>
      </c>
      <c r="B3138" t="s">
        <v>4317</v>
      </c>
      <c r="C3138" s="2" t="str">
        <f>HYPERLINK("http://snap.windin.com/ns/bulletin.php?id=525520&amp;type=1", "中国中煤能源股份有限公司首次公开发行A股股票招股说明书(申报稿)")</f>
        <v>中国中煤能源股份有限公司首次公开发行A股股票招股说明书(申报稿)</v>
      </c>
      <c r="D3138" t="s">
        <v>9503</v>
      </c>
      <c r="E3138" t="s">
        <v>4507</v>
      </c>
    </row>
    <row r="3139" spans="1:6" x14ac:dyDescent="0.15">
      <c r="A3139" s="1">
        <v>39454</v>
      </c>
      <c r="B3139" t="s">
        <v>4313</v>
      </c>
      <c r="C3139" s="2" t="str">
        <f>HYPERLINK("http://snap.windin.com/ns/bulletin.php?id=1789361&amp;type=1", "福建福晶科技股份有限公司首发招股说明书(申报稿)")</f>
        <v>福建福晶科技股份有限公司首发招股说明书(申报稿)</v>
      </c>
      <c r="D3139" t="s">
        <v>9504</v>
      </c>
      <c r="E3139" t="s">
        <v>4508</v>
      </c>
    </row>
    <row r="3140" spans="1:6" x14ac:dyDescent="0.15">
      <c r="A3140" s="1">
        <v>39449</v>
      </c>
      <c r="B3140" t="s">
        <v>4325</v>
      </c>
      <c r="C3140" s="2" t="str">
        <f>HYPERLINK("http://snap.windin.com/ns/bulletin.php?id=470287&amp;type=1", "深圳市拓日新能源科技股份有限公司首发招股说明书(申报稿)")</f>
        <v>深圳市拓日新能源科技股份有限公司首发招股说明书(申报稿)</v>
      </c>
      <c r="D3140" t="s">
        <v>9505</v>
      </c>
      <c r="E3140" t="s">
        <v>4509</v>
      </c>
    </row>
    <row r="3141" spans="1:6" x14ac:dyDescent="0.15">
      <c r="A3141" s="1">
        <v>39449</v>
      </c>
      <c r="B3141" t="s">
        <v>4318</v>
      </c>
      <c r="C3141" s="2" t="str">
        <f>HYPERLINK("http://snap.windin.com/ns/bulletin.php?id=514643&amp;type=1", "山东联合化工股份有限公司首发招股说明书(申报稿)")</f>
        <v>山东联合化工股份有限公司首发招股说明书(申报稿)</v>
      </c>
      <c r="D3141" t="s">
        <v>9506</v>
      </c>
      <c r="E3141" t="s">
        <v>4510</v>
      </c>
    </row>
    <row r="3142" spans="1:6" x14ac:dyDescent="0.15">
      <c r="A3142" s="1">
        <v>39449</v>
      </c>
      <c r="B3142" t="s">
        <v>4326</v>
      </c>
      <c r="C3142" s="2" t="str">
        <f>HYPERLINK("http://snap.windin.com/ns/bulletin.php?id=504928&amp;type=1", "安徽江南化工股份有限公司首发招股说明书(申报稿)")</f>
        <v>安徽江南化工股份有限公司首发招股说明书(申报稿)</v>
      </c>
      <c r="D3142" t="s">
        <v>9507</v>
      </c>
      <c r="E3142" t="s">
        <v>4511</v>
      </c>
    </row>
    <row r="3143" spans="1:6" x14ac:dyDescent="0.15">
      <c r="A3143" s="1">
        <v>39449</v>
      </c>
      <c r="B3143" t="s">
        <v>4327</v>
      </c>
      <c r="C3143" s="2" t="str">
        <f>HYPERLINK("http://snap.windin.com/ns/bulletin.php?id=542951&amp;type=1", "华锐铸钢：首次公开发行股票招股说明书")</f>
        <v>华锐铸钢：首次公开发行股票招股说明书</v>
      </c>
      <c r="D3143" t="s">
        <v>9508</v>
      </c>
      <c r="E3143" t="s">
        <v>6672</v>
      </c>
      <c r="F3143" t="s">
        <v>399</v>
      </c>
    </row>
    <row r="3144" spans="1:6" x14ac:dyDescent="0.15">
      <c r="A3144" s="1">
        <v>39449</v>
      </c>
      <c r="B3144" t="s">
        <v>4328</v>
      </c>
      <c r="C3144" s="2" t="str">
        <f>HYPERLINK("http://snap.windin.com/ns/bulletin.php?id=605955&amp;type=1", "浙江大立科技股份有限公司首次公开发行股票招股说明书(申报稿)")</f>
        <v>浙江大立科技股份有限公司首次公开发行股票招股说明书(申报稿)</v>
      </c>
      <c r="D3144" t="s">
        <v>9509</v>
      </c>
      <c r="E3144" t="s">
        <v>4512</v>
      </c>
    </row>
    <row r="3145" spans="1:6" x14ac:dyDescent="0.15">
      <c r="A3145" s="1">
        <v>39449</v>
      </c>
      <c r="B3145" t="s">
        <v>4329</v>
      </c>
      <c r="C3145" s="2" t="str">
        <f>HYPERLINK("http://snap.windin.com/ns/bulletin.php?id=716845&amp;type=1", "海亮股份首次公开发行股票招股说明书")</f>
        <v>海亮股份首次公开发行股票招股说明书</v>
      </c>
      <c r="D3145" t="s">
        <v>9510</v>
      </c>
      <c r="E3145" t="s">
        <v>4513</v>
      </c>
    </row>
    <row r="3146" spans="1:6" x14ac:dyDescent="0.15">
      <c r="A3146" s="1">
        <v>39440</v>
      </c>
      <c r="B3146" t="s">
        <v>4330</v>
      </c>
      <c r="C3146" s="2" t="str">
        <f>HYPERLINK("http://snap.windin.com/ns/bulletin.php?id=1716449&amp;type=1", "深圳诺普信农化股份有限公司首发招股说明书(申报稿)")</f>
        <v>深圳诺普信农化股份有限公司首发招股说明书(申报稿)</v>
      </c>
      <c r="D3146" t="s">
        <v>9511</v>
      </c>
      <c r="E3146" t="s">
        <v>4514</v>
      </c>
    </row>
    <row r="3147" spans="1:6" x14ac:dyDescent="0.15">
      <c r="A3147" s="1">
        <v>39440</v>
      </c>
      <c r="B3147" t="s">
        <v>4168</v>
      </c>
      <c r="C3147" s="2" t="str">
        <f>HYPERLINK("http://snap.windin.com/ns/bulletin.php?id=2129018&amp;type=1", "中国太保招股说明书")</f>
        <v>中国太保招股说明书</v>
      </c>
      <c r="D3147" t="s">
        <v>9512</v>
      </c>
      <c r="E3147" t="s">
        <v>4515</v>
      </c>
    </row>
    <row r="3148" spans="1:6" x14ac:dyDescent="0.15">
      <c r="A3148" s="1">
        <v>39437</v>
      </c>
      <c r="B3148" t="s">
        <v>4321</v>
      </c>
      <c r="C3148" s="2" t="str">
        <f>HYPERLINK("http://snap.windin.com/ns/bulletin.php?id=1752956&amp;type=1", "广东南洋电缆集团股份有限公司首次公开发行股票招股说明书(申报稿)")</f>
        <v>广东南洋电缆集团股份有限公司首次公开发行股票招股说明书(申报稿)</v>
      </c>
      <c r="D3148" t="s">
        <v>9513</v>
      </c>
      <c r="E3148" t="s">
        <v>4516</v>
      </c>
    </row>
    <row r="3149" spans="1:6" x14ac:dyDescent="0.15">
      <c r="A3149" s="1">
        <v>39437</v>
      </c>
      <c r="B3149" t="s">
        <v>4331</v>
      </c>
      <c r="C3149" s="2" t="str">
        <f>HYPERLINK("http://snap.windin.com/ns/bulletin.php?id=1627643&amp;type=1", "郑州三全食品股份有限公司首发招股说明书(申报稿)")</f>
        <v>郑州三全食品股份有限公司首发招股说明书(申报稿)</v>
      </c>
      <c r="D3149" t="s">
        <v>9514</v>
      </c>
      <c r="E3149" t="s">
        <v>4517</v>
      </c>
    </row>
    <row r="3150" spans="1:6" x14ac:dyDescent="0.15">
      <c r="A3150" s="1">
        <v>39437</v>
      </c>
      <c r="B3150" t="s">
        <v>4304</v>
      </c>
      <c r="C3150" s="2" t="str">
        <f>HYPERLINK("http://snap.windin.com/ns/bulletin.php?id=715358&amp;type=1", "紫金矿业股份有限公司首次公开发行股票招股说明书(申报稿)")</f>
        <v>紫金矿业股份有限公司首次公开发行股票招股说明书(申报稿)</v>
      </c>
      <c r="D3150" t="s">
        <v>9515</v>
      </c>
      <c r="E3150" t="s">
        <v>4518</v>
      </c>
    </row>
    <row r="3151" spans="1:6" x14ac:dyDescent="0.15">
      <c r="A3151" s="1">
        <v>39436</v>
      </c>
      <c r="B3151" t="s">
        <v>4332</v>
      </c>
      <c r="C3151" s="2" t="str">
        <f>HYPERLINK("http://snap.windin.com/ns/bulletin.php?id=209101&amp;type=1", "辽宁出版传媒股份有限公司首次公开发行股票招股说明书")</f>
        <v>辽宁出版传媒股份有限公司首次公开发行股票招股说明书</v>
      </c>
      <c r="D3151" t="s">
        <v>9516</v>
      </c>
      <c r="E3151" t="s">
        <v>4519</v>
      </c>
    </row>
    <row r="3152" spans="1:6" x14ac:dyDescent="0.15">
      <c r="A3152" s="1">
        <v>39435</v>
      </c>
      <c r="B3152" t="s">
        <v>4320</v>
      </c>
      <c r="C3152" s="2" t="str">
        <f>HYPERLINK("http://snap.windin.com/ns/bulletin.php?id=951689&amp;type=1", "深圳市特尔佳科技股份有限公司首次公开发行股票招股说明书(申报稿)")</f>
        <v>深圳市特尔佳科技股份有限公司首次公开发行股票招股说明书(申报稿)</v>
      </c>
      <c r="D3152" t="s">
        <v>9517</v>
      </c>
      <c r="E3152" t="s">
        <v>4520</v>
      </c>
    </row>
    <row r="3153" spans="1:6" x14ac:dyDescent="0.15">
      <c r="A3153" s="1">
        <v>39434</v>
      </c>
      <c r="B3153" t="s">
        <v>4333</v>
      </c>
      <c r="C3153" s="2" t="str">
        <f>HYPERLINK("http://snap.windin.com/ns/bulletin.php?id=81140&amp;type=1", "中泰化学：2007年增发新股招股说明书")</f>
        <v>中泰化学：2007年增发新股招股说明书</v>
      </c>
      <c r="D3153" t="s">
        <v>9518</v>
      </c>
      <c r="E3153" t="s">
        <v>6673</v>
      </c>
      <c r="F3153" t="s">
        <v>6674</v>
      </c>
    </row>
    <row r="3154" spans="1:6" x14ac:dyDescent="0.15">
      <c r="A3154" s="1">
        <v>39433</v>
      </c>
      <c r="B3154" t="s">
        <v>4334</v>
      </c>
      <c r="C3154" s="2" t="str">
        <f>HYPERLINK("http://snap.windin.com/ns/bulletin.php?id=2105167&amp;type=1", "国投新集招股说明书")</f>
        <v>国投新集招股说明书</v>
      </c>
      <c r="D3154" t="s">
        <v>9519</v>
      </c>
      <c r="E3154" t="s">
        <v>4521</v>
      </c>
    </row>
    <row r="3155" spans="1:6" x14ac:dyDescent="0.15">
      <c r="A3155" s="1">
        <v>39433</v>
      </c>
      <c r="B3155" t="s">
        <v>4038</v>
      </c>
      <c r="C3155" s="2" t="str">
        <f>HYPERLINK("http://snap.windin.com/ns/bulletin.php?id=650166&amp;type=1", "湖南梦洁家纺股份有限公司首发招股说明书(申报稿)")</f>
        <v>湖南梦洁家纺股份有限公司首发招股说明书(申报稿)</v>
      </c>
      <c r="D3155" t="s">
        <v>9520</v>
      </c>
      <c r="E3155" t="s">
        <v>4522</v>
      </c>
    </row>
    <row r="3156" spans="1:6" x14ac:dyDescent="0.15">
      <c r="A3156" s="1">
        <v>39433</v>
      </c>
      <c r="B3156" t="s">
        <v>4319</v>
      </c>
      <c r="C3156" s="2" t="str">
        <f>HYPERLINK("http://snap.windin.com/ns/bulletin.php?id=797602&amp;type=1", "江苏宏达新材料股份有限公司首发招股说明书(申报稿)")</f>
        <v>江苏宏达新材料股份有限公司首发招股说明书(申报稿)</v>
      </c>
      <c r="D3156" t="s">
        <v>9521</v>
      </c>
      <c r="E3156" t="s">
        <v>4523</v>
      </c>
    </row>
    <row r="3157" spans="1:6" x14ac:dyDescent="0.15">
      <c r="A3157" s="1">
        <v>39430</v>
      </c>
      <c r="B3157" t="s">
        <v>3875</v>
      </c>
      <c r="C3157" s="2" t="str">
        <f>HYPERLINK("http://snap.windin.com/ns/bulletin.php?id=1846423&amp;type=1", "金风科技首次公开发行股票招股说明书")</f>
        <v>金风科技首次公开发行股票招股说明书</v>
      </c>
      <c r="D3157" t="s">
        <v>9522</v>
      </c>
      <c r="E3157" t="s">
        <v>4524</v>
      </c>
    </row>
    <row r="3158" spans="1:6" x14ac:dyDescent="0.15">
      <c r="A3158" s="1">
        <v>39428</v>
      </c>
      <c r="B3158" t="s">
        <v>4053</v>
      </c>
      <c r="C3158" s="2" t="str">
        <f>HYPERLINK("http://snap.windin.com/ns/bulletin.php?id=1775123&amp;type=1", "江苏长青农化股份有限公司首发招股说明书(申报稿)")</f>
        <v>江苏长青农化股份有限公司首发招股说明书(申报稿)</v>
      </c>
      <c r="D3158" t="s">
        <v>9523</v>
      </c>
      <c r="E3158" t="s">
        <v>4525</v>
      </c>
    </row>
    <row r="3159" spans="1:6" x14ac:dyDescent="0.15">
      <c r="A3159" s="1">
        <v>39428</v>
      </c>
      <c r="B3159" t="s">
        <v>4335</v>
      </c>
      <c r="C3159" s="2" t="str">
        <f>HYPERLINK("http://snap.windin.com/ns/bulletin.php?id=715886&amp;type=1", "深圳市飞马国际供应链股份有限公司首发招股说明书(申报稿)")</f>
        <v>深圳市飞马国际供应链股份有限公司首发招股说明书(申报稿)</v>
      </c>
      <c r="D3159" t="s">
        <v>9524</v>
      </c>
      <c r="E3159" t="s">
        <v>4526</v>
      </c>
    </row>
    <row r="3160" spans="1:6" x14ac:dyDescent="0.15">
      <c r="A3160" s="1">
        <v>39428</v>
      </c>
      <c r="B3160" t="s">
        <v>4200</v>
      </c>
      <c r="C3160" s="2" t="str">
        <f>HYPERLINK("http://snap.windin.com/ns/bulletin.php?id=945381&amp;type=1", "沈阳新松机器人自动化股份有限公司首发招股说明书(申报稿)")</f>
        <v>沈阳新松机器人自动化股份有限公司首发招股说明书(申报稿)</v>
      </c>
      <c r="D3160" t="s">
        <v>9525</v>
      </c>
      <c r="E3160" t="s">
        <v>4527</v>
      </c>
    </row>
    <row r="3161" spans="1:6" x14ac:dyDescent="0.15">
      <c r="A3161" s="1">
        <v>39427</v>
      </c>
      <c r="B3161" t="s">
        <v>4336</v>
      </c>
      <c r="C3161" s="2" t="str">
        <f>HYPERLINK("http://snap.windin.com/ns/bulletin.php?id=883011&amp;type=1", "中海集运招股说明书")</f>
        <v>中海集运招股说明书</v>
      </c>
      <c r="D3161" t="s">
        <v>9526</v>
      </c>
      <c r="E3161" t="s">
        <v>4528</v>
      </c>
    </row>
    <row r="3162" spans="1:6" x14ac:dyDescent="0.15">
      <c r="A3162" s="1">
        <v>39426</v>
      </c>
      <c r="B3162" t="s">
        <v>4337</v>
      </c>
      <c r="C3162" s="2" t="str">
        <f>HYPERLINK("http://snap.windin.com/ns/bulletin.php?id=1226582&amp;type=1", "九鼎新材：首次公开发行股票招股说明书")</f>
        <v>九鼎新材：首次公开发行股票招股说明书</v>
      </c>
      <c r="D3162" t="s">
        <v>9527</v>
      </c>
      <c r="E3162" t="s">
        <v>6675</v>
      </c>
      <c r="F3162" t="s">
        <v>399</v>
      </c>
    </row>
    <row r="3163" spans="1:6" x14ac:dyDescent="0.15">
      <c r="A3163" s="1">
        <v>39423</v>
      </c>
      <c r="B3163" t="s">
        <v>4338</v>
      </c>
      <c r="C3163" s="2" t="str">
        <f>HYPERLINK("http://snap.windin.com/ns/bulletin.php?id=1299664&amp;type=1", "广州达意隆包装机械股份有限公司首发招股说明书(申报稿)")</f>
        <v>广州达意隆包装机械股份有限公司首发招股说明书(申报稿)</v>
      </c>
      <c r="D3163" t="s">
        <v>9528</v>
      </c>
      <c r="E3163" t="s">
        <v>4529</v>
      </c>
    </row>
    <row r="3164" spans="1:6" x14ac:dyDescent="0.15">
      <c r="A3164" s="1">
        <v>39421</v>
      </c>
      <c r="B3164" t="s">
        <v>4146</v>
      </c>
      <c r="C3164" s="2" t="str">
        <f>HYPERLINK("http://snap.windin.com/ns/bulletin.php?id=1688474&amp;type=1", "深圳市燃气集团股份有限公司首发招股说明书(申报稿)")</f>
        <v>深圳市燃气集团股份有限公司首发招股说明书(申报稿)</v>
      </c>
      <c r="D3164" t="s">
        <v>9529</v>
      </c>
      <c r="E3164" t="s">
        <v>4530</v>
      </c>
    </row>
    <row r="3165" spans="1:6" x14ac:dyDescent="0.15">
      <c r="A3165" s="1">
        <v>39421</v>
      </c>
      <c r="B3165" t="s">
        <v>4339</v>
      </c>
      <c r="C3165" s="2" t="str">
        <f>HYPERLINK("http://snap.windin.com/ns/bulletin.php?id=1791447&amp;type=1", "浙江海利得新材料股份有限公司首发招股说明书 (申报稿)")</f>
        <v>浙江海利得新材料股份有限公司首发招股说明书 (申报稿)</v>
      </c>
      <c r="D3165" t="s">
        <v>9530</v>
      </c>
      <c r="E3165" t="s">
        <v>4531</v>
      </c>
    </row>
    <row r="3166" spans="1:6" x14ac:dyDescent="0.15">
      <c r="A3166" s="1">
        <v>39421</v>
      </c>
      <c r="B3166" t="s">
        <v>4340</v>
      </c>
      <c r="C3166" s="2" t="str">
        <f>HYPERLINK("http://snap.windin.com/ns/bulletin.php?id=1242595&amp;type=1", "嘉应制药：首次公开发行股票招股说明书")</f>
        <v>嘉应制药：首次公开发行股票招股说明书</v>
      </c>
      <c r="D3166" t="s">
        <v>9531</v>
      </c>
      <c r="E3166" t="s">
        <v>6676</v>
      </c>
      <c r="F3166" t="s">
        <v>399</v>
      </c>
    </row>
    <row r="3167" spans="1:6" x14ac:dyDescent="0.15">
      <c r="A3167" s="1">
        <v>39419</v>
      </c>
      <c r="B3167" t="s">
        <v>4323</v>
      </c>
      <c r="C3167" s="2" t="str">
        <f>HYPERLINK("http://snap.windin.com/ns/bulletin.php?id=407702&amp;type=1", "新疆准东石油技术股份有限公司首发招股说明书(申报稿)")</f>
        <v>新疆准东石油技术股份有限公司首发招股说明书(申报稿)</v>
      </c>
      <c r="D3167" t="s">
        <v>9532</v>
      </c>
      <c r="E3167" t="s">
        <v>4532</v>
      </c>
    </row>
    <row r="3168" spans="1:6" x14ac:dyDescent="0.15">
      <c r="A3168" s="1">
        <v>39419</v>
      </c>
      <c r="B3168" t="s">
        <v>4341</v>
      </c>
      <c r="C3168" s="2" t="str">
        <f>HYPERLINK("http://snap.windin.com/ns/bulletin.php?id=1894396&amp;type=1", "证通电子：首次公开发行股票招股说明书")</f>
        <v>证通电子：首次公开发行股票招股说明书</v>
      </c>
      <c r="D3168" t="s">
        <v>9533</v>
      </c>
      <c r="E3168" t="s">
        <v>6677</v>
      </c>
      <c r="F3168" t="s">
        <v>399</v>
      </c>
    </row>
    <row r="3169" spans="1:6" x14ac:dyDescent="0.15">
      <c r="A3169" s="1">
        <v>39416</v>
      </c>
      <c r="B3169" t="s">
        <v>4342</v>
      </c>
      <c r="C3169" s="2" t="str">
        <f>HYPERLINK("http://snap.windin.com/ns/bulletin.php?id=940363&amp;type=1", "中国中铁招股说明书")</f>
        <v>中国中铁招股说明书</v>
      </c>
      <c r="D3169" t="s">
        <v>9534</v>
      </c>
      <c r="E3169" t="s">
        <v>4533</v>
      </c>
    </row>
    <row r="3170" spans="1:6" x14ac:dyDescent="0.15">
      <c r="A3170" s="1">
        <v>39415</v>
      </c>
      <c r="B3170" t="s">
        <v>4343</v>
      </c>
      <c r="C3170" s="2" t="str">
        <f>HYPERLINK("http://snap.windin.com/ns/bulletin.php?id=406120&amp;type=1", "新疆国统管道股份有限公司首发招股说明书(申报稿)")</f>
        <v>新疆国统管道股份有限公司首发招股说明书(申报稿)</v>
      </c>
      <c r="D3170" t="s">
        <v>9535</v>
      </c>
      <c r="E3170" t="s">
        <v>4534</v>
      </c>
    </row>
    <row r="3171" spans="1:6" x14ac:dyDescent="0.15">
      <c r="A3171" s="1">
        <v>39415</v>
      </c>
      <c r="B3171" t="s">
        <v>4168</v>
      </c>
      <c r="C3171" s="2" t="str">
        <f>HYPERLINK("http://snap.windin.com/ns/bulletin.php?id=1393756&amp;type=1", "中国太平洋保险(集团)股份有限公司首发A股招股说明书(申报稿)")</f>
        <v>中国太平洋保险(集团)股份有限公司首发A股招股说明书(申报稿)</v>
      </c>
      <c r="D3171" t="s">
        <v>9536</v>
      </c>
      <c r="E3171" t="s">
        <v>4535</v>
      </c>
    </row>
    <row r="3172" spans="1:6" x14ac:dyDescent="0.15">
      <c r="A3172" s="1">
        <v>39413</v>
      </c>
      <c r="B3172" t="s">
        <v>4340</v>
      </c>
      <c r="C3172" s="2" t="str">
        <f>HYPERLINK("http://snap.windin.com/ns/bulletin.php?id=692776&amp;type=1", "嘉应制药首次公开发行股票招股说明书")</f>
        <v>嘉应制药首次公开发行股票招股说明书</v>
      </c>
      <c r="D3172" t="s">
        <v>9537</v>
      </c>
      <c r="E3172" t="s">
        <v>4536</v>
      </c>
    </row>
    <row r="3173" spans="1:6" x14ac:dyDescent="0.15">
      <c r="A3173" s="1">
        <v>39408</v>
      </c>
      <c r="B3173" t="s">
        <v>4327</v>
      </c>
      <c r="C3173" s="2" t="str">
        <f>HYPERLINK("http://snap.windin.com/ns/bulletin.php?id=785900&amp;type=1", "大连华锐重工铸钢股份有限公司首发招股说明书(申报稿)")</f>
        <v>大连华锐重工铸钢股份有限公司首发招股说明书(申报稿)</v>
      </c>
      <c r="D3173" t="s">
        <v>9538</v>
      </c>
      <c r="E3173" t="s">
        <v>4537</v>
      </c>
    </row>
    <row r="3174" spans="1:6" x14ac:dyDescent="0.15">
      <c r="A3174" s="1">
        <v>39406</v>
      </c>
      <c r="B3174" t="s">
        <v>4344</v>
      </c>
      <c r="C3174" s="2" t="str">
        <f>HYPERLINK("http://snap.windin.com/ns/bulletin.php?id=687896&amp;type=1", "路翔股份首次公开发行股票招股说明书")</f>
        <v>路翔股份首次公开发行股票招股说明书</v>
      </c>
      <c r="D3174" t="s">
        <v>9539</v>
      </c>
      <c r="E3174" t="s">
        <v>4538</v>
      </c>
    </row>
    <row r="3175" spans="1:6" x14ac:dyDescent="0.15">
      <c r="A3175" s="1">
        <v>39405</v>
      </c>
      <c r="B3175" t="s">
        <v>4336</v>
      </c>
      <c r="C3175" s="2" t="str">
        <f>HYPERLINK("http://snap.windin.com/ns/bulletin.php?id=1731119&amp;type=1", "中海集装箱运输股份有限公司首发A股招股说明书(申报稿)")</f>
        <v>中海集装箱运输股份有限公司首发A股招股说明书(申报稿)</v>
      </c>
      <c r="D3175" t="s">
        <v>9540</v>
      </c>
      <c r="E3175" t="s">
        <v>4539</v>
      </c>
    </row>
    <row r="3176" spans="1:6" x14ac:dyDescent="0.15">
      <c r="A3176" s="1">
        <v>39401</v>
      </c>
      <c r="B3176" t="s">
        <v>4332</v>
      </c>
      <c r="C3176" s="2" t="str">
        <f>HYPERLINK("http://snap.windin.com/ns/bulletin.php?id=1625663&amp;type=1", "辽宁出版传媒股份有限公司首发招股说明书(申报稿)")</f>
        <v>辽宁出版传媒股份有限公司首发招股说明书(申报稿)</v>
      </c>
      <c r="D3176" t="s">
        <v>9541</v>
      </c>
      <c r="E3176" t="s">
        <v>4540</v>
      </c>
    </row>
    <row r="3177" spans="1:6" x14ac:dyDescent="0.15">
      <c r="A3177" s="1">
        <v>39401</v>
      </c>
      <c r="B3177" t="s">
        <v>3875</v>
      </c>
      <c r="C3177" s="2" t="str">
        <f>HYPERLINK("http://snap.windin.com/ns/bulletin.php?id=842499&amp;type=1", "新疆金风科技股份有限公司首发招股说明书(申报稿)")</f>
        <v>新疆金风科技股份有限公司首发招股说明书(申报稿)</v>
      </c>
      <c r="D3177" t="s">
        <v>9542</v>
      </c>
      <c r="E3177" t="s">
        <v>4541</v>
      </c>
    </row>
    <row r="3178" spans="1:6" x14ac:dyDescent="0.15">
      <c r="A3178" s="1">
        <v>39400</v>
      </c>
      <c r="B3178" t="s">
        <v>4345</v>
      </c>
      <c r="C3178" s="2" t="str">
        <f>HYPERLINK("http://snap.windin.com/ns/bulletin.php?id=402176&amp;type=1", "成飞集成：首次公开发行股票招股说明书")</f>
        <v>成飞集成：首次公开发行股票招股说明书</v>
      </c>
      <c r="D3178" t="s">
        <v>9543</v>
      </c>
      <c r="E3178" t="s">
        <v>6678</v>
      </c>
      <c r="F3178" t="s">
        <v>399</v>
      </c>
    </row>
    <row r="3179" spans="1:6" x14ac:dyDescent="0.15">
      <c r="A3179" s="1">
        <v>39400</v>
      </c>
      <c r="B3179" t="s">
        <v>4346</v>
      </c>
      <c r="C3179" s="2" t="str">
        <f>HYPERLINK("http://snap.windin.com/ns/bulletin.php?id=522449&amp;type=1", "利达光电：首次公开发行股票招股说明书")</f>
        <v>利达光电：首次公开发行股票招股说明书</v>
      </c>
      <c r="D3179" t="s">
        <v>9544</v>
      </c>
      <c r="E3179" t="s">
        <v>6679</v>
      </c>
      <c r="F3179" t="s">
        <v>399</v>
      </c>
    </row>
    <row r="3180" spans="1:6" x14ac:dyDescent="0.15">
      <c r="A3180" s="1">
        <v>39398</v>
      </c>
      <c r="B3180" t="s">
        <v>4329</v>
      </c>
      <c r="C3180" s="2" t="str">
        <f>HYPERLINK("http://snap.windin.com/ns/bulletin.php?id=1017565&amp;type=1", "浙江海亮股份有限公司首发招股说明书(申报稿)")</f>
        <v>浙江海亮股份有限公司首发招股说明书(申报稿)</v>
      </c>
      <c r="D3180" t="s">
        <v>9545</v>
      </c>
      <c r="E3180" t="s">
        <v>4542</v>
      </c>
    </row>
    <row r="3181" spans="1:6" x14ac:dyDescent="0.15">
      <c r="A3181" s="1">
        <v>39393</v>
      </c>
      <c r="B3181" t="s">
        <v>4023</v>
      </c>
      <c r="C3181" s="2" t="str">
        <f>HYPERLINK("http://snap.windin.com/ns/bulletin.php?id=1785440&amp;type=1", "多氟多化工股份有限公司首发招股说明书(申报稿)")</f>
        <v>多氟多化工股份有限公司首发招股说明书(申报稿)</v>
      </c>
      <c r="D3181" t="s">
        <v>9546</v>
      </c>
      <c r="E3181" t="s">
        <v>4543</v>
      </c>
    </row>
    <row r="3182" spans="1:6" x14ac:dyDescent="0.15">
      <c r="A3182" s="1">
        <v>39393</v>
      </c>
      <c r="B3182" t="s">
        <v>4347</v>
      </c>
      <c r="C3182" s="2" t="str">
        <f>HYPERLINK("http://snap.windin.com/ns/bulletin.php?id=678949&amp;type=1", "新嘉联首次公开发行股票招股说明书")</f>
        <v>新嘉联首次公开发行股票招股说明书</v>
      </c>
      <c r="D3182" t="s">
        <v>9547</v>
      </c>
      <c r="E3182" t="s">
        <v>4544</v>
      </c>
    </row>
    <row r="3183" spans="1:6" x14ac:dyDescent="0.15">
      <c r="A3183" s="1">
        <v>39393</v>
      </c>
      <c r="B3183" t="s">
        <v>4348</v>
      </c>
      <c r="C3183" s="2" t="str">
        <f>HYPERLINK("http://snap.windin.com/ns/bulletin.php?id=678945&amp;type=1", "广百股份首次公开发行股票招股说明书")</f>
        <v>广百股份首次公开发行股票招股说明书</v>
      </c>
      <c r="D3183" t="s">
        <v>9548</v>
      </c>
      <c r="E3183" t="s">
        <v>4545</v>
      </c>
    </row>
    <row r="3184" spans="1:6" x14ac:dyDescent="0.15">
      <c r="A3184" s="1">
        <v>39393</v>
      </c>
      <c r="B3184" t="s">
        <v>4337</v>
      </c>
      <c r="C3184" s="2" t="str">
        <f>HYPERLINK("http://snap.windin.com/ns/bulletin.php?id=1883964&amp;type=1", "江苏九鼎新材料股份有限公司首发招股说明书(申报稿)")</f>
        <v>江苏九鼎新材料股份有限公司首发招股说明书(申报稿)</v>
      </c>
      <c r="D3184" t="s">
        <v>9549</v>
      </c>
      <c r="E3184" t="s">
        <v>4546</v>
      </c>
    </row>
    <row r="3185" spans="1:6" x14ac:dyDescent="0.15">
      <c r="A3185" s="1">
        <v>39388</v>
      </c>
      <c r="B3185" t="s">
        <v>4349</v>
      </c>
      <c r="C3185" s="2" t="str">
        <f>HYPERLINK("http://snap.windin.com/ns/bulletin.php?id=1726629&amp;type=1", "海得控制首次公开发行A股股票招股说明书")</f>
        <v>海得控制首次公开发行A股股票招股说明书</v>
      </c>
      <c r="D3185" t="s">
        <v>9550</v>
      </c>
      <c r="E3185" t="s">
        <v>4547</v>
      </c>
    </row>
    <row r="3186" spans="1:6" x14ac:dyDescent="0.15">
      <c r="A3186" s="1">
        <v>39388</v>
      </c>
      <c r="B3186" t="s">
        <v>4350</v>
      </c>
      <c r="C3186" s="2" t="str">
        <f>HYPERLINK("http://snap.windin.com/ns/bulletin.php?id=675167&amp;type=1", "粤传媒首次公开发行股票招股说明书")</f>
        <v>粤传媒首次公开发行股票招股说明书</v>
      </c>
      <c r="D3186" t="s">
        <v>9551</v>
      </c>
      <c r="E3186" t="s">
        <v>4548</v>
      </c>
    </row>
    <row r="3187" spans="1:6" x14ac:dyDescent="0.15">
      <c r="A3187" s="1">
        <v>39388</v>
      </c>
      <c r="B3187" t="s">
        <v>4334</v>
      </c>
      <c r="C3187" s="2" t="str">
        <f>HYPERLINK("http://snap.windin.com/ns/bulletin.php?id=1584849&amp;type=1", "国投新集能源股份有限公司首发招股说明书(申报稿)")</f>
        <v>国投新集能源股份有限公司首发招股说明书(申报稿)</v>
      </c>
      <c r="D3187" t="s">
        <v>9552</v>
      </c>
      <c r="E3187" t="s">
        <v>4549</v>
      </c>
    </row>
    <row r="3188" spans="1:6" x14ac:dyDescent="0.15">
      <c r="A3188" s="1">
        <v>39388</v>
      </c>
      <c r="B3188" t="s">
        <v>4341</v>
      </c>
      <c r="C3188" s="2" t="str">
        <f>HYPERLINK("http://snap.windin.com/ns/bulletin.php?id=1475935&amp;type=1", "深圳市证通电子股份有限公司首发招股说明书(申报稿)")</f>
        <v>深圳市证通电子股份有限公司首发招股说明书(申报稿)</v>
      </c>
      <c r="D3188" t="s">
        <v>9553</v>
      </c>
      <c r="E3188" t="s">
        <v>4550</v>
      </c>
    </row>
    <row r="3189" spans="1:6" x14ac:dyDescent="0.15">
      <c r="A3189" s="1">
        <v>39388</v>
      </c>
      <c r="B3189" t="s">
        <v>4342</v>
      </c>
      <c r="C3189" s="2" t="str">
        <f>HYPERLINK("http://snap.windin.com/ns/bulletin.php?id=585591&amp;type=1", "中国中铁股份有限公司首次公开发行A股招股说明书(申报稿)")</f>
        <v>中国中铁股份有限公司首次公开发行A股招股说明书(申报稿)</v>
      </c>
      <c r="D3189" t="s">
        <v>9554</v>
      </c>
      <c r="E3189" t="s">
        <v>4551</v>
      </c>
    </row>
    <row r="3190" spans="1:6" x14ac:dyDescent="0.15">
      <c r="A3190" s="1">
        <v>39388</v>
      </c>
      <c r="B3190" t="s">
        <v>4351</v>
      </c>
      <c r="C3190" s="2" t="str">
        <f>HYPERLINK("http://snap.windin.com/ns/bulletin.php?id=877320&amp;type=1", "中国石油招股说明书")</f>
        <v>中国石油招股说明书</v>
      </c>
      <c r="D3190" t="s">
        <v>9555</v>
      </c>
      <c r="E3190" t="s">
        <v>4552</v>
      </c>
    </row>
    <row r="3191" spans="1:6" x14ac:dyDescent="0.15">
      <c r="A3191" s="1">
        <v>39385</v>
      </c>
      <c r="B3191" t="s">
        <v>4352</v>
      </c>
      <c r="C3191" s="2" t="str">
        <f>HYPERLINK("http://snap.windin.com/ns/bulletin.php?id=673449&amp;type=1", "怡亚通首次公开发行股票招股说明书")</f>
        <v>怡亚通首次公开发行股票招股说明书</v>
      </c>
      <c r="D3191" t="s">
        <v>9556</v>
      </c>
      <c r="E3191" t="s">
        <v>4553</v>
      </c>
    </row>
    <row r="3192" spans="1:6" x14ac:dyDescent="0.15">
      <c r="A3192" s="1">
        <v>39385</v>
      </c>
      <c r="B3192" t="s">
        <v>4353</v>
      </c>
      <c r="C3192" s="2" t="str">
        <f>HYPERLINK("http://snap.windin.com/ns/bulletin.php?id=671841&amp;type=1", "云海金属首次公开发行股票招股说明书")</f>
        <v>云海金属首次公开发行股票招股说明书</v>
      </c>
      <c r="D3192" t="s">
        <v>9557</v>
      </c>
      <c r="E3192" t="s">
        <v>4554</v>
      </c>
    </row>
    <row r="3193" spans="1:6" x14ac:dyDescent="0.15">
      <c r="A3193" s="1">
        <v>39384</v>
      </c>
      <c r="B3193" t="s">
        <v>4340</v>
      </c>
      <c r="C3193" s="2" t="str">
        <f>HYPERLINK("http://snap.windin.com/ns/bulletin.php?id=1040190&amp;type=1", "广东嘉应制药股份有限公司首发招股说明书(申报稿)")</f>
        <v>广东嘉应制药股份有限公司首发招股说明书(申报稿)</v>
      </c>
      <c r="D3193" t="s">
        <v>9558</v>
      </c>
      <c r="E3193" t="s">
        <v>4555</v>
      </c>
    </row>
    <row r="3194" spans="1:6" x14ac:dyDescent="0.15">
      <c r="A3194" s="1">
        <v>39378</v>
      </c>
      <c r="B3194" t="s">
        <v>4354</v>
      </c>
      <c r="C3194" s="2" t="str">
        <f>HYPERLINK("http://snap.windin.com/ns/bulletin.php?id=1670099&amp;type=1", "浙江东晶电子股份有限公司首发招股说明书(申报稿)")</f>
        <v>浙江东晶电子股份有限公司首发招股说明书(申报稿)</v>
      </c>
      <c r="D3194" t="s">
        <v>9559</v>
      </c>
      <c r="E3194" t="s">
        <v>4556</v>
      </c>
    </row>
    <row r="3195" spans="1:6" x14ac:dyDescent="0.15">
      <c r="A3195" s="1">
        <v>39378</v>
      </c>
      <c r="B3195" t="s">
        <v>4355</v>
      </c>
      <c r="C3195" s="2" t="str">
        <f>HYPERLINK("http://snap.windin.com/ns/bulletin.php?id=903228&amp;type=1", "云南绿大地生物科技股份有限公司首发招股说明书(申报稿)")</f>
        <v>云南绿大地生物科技股份有限公司首发招股说明书(申报稿)</v>
      </c>
      <c r="D3195" t="s">
        <v>9560</v>
      </c>
      <c r="E3195" t="s">
        <v>4557</v>
      </c>
    </row>
    <row r="3196" spans="1:6" x14ac:dyDescent="0.15">
      <c r="A3196" s="1">
        <v>39374</v>
      </c>
      <c r="B3196" t="s">
        <v>4356</v>
      </c>
      <c r="C3196" s="2" t="str">
        <f>HYPERLINK("http://snap.windin.com/ns/bulletin.php?id=1841587&amp;type=1", "延华智能：首次公开发行股票招股说明书")</f>
        <v>延华智能：首次公开发行股票招股说明书</v>
      </c>
      <c r="D3196" t="s">
        <v>9561</v>
      </c>
      <c r="E3196" t="s">
        <v>6680</v>
      </c>
      <c r="F3196" t="s">
        <v>399</v>
      </c>
    </row>
    <row r="3197" spans="1:6" x14ac:dyDescent="0.15">
      <c r="A3197" s="1">
        <v>39374</v>
      </c>
      <c r="B3197" t="s">
        <v>3863</v>
      </c>
      <c r="C3197" s="2" t="str">
        <f>HYPERLINK("http://snap.windin.com/ns/bulletin.php?id=915519&amp;type=1", "御银股份：首次公开发行股票招股说明书")</f>
        <v>御银股份：首次公开发行股票招股说明书</v>
      </c>
      <c r="D3197" t="s">
        <v>9562</v>
      </c>
      <c r="E3197" t="s">
        <v>5880</v>
      </c>
      <c r="F3197" t="s">
        <v>399</v>
      </c>
    </row>
    <row r="3198" spans="1:6" x14ac:dyDescent="0.15">
      <c r="A3198" s="1">
        <v>39373</v>
      </c>
      <c r="B3198" t="s">
        <v>4357</v>
      </c>
      <c r="C3198" s="2" t="str">
        <f>HYPERLINK("http://snap.windin.com/ns/bulletin.php?id=1997488&amp;type=1", "武汉凡谷电子技术股份有限公司首次公开发行股票招股说明书(申报稿)")</f>
        <v>武汉凡谷电子技术股份有限公司首次公开发行股票招股说明书(申报稿)</v>
      </c>
      <c r="D3198" t="s">
        <v>9563</v>
      </c>
      <c r="E3198" t="s">
        <v>4558</v>
      </c>
    </row>
    <row r="3199" spans="1:6" x14ac:dyDescent="0.15">
      <c r="A3199" s="1">
        <v>39372</v>
      </c>
      <c r="B3199" t="s">
        <v>4358</v>
      </c>
      <c r="C3199" s="2" t="str">
        <f>HYPERLINK("http://snap.windin.com/ns/bulletin.php?id=738382&amp;type=1", "上海海隆软件股份有限公司首发招股说明书(申报稿)")</f>
        <v>上海海隆软件股份有限公司首发招股说明书(申报稿)</v>
      </c>
      <c r="D3199" t="s">
        <v>9564</v>
      </c>
      <c r="E3199" t="s">
        <v>4559</v>
      </c>
    </row>
    <row r="3200" spans="1:6" x14ac:dyDescent="0.15">
      <c r="A3200" s="1">
        <v>39370</v>
      </c>
      <c r="B3200" t="s">
        <v>4359</v>
      </c>
      <c r="C3200" s="2" t="str">
        <f>HYPERLINK("http://snap.windin.com/ns/bulletin.php?id=90838&amp;type=1", "深圳劲嘉彩印集团股份有限公司首发招股说明书(申报稿)")</f>
        <v>深圳劲嘉彩印集团股份有限公司首发招股说明书(申报稿)</v>
      </c>
      <c r="D3200" t="s">
        <v>9565</v>
      </c>
      <c r="E3200" t="s">
        <v>4560</v>
      </c>
    </row>
    <row r="3201" spans="1:6" x14ac:dyDescent="0.15">
      <c r="A3201" s="1">
        <v>39370</v>
      </c>
      <c r="B3201" t="s">
        <v>4345</v>
      </c>
      <c r="C3201" s="2" t="str">
        <f>HYPERLINK("http://snap.windin.com/ns/bulletin.php?id=1983348&amp;type=1", "四川成飞集成科技股份有限公司首发招股说明书(申报稿)")</f>
        <v>四川成飞集成科技股份有限公司首发招股说明书(申报稿)</v>
      </c>
      <c r="D3201" t="s">
        <v>9566</v>
      </c>
      <c r="E3201" t="s">
        <v>4561</v>
      </c>
    </row>
    <row r="3202" spans="1:6" x14ac:dyDescent="0.15">
      <c r="A3202" s="1">
        <v>39366</v>
      </c>
      <c r="B3202" t="s">
        <v>4360</v>
      </c>
      <c r="C3202" s="2" t="str">
        <f>HYPERLINK("http://snap.windin.com/ns/bulletin.php?id=918728&amp;type=1", "山东济宁如意毛纺织股份有限公司首发招股说明书(申报稿)")</f>
        <v>山东济宁如意毛纺织股份有限公司首发招股说明书(申报稿)</v>
      </c>
      <c r="D3202" t="s">
        <v>9567</v>
      </c>
      <c r="E3202" t="s">
        <v>4562</v>
      </c>
    </row>
    <row r="3203" spans="1:6" x14ac:dyDescent="0.15">
      <c r="A3203" s="1">
        <v>39365</v>
      </c>
      <c r="B3203" t="s">
        <v>4322</v>
      </c>
      <c r="C3203" s="2" t="str">
        <f>HYPERLINK("http://snap.windin.com/ns/bulletin.php?id=1770496&amp;type=1", "合肥城建发展股份有限公司首发招股说明书(申报稿)")</f>
        <v>合肥城建发展股份有限公司首发招股说明书(申报稿)</v>
      </c>
      <c r="D3203" t="s">
        <v>9568</v>
      </c>
      <c r="E3203" t="s">
        <v>4563</v>
      </c>
    </row>
    <row r="3204" spans="1:6" x14ac:dyDescent="0.15">
      <c r="A3204" s="1">
        <v>39363</v>
      </c>
      <c r="B3204" t="s">
        <v>4361</v>
      </c>
      <c r="C3204" s="2" t="str">
        <f>HYPERLINK("http://snap.windin.com/ns/bulletin.php?id=705532&amp;type=1", "中国神华招股说明书")</f>
        <v>中国神华招股说明书</v>
      </c>
      <c r="D3204" t="s">
        <v>9569</v>
      </c>
      <c r="E3204" t="s">
        <v>4564</v>
      </c>
    </row>
    <row r="3205" spans="1:6" x14ac:dyDescent="0.15">
      <c r="A3205" s="1">
        <v>39354</v>
      </c>
      <c r="B3205" t="s">
        <v>4362</v>
      </c>
      <c r="C3205" s="2" t="str">
        <f>HYPERLINK("http://snap.windin.com/ns/bulletin.php?id=1078550&amp;type=1", "浙江方正电机股份有限公司首发招股说明书(申报稿)")</f>
        <v>浙江方正电机股份有限公司首发招股说明书(申报稿)</v>
      </c>
      <c r="D3205" t="s">
        <v>9570</v>
      </c>
      <c r="E3205" t="s">
        <v>4565</v>
      </c>
    </row>
    <row r="3206" spans="1:6" x14ac:dyDescent="0.15">
      <c r="A3206" s="1">
        <v>39352</v>
      </c>
      <c r="B3206" t="s">
        <v>4363</v>
      </c>
      <c r="C3206" s="2" t="str">
        <f>HYPERLINK("http://snap.windin.com/ns/bulletin.php?id=555889&amp;type=1", "中海油服招股说明书")</f>
        <v>中海油服招股说明书</v>
      </c>
      <c r="D3206" t="s">
        <v>9571</v>
      </c>
      <c r="E3206" t="s">
        <v>4566</v>
      </c>
    </row>
    <row r="3207" spans="1:6" x14ac:dyDescent="0.15">
      <c r="A3207" s="1">
        <v>39350</v>
      </c>
      <c r="B3207" t="s">
        <v>3757</v>
      </c>
      <c r="C3207" s="2" t="str">
        <f>HYPERLINK("http://snap.windin.com/ns/bulletin.php?id=580459&amp;type=1", "广州杰赛科技股份有限公司首发招股说明书(申报稿)")</f>
        <v>广州杰赛科技股份有限公司首发招股说明书(申报稿)</v>
      </c>
      <c r="D3207" t="s">
        <v>9572</v>
      </c>
      <c r="E3207" t="s">
        <v>4567</v>
      </c>
    </row>
    <row r="3208" spans="1:6" x14ac:dyDescent="0.15">
      <c r="A3208" s="1">
        <v>39350</v>
      </c>
      <c r="B3208" t="s">
        <v>4364</v>
      </c>
      <c r="C3208" s="2" t="str">
        <f>HYPERLINK("http://snap.windin.com/ns/bulletin.php?id=687793&amp;type=1", "中国全聚德(集团)股份有限公司首发招股说明书(申报稿)")</f>
        <v>中国全聚德(集团)股份有限公司首发招股说明书(申报稿)</v>
      </c>
      <c r="D3208" t="s">
        <v>9573</v>
      </c>
      <c r="E3208" t="s">
        <v>4568</v>
      </c>
    </row>
    <row r="3209" spans="1:6" x14ac:dyDescent="0.15">
      <c r="A3209" s="1">
        <v>39349</v>
      </c>
      <c r="B3209" t="s">
        <v>4365</v>
      </c>
      <c r="C3209" s="2" t="str">
        <f>HYPERLINK("http://snap.windin.com/ns/bulletin.php?id=1734336&amp;type=1", "建设银行招股说明书")</f>
        <v>建设银行招股说明书</v>
      </c>
      <c r="D3209" t="s">
        <v>9574</v>
      </c>
      <c r="E3209" t="s">
        <v>4569</v>
      </c>
    </row>
    <row r="3210" spans="1:6" x14ac:dyDescent="0.15">
      <c r="A3210" s="1">
        <v>39346</v>
      </c>
      <c r="B3210" t="s">
        <v>4366</v>
      </c>
      <c r="C3210" s="2" t="str">
        <f>HYPERLINK("http://snap.windin.com/ns/bulletin.php?id=1598618&amp;type=1", "江特电机：首次公开发行股票招股说明书")</f>
        <v>江特电机：首次公开发行股票招股说明书</v>
      </c>
      <c r="D3210" t="s">
        <v>9575</v>
      </c>
      <c r="E3210" t="s">
        <v>6681</v>
      </c>
      <c r="F3210" t="s">
        <v>399</v>
      </c>
    </row>
    <row r="3211" spans="1:6" x14ac:dyDescent="0.15">
      <c r="A3211" s="1">
        <v>39345</v>
      </c>
      <c r="B3211" t="s">
        <v>4347</v>
      </c>
      <c r="C3211" s="2" t="str">
        <f>HYPERLINK("http://snap.windin.com/ns/bulletin.php?id=1345357&amp;type=1", "浙江新嘉联电子股份有限公司首发招股说明书(申报稿)")</f>
        <v>浙江新嘉联电子股份有限公司首发招股说明书(申报稿)</v>
      </c>
      <c r="D3211" t="s">
        <v>9576</v>
      </c>
      <c r="E3211" t="s">
        <v>4570</v>
      </c>
    </row>
    <row r="3212" spans="1:6" x14ac:dyDescent="0.15">
      <c r="A3212" s="1">
        <v>39345</v>
      </c>
      <c r="B3212" t="s">
        <v>4351</v>
      </c>
      <c r="C3212" s="2" t="str">
        <f>HYPERLINK("http://snap.windin.com/ns/bulletin.php?id=430803&amp;type=1", "中国石油天然气股份有限公司首次公开发行A股招股说明书(申报稿)")</f>
        <v>中国石油天然气股份有限公司首次公开发行A股招股说明书(申报稿)</v>
      </c>
      <c r="D3212" t="s">
        <v>9577</v>
      </c>
      <c r="E3212" t="s">
        <v>4571</v>
      </c>
    </row>
    <row r="3213" spans="1:6" x14ac:dyDescent="0.15">
      <c r="A3213" s="1">
        <v>39345</v>
      </c>
      <c r="B3213" t="s">
        <v>4348</v>
      </c>
      <c r="C3213" s="2" t="str">
        <f>HYPERLINK("http://snap.windin.com/ns/bulletin.php?id=597163&amp;type=1", "广州市广百股份有限公司首发招股说明书(申报稿)")</f>
        <v>广州市广百股份有限公司首发招股说明书(申报稿)</v>
      </c>
      <c r="D3213" t="s">
        <v>9578</v>
      </c>
      <c r="E3213" t="s">
        <v>4572</v>
      </c>
    </row>
    <row r="3214" spans="1:6" x14ac:dyDescent="0.15">
      <c r="A3214" s="1">
        <v>39344</v>
      </c>
      <c r="B3214" t="s">
        <v>4346</v>
      </c>
      <c r="C3214" s="2" t="str">
        <f>HYPERLINK("http://snap.windin.com/ns/bulletin.php?id=2005570&amp;type=1", "利达光电股份有限公司首发招股说明书(申报稿)")</f>
        <v>利达光电股份有限公司首发招股说明书(申报稿)</v>
      </c>
      <c r="D3214" t="s">
        <v>9579</v>
      </c>
      <c r="E3214" t="s">
        <v>4573</v>
      </c>
    </row>
    <row r="3215" spans="1:6" x14ac:dyDescent="0.15">
      <c r="A3215" s="1">
        <v>39344</v>
      </c>
      <c r="B3215" t="s">
        <v>4191</v>
      </c>
      <c r="C3215" s="2" t="str">
        <f>HYPERLINK("http://snap.windin.com/ns/bulletin.php?id=1504537&amp;type=1", "江苏洋河酒厂股份有限公司首次公开发行股票招股说明书(申报稿)")</f>
        <v>江苏洋河酒厂股份有限公司首次公开发行股票招股说明书(申报稿)</v>
      </c>
      <c r="D3215" t="s">
        <v>9580</v>
      </c>
      <c r="E3215" t="s">
        <v>4574</v>
      </c>
    </row>
    <row r="3216" spans="1:6" x14ac:dyDescent="0.15">
      <c r="A3216" s="1">
        <v>39343</v>
      </c>
      <c r="B3216" t="s">
        <v>4367</v>
      </c>
      <c r="C3216" s="2" t="str">
        <f>HYPERLINK("http://snap.windin.com/ns/bulletin.php?id=1485548&amp;type=1", "北京银行招股说明书")</f>
        <v>北京银行招股说明书</v>
      </c>
      <c r="D3216" t="s">
        <v>9581</v>
      </c>
      <c r="E3216" t="s">
        <v>4575</v>
      </c>
    </row>
    <row r="3217" spans="1:6" x14ac:dyDescent="0.15">
      <c r="A3217" s="1">
        <v>39339</v>
      </c>
      <c r="B3217" t="s">
        <v>4368</v>
      </c>
      <c r="C3217" s="2" t="str">
        <f>HYPERLINK("http://snap.windin.com/ns/bulletin.php?id=2087235&amp;type=1", "山下湖：首次公开发行股票招股说明书")</f>
        <v>山下湖：首次公开发行股票招股说明书</v>
      </c>
      <c r="D3217" t="s">
        <v>9582</v>
      </c>
      <c r="E3217" t="s">
        <v>6682</v>
      </c>
      <c r="F3217" t="s">
        <v>399</v>
      </c>
    </row>
    <row r="3218" spans="1:6" x14ac:dyDescent="0.15">
      <c r="A3218" s="1">
        <v>39339</v>
      </c>
      <c r="B3218" t="s">
        <v>4369</v>
      </c>
      <c r="C3218" s="2" t="str">
        <f>HYPERLINK("http://snap.windin.com/ns/bulletin.php?id=835132&amp;type=1", "梅花伞：首次公开发行股票招股说明书")</f>
        <v>梅花伞：首次公开发行股票招股说明书</v>
      </c>
      <c r="D3218" t="s">
        <v>9583</v>
      </c>
      <c r="E3218" t="s">
        <v>6683</v>
      </c>
      <c r="F3218" t="s">
        <v>399</v>
      </c>
    </row>
    <row r="3219" spans="1:6" x14ac:dyDescent="0.15">
      <c r="A3219" s="1">
        <v>39335</v>
      </c>
      <c r="B3219" t="s">
        <v>4352</v>
      </c>
      <c r="C3219" s="2" t="str">
        <f>HYPERLINK("http://snap.windin.com/ns/bulletin.php?id=2002614&amp;type=1", "深圳市怡亚通供应链股份有限公司首发招股说明书(申报稿)")</f>
        <v>深圳市怡亚通供应链股份有限公司首发招股说明书(申报稿)</v>
      </c>
      <c r="D3219" t="s">
        <v>9584</v>
      </c>
      <c r="E3219" t="s">
        <v>4576</v>
      </c>
    </row>
    <row r="3220" spans="1:6" x14ac:dyDescent="0.15">
      <c r="A3220" s="1">
        <v>39335</v>
      </c>
      <c r="B3220" t="s">
        <v>4370</v>
      </c>
      <c r="C3220" s="2" t="str">
        <f>HYPERLINK("http://snap.windin.com/ns/bulletin.php?id=2044387&amp;type=1", "天水华天科技股份有限公司首发招股说明书(申报稿)")</f>
        <v>天水华天科技股份有限公司首发招股说明书(申报稿)</v>
      </c>
      <c r="D3220" t="s">
        <v>9585</v>
      </c>
      <c r="E3220" t="s">
        <v>4577</v>
      </c>
    </row>
    <row r="3221" spans="1:6" x14ac:dyDescent="0.15">
      <c r="A3221" s="1">
        <v>39332</v>
      </c>
      <c r="B3221" t="s">
        <v>4371</v>
      </c>
      <c r="C3221" s="2" t="str">
        <f>HYPERLINK("http://snap.windin.com/ns/bulletin.php?id=526231&amp;type=1", "澳洋科技：首次公开发行股票招股说明书")</f>
        <v>澳洋科技：首次公开发行股票招股说明书</v>
      </c>
      <c r="D3221" t="s">
        <v>9586</v>
      </c>
      <c r="E3221" t="s">
        <v>6684</v>
      </c>
      <c r="F3221" t="s">
        <v>399</v>
      </c>
    </row>
    <row r="3222" spans="1:6" x14ac:dyDescent="0.15">
      <c r="A3222" s="1">
        <v>39332</v>
      </c>
      <c r="B3222" t="s">
        <v>4372</v>
      </c>
      <c r="C3222" s="2" t="str">
        <f>HYPERLINK("http://snap.windin.com/ns/bulletin.php?id=834838&amp;type=1", "精诚铜业：首次公开发行股票招股说明书")</f>
        <v>精诚铜业：首次公开发行股票招股说明书</v>
      </c>
      <c r="D3222" t="s">
        <v>9587</v>
      </c>
      <c r="E3222" t="s">
        <v>6685</v>
      </c>
      <c r="F3222" t="s">
        <v>399</v>
      </c>
    </row>
    <row r="3223" spans="1:6" x14ac:dyDescent="0.15">
      <c r="A3223" s="1">
        <v>39331</v>
      </c>
      <c r="B3223" t="s">
        <v>4373</v>
      </c>
      <c r="C3223" s="2" t="str">
        <f>HYPERLINK("http://snap.windin.com/ns/bulletin.php?id=164690&amp;type=1", "智光电气：首次公开发行股票招股说明书")</f>
        <v>智光电气：首次公开发行股票招股说明书</v>
      </c>
      <c r="D3223" t="s">
        <v>9588</v>
      </c>
      <c r="E3223" t="s">
        <v>6686</v>
      </c>
      <c r="F3223" t="s">
        <v>399</v>
      </c>
    </row>
    <row r="3224" spans="1:6" x14ac:dyDescent="0.15">
      <c r="A3224" s="1">
        <v>39331</v>
      </c>
      <c r="B3224" t="s">
        <v>4374</v>
      </c>
      <c r="C3224" s="2" t="str">
        <f>HYPERLINK("http://snap.windin.com/ns/bulletin.php?id=1383293&amp;type=1", "芭田股份：首次公开发行股票招股说明书")</f>
        <v>芭田股份：首次公开发行股票招股说明书</v>
      </c>
      <c r="D3224" t="s">
        <v>9589</v>
      </c>
      <c r="E3224" t="s">
        <v>6687</v>
      </c>
      <c r="F3224" t="s">
        <v>399</v>
      </c>
    </row>
    <row r="3225" spans="1:6" x14ac:dyDescent="0.15">
      <c r="A3225" s="1">
        <v>39331</v>
      </c>
      <c r="B3225" t="s">
        <v>4375</v>
      </c>
      <c r="C3225" s="2" t="str">
        <f>HYPERLINK("http://snap.windin.com/ns/bulletin.php?id=632067&amp;type=1", "深圳惠程：首次公开发行股票招股说明书")</f>
        <v>深圳惠程：首次公开发行股票招股说明书</v>
      </c>
      <c r="D3225" t="s">
        <v>9590</v>
      </c>
      <c r="E3225" t="s">
        <v>6688</v>
      </c>
      <c r="F3225" t="s">
        <v>399</v>
      </c>
    </row>
    <row r="3226" spans="1:6" x14ac:dyDescent="0.15">
      <c r="A3226" s="1">
        <v>39330</v>
      </c>
      <c r="B3226" t="s">
        <v>4356</v>
      </c>
      <c r="C3226" s="2" t="str">
        <f>HYPERLINK("http://snap.windin.com/ns/bulletin.php?id=1573728&amp;type=1", "上海延华智能科技股份有限公司首发招股说明书(申报稿)")</f>
        <v>上海延华智能科技股份有限公司首发招股说明书(申报稿)</v>
      </c>
      <c r="D3226" t="s">
        <v>9591</v>
      </c>
      <c r="E3226" t="s">
        <v>4578</v>
      </c>
    </row>
    <row r="3227" spans="1:6" x14ac:dyDescent="0.15">
      <c r="A3227" s="1">
        <v>39328</v>
      </c>
      <c r="B3227" t="s">
        <v>4365</v>
      </c>
      <c r="C3227" s="2" t="str">
        <f>HYPERLINK("http://snap.windin.com/ns/bulletin.php?id=1955678&amp;type=1", "建设银行:首次公开发行A股股票招股说明书（申报稿）")</f>
        <v>建设银行:首次公开发行A股股票招股说明书（申报稿）</v>
      </c>
      <c r="D3227" t="s">
        <v>9592</v>
      </c>
      <c r="E3227" t="s">
        <v>6265</v>
      </c>
    </row>
    <row r="3228" spans="1:6" x14ac:dyDescent="0.15">
      <c r="A3228" s="1">
        <v>39328</v>
      </c>
      <c r="B3228" t="s">
        <v>4376</v>
      </c>
      <c r="C3228" s="2" t="str">
        <f>HYPERLINK("http://snap.windin.com/ns/bulletin.php?id=1494252&amp;type=1", "珠海万力达电气股份有限公司首次公开发行股票招股说明书(申报稿)")</f>
        <v>珠海万力达电气股份有限公司首次公开发行股票招股说明书(申报稿)</v>
      </c>
      <c r="D3228" t="s">
        <v>9593</v>
      </c>
      <c r="E3228" t="s">
        <v>4579</v>
      </c>
    </row>
    <row r="3229" spans="1:6" x14ac:dyDescent="0.15">
      <c r="A3229" s="1">
        <v>39325</v>
      </c>
      <c r="B3229" t="s">
        <v>4377</v>
      </c>
      <c r="C3229" s="2" t="str">
        <f>HYPERLINK("http://snap.windin.com/ns/bulletin.php?id=237698&amp;type=1", "东方锆业：首次公开发行股票招股说明书")</f>
        <v>东方锆业：首次公开发行股票招股说明书</v>
      </c>
      <c r="D3229" t="s">
        <v>9594</v>
      </c>
      <c r="E3229" t="s">
        <v>6689</v>
      </c>
      <c r="F3229" t="s">
        <v>399</v>
      </c>
    </row>
    <row r="3230" spans="1:6" x14ac:dyDescent="0.15">
      <c r="A3230" s="1">
        <v>39325</v>
      </c>
      <c r="B3230" t="s">
        <v>4378</v>
      </c>
      <c r="C3230" s="2" t="str">
        <f>HYPERLINK("http://snap.windin.com/ns/bulletin.php?id=804330&amp;type=1", "莱茵生物：首次公开发行股票招股说明书")</f>
        <v>莱茵生物：首次公开发行股票招股说明书</v>
      </c>
      <c r="D3230" t="s">
        <v>9595</v>
      </c>
      <c r="E3230" t="s">
        <v>6690</v>
      </c>
      <c r="F3230" t="s">
        <v>399</v>
      </c>
    </row>
    <row r="3231" spans="1:6" x14ac:dyDescent="0.15">
      <c r="A3231" s="1">
        <v>39324</v>
      </c>
      <c r="B3231" t="s">
        <v>3863</v>
      </c>
      <c r="C3231" s="2" t="str">
        <f>HYPERLINK("http://snap.windin.com/ns/bulletin.php?id=698317&amp;type=1", "广州御银科技股份有限公司首发招股说明书(申报稿)")</f>
        <v>广州御银科技股份有限公司首发招股说明书(申报稿)</v>
      </c>
      <c r="D3231" t="s">
        <v>9596</v>
      </c>
      <c r="E3231" t="s">
        <v>4580</v>
      </c>
    </row>
    <row r="3232" spans="1:6" x14ac:dyDescent="0.15">
      <c r="A3232" s="1">
        <v>39323</v>
      </c>
      <c r="B3232" t="s">
        <v>4379</v>
      </c>
      <c r="C3232" s="2" t="str">
        <f>HYPERLINK("http://snap.windin.com/ns/bulletin.php?id=674903&amp;type=1", "中航光电科技股份有限公司首发招股说明书(申报稿)")</f>
        <v>中航光电科技股份有限公司首发招股说明书(申报稿)</v>
      </c>
      <c r="D3232" t="s">
        <v>9597</v>
      </c>
      <c r="E3232" t="s">
        <v>4581</v>
      </c>
    </row>
    <row r="3233" spans="1:6" x14ac:dyDescent="0.15">
      <c r="A3233" s="1">
        <v>39318</v>
      </c>
      <c r="B3233" t="s">
        <v>4380</v>
      </c>
      <c r="C3233" s="2" t="str">
        <f>HYPERLINK("http://snap.windin.com/ns/bulletin.php?id=1099157&amp;type=1", "红宝丽：首次公开发行股票招股说明书")</f>
        <v>红宝丽：首次公开发行股票招股说明书</v>
      </c>
      <c r="D3233" t="s">
        <v>9598</v>
      </c>
      <c r="E3233" t="s">
        <v>6691</v>
      </c>
      <c r="F3233" t="s">
        <v>399</v>
      </c>
    </row>
    <row r="3234" spans="1:6" x14ac:dyDescent="0.15">
      <c r="A3234" s="1">
        <v>39315</v>
      </c>
      <c r="B3234" t="s">
        <v>4367</v>
      </c>
      <c r="C3234" s="2" t="str">
        <f>HYPERLINK("http://snap.windin.com/ns/bulletin.php?id=681131&amp;type=1", "北京银行:首发招股说明书（申报稿）")</f>
        <v>北京银行:首发招股说明书（申报稿）</v>
      </c>
      <c r="D3234" t="s">
        <v>9599</v>
      </c>
      <c r="E3234" t="s">
        <v>6266</v>
      </c>
    </row>
    <row r="3235" spans="1:6" x14ac:dyDescent="0.15">
      <c r="A3235" s="1">
        <v>39301</v>
      </c>
      <c r="B3235" t="s">
        <v>4381</v>
      </c>
      <c r="C3235" s="2" t="str">
        <f>HYPERLINK("http://snap.windin.com/ns/bulletin.php?id=1379292&amp;type=1", "东力传动：首次公开发行股票招股说明书")</f>
        <v>东力传动：首次公开发行股票招股说明书</v>
      </c>
      <c r="D3235" t="s">
        <v>9600</v>
      </c>
      <c r="E3235" t="s">
        <v>6692</v>
      </c>
      <c r="F3235" t="s">
        <v>399</v>
      </c>
    </row>
    <row r="3236" spans="1:6" x14ac:dyDescent="0.15">
      <c r="A3236" s="1">
        <v>39300</v>
      </c>
      <c r="B3236" t="s">
        <v>4383</v>
      </c>
      <c r="C3236" s="2" t="str">
        <f>HYPERLINK("http://snap.windin.com/ns/bulletin.php?id=458426&amp;type=1", "远望谷：首次公开发行股票招股说明书")</f>
        <v>远望谷：首次公开发行股票招股说明书</v>
      </c>
      <c r="D3236" t="s">
        <v>9601</v>
      </c>
      <c r="E3236" t="s">
        <v>6694</v>
      </c>
      <c r="F3236" t="s">
        <v>399</v>
      </c>
    </row>
    <row r="3237" spans="1:6" x14ac:dyDescent="0.15">
      <c r="A3237" s="1">
        <v>39300</v>
      </c>
      <c r="B3237" t="s">
        <v>4382</v>
      </c>
      <c r="C3237" s="2" t="str">
        <f>HYPERLINK("http://snap.windin.com/ns/bulletin.php?id=1844127&amp;type=1", "常铝股份：首次公开发行股票招股说明书")</f>
        <v>常铝股份：首次公开发行股票招股说明书</v>
      </c>
      <c r="D3237" t="s">
        <v>9602</v>
      </c>
      <c r="E3237" t="s">
        <v>6693</v>
      </c>
      <c r="F3237" t="s">
        <v>399</v>
      </c>
    </row>
    <row r="3238" spans="1:6" x14ac:dyDescent="0.15">
      <c r="A3238" s="1">
        <v>39300</v>
      </c>
      <c r="B3238" t="s">
        <v>4384</v>
      </c>
      <c r="C3238" s="2" t="str">
        <f>HYPERLINK("http://snap.windin.com/ns/bulletin.php?id=979356&amp;type=1", "斯米克：首次公开发行股票招股说明书")</f>
        <v>斯米克：首次公开发行股票招股说明书</v>
      </c>
      <c r="D3238" t="s">
        <v>9603</v>
      </c>
      <c r="E3238" t="s">
        <v>6695</v>
      </c>
      <c r="F3238" t="s">
        <v>399</v>
      </c>
    </row>
    <row r="3239" spans="1:6" x14ac:dyDescent="0.15">
      <c r="A3239" s="1">
        <v>39296</v>
      </c>
      <c r="B3239" t="s">
        <v>4386</v>
      </c>
      <c r="C3239" s="2" t="str">
        <f>HYPERLINK("http://snap.windin.com/ns/bulletin.php?id=951993&amp;type=1", "正邦科技：首次公开发行股票招股说明书")</f>
        <v>正邦科技：首次公开发行股票招股说明书</v>
      </c>
      <c r="D3239" t="s">
        <v>9604</v>
      </c>
      <c r="E3239" t="s">
        <v>6697</v>
      </c>
      <c r="F3239" t="s">
        <v>399</v>
      </c>
    </row>
    <row r="3240" spans="1:6" x14ac:dyDescent="0.15">
      <c r="A3240" s="1">
        <v>39296</v>
      </c>
      <c r="B3240" t="s">
        <v>4385</v>
      </c>
      <c r="C3240" s="2" t="str">
        <f>HYPERLINK("http://snap.windin.com/ns/bulletin.php?id=981644&amp;type=1", "汉钟精机：首次公开发行股票招股说明书")</f>
        <v>汉钟精机：首次公开发行股票招股说明书</v>
      </c>
      <c r="D3240" t="s">
        <v>9605</v>
      </c>
      <c r="E3240" t="s">
        <v>6696</v>
      </c>
      <c r="F3240" t="s">
        <v>399</v>
      </c>
    </row>
    <row r="3241" spans="1:6" x14ac:dyDescent="0.15">
      <c r="A3241" s="1">
        <v>39294</v>
      </c>
      <c r="B3241" t="s">
        <v>4387</v>
      </c>
      <c r="C3241" s="2" t="str">
        <f>HYPERLINK("http://snap.windin.com/ns/bulletin.php?id=2087242&amp;type=1", "报喜鸟：首次公开发行股票招股说明书")</f>
        <v>报喜鸟：首次公开发行股票招股说明书</v>
      </c>
      <c r="D3241" t="s">
        <v>9606</v>
      </c>
      <c r="E3241" t="s">
        <v>6698</v>
      </c>
      <c r="F3241" t="s">
        <v>399</v>
      </c>
    </row>
    <row r="3242" spans="1:6" x14ac:dyDescent="0.15">
      <c r="A3242" s="1">
        <v>39294</v>
      </c>
      <c r="B3242" t="s">
        <v>4388</v>
      </c>
      <c r="C3242" s="2" t="str">
        <f>HYPERLINK("http://snap.windin.com/ns/bulletin.php?id=806702&amp;type=1", "通富微电：首次公开发行股票招股说明书")</f>
        <v>通富微电：首次公开发行股票招股说明书</v>
      </c>
      <c r="D3242" t="s">
        <v>9607</v>
      </c>
      <c r="E3242" t="s">
        <v>6699</v>
      </c>
      <c r="F3242" t="s">
        <v>399</v>
      </c>
    </row>
    <row r="3243" spans="1:6" x14ac:dyDescent="0.15">
      <c r="A3243" s="1">
        <v>39294</v>
      </c>
      <c r="B3243" t="s">
        <v>4389</v>
      </c>
      <c r="C3243" s="2" t="str">
        <f>HYPERLINK("http://snap.windin.com/ns/bulletin.php?id=968847&amp;type=1", "辰州矿业：首次公开发行股票招股说明书")</f>
        <v>辰州矿业：首次公开发行股票招股说明书</v>
      </c>
      <c r="D3243" t="s">
        <v>9608</v>
      </c>
      <c r="E3243" t="s">
        <v>6700</v>
      </c>
      <c r="F3243" t="s">
        <v>399</v>
      </c>
    </row>
    <row r="3244" spans="1:6" x14ac:dyDescent="0.15">
      <c r="A3244" s="1">
        <v>39290</v>
      </c>
      <c r="B3244" t="s">
        <v>4390</v>
      </c>
      <c r="C3244" s="2" t="str">
        <f>HYPERLINK("http://snap.windin.com/ns/bulletin.php?id=764024&amp;type=1", "北斗星通：首次公开发行股票招股说明书")</f>
        <v>北斗星通：首次公开发行股票招股说明书</v>
      </c>
      <c r="D3244" t="s">
        <v>9609</v>
      </c>
      <c r="E3244" t="s">
        <v>6701</v>
      </c>
      <c r="F3244" t="s">
        <v>399</v>
      </c>
    </row>
    <row r="3245" spans="1:6" x14ac:dyDescent="0.15">
      <c r="A3245" s="1">
        <v>39290</v>
      </c>
      <c r="B3245" t="s">
        <v>4391</v>
      </c>
      <c r="C3245" s="2" t="str">
        <f>HYPERLINK("http://snap.windin.com/ns/bulletin.php?id=779695&amp;type=1", "广电运通：首次公开发行股票招股说明书")</f>
        <v>广电运通：首次公开发行股票招股说明书</v>
      </c>
      <c r="D3245" t="s">
        <v>9610</v>
      </c>
      <c r="E3245" t="s">
        <v>6702</v>
      </c>
      <c r="F3245" t="s">
        <v>399</v>
      </c>
    </row>
    <row r="3246" spans="1:6" x14ac:dyDescent="0.15">
      <c r="A3246" s="1">
        <v>39288</v>
      </c>
      <c r="B3246" t="s">
        <v>4393</v>
      </c>
      <c r="C3246" s="2" t="str">
        <f>HYPERLINK("http://snap.windin.com/ns/bulletin.php?id=2054189&amp;type=1", "西部材料：首次公开发行股票招股说明书")</f>
        <v>西部材料：首次公开发行股票招股说明书</v>
      </c>
      <c r="D3246" t="s">
        <v>9611</v>
      </c>
      <c r="E3246" t="s">
        <v>6704</v>
      </c>
      <c r="F3246" t="s">
        <v>399</v>
      </c>
    </row>
    <row r="3247" spans="1:6" x14ac:dyDescent="0.15">
      <c r="A3247" s="1">
        <v>39288</v>
      </c>
      <c r="B3247" t="s">
        <v>4392</v>
      </c>
      <c r="C3247" s="2" t="str">
        <f>HYPERLINK("http://snap.windin.com/ns/bulletin.php?id=690805&amp;type=1", "北纬通信：首次公开发行股票招股说明书")</f>
        <v>北纬通信：首次公开发行股票招股说明书</v>
      </c>
      <c r="D3247" t="s">
        <v>9612</v>
      </c>
      <c r="E3247" t="s">
        <v>6703</v>
      </c>
      <c r="F3247" t="s">
        <v>399</v>
      </c>
    </row>
    <row r="3248" spans="1:6" x14ac:dyDescent="0.15">
      <c r="A3248" s="1">
        <v>39286</v>
      </c>
      <c r="B3248" t="s">
        <v>4394</v>
      </c>
      <c r="C3248" s="2" t="str">
        <f>HYPERLINK("http://snap.windin.com/ns/bulletin.php?id=435071&amp;type=1", "荣盛发展：首次公开发行股票招股说明书")</f>
        <v>荣盛发展：首次公开发行股票招股说明书</v>
      </c>
      <c r="D3248" t="s">
        <v>9613</v>
      </c>
      <c r="E3248" t="s">
        <v>6705</v>
      </c>
      <c r="F3248" t="s">
        <v>399</v>
      </c>
    </row>
    <row r="3249" spans="1:6" x14ac:dyDescent="0.15">
      <c r="A3249" s="1">
        <v>39286</v>
      </c>
      <c r="B3249" t="s">
        <v>4395</v>
      </c>
      <c r="C3249" s="2" t="str">
        <f>HYPERLINK("http://snap.windin.com/ns/bulletin.php?id=1963650&amp;type=1", "方圆支承：首次公开发行股票招股说明书")</f>
        <v>方圆支承：首次公开发行股票招股说明书</v>
      </c>
      <c r="D3249" t="s">
        <v>9614</v>
      </c>
      <c r="E3249" t="s">
        <v>6706</v>
      </c>
      <c r="F3249" t="s">
        <v>399</v>
      </c>
    </row>
    <row r="3250" spans="1:6" x14ac:dyDescent="0.15">
      <c r="A3250" s="1">
        <v>39286</v>
      </c>
      <c r="B3250" t="s">
        <v>4344</v>
      </c>
      <c r="C3250" s="2" t="str">
        <f>HYPERLINK("http://snap.windin.com/ns/bulletin.php?id=784625&amp;type=1", "广州路翔股份有限公司首发招股说明书(申报稿)")</f>
        <v>广州路翔股份有限公司首发招股说明书(申报稿)</v>
      </c>
      <c r="D3250" t="s">
        <v>9615</v>
      </c>
      <c r="E3250" t="s">
        <v>4582</v>
      </c>
    </row>
    <row r="3251" spans="1:6" x14ac:dyDescent="0.15">
      <c r="A3251" s="1">
        <v>39283</v>
      </c>
      <c r="B3251" t="s">
        <v>4396</v>
      </c>
      <c r="C3251" s="2" t="str">
        <f>HYPERLINK("http://snap.windin.com/ns/bulletin.php?id=1035014&amp;type=1", "宏达经编：首次公开发行股票招股说明书")</f>
        <v>宏达经编：首次公开发行股票招股说明书</v>
      </c>
      <c r="D3251" t="s">
        <v>9616</v>
      </c>
      <c r="E3251" t="s">
        <v>6707</v>
      </c>
      <c r="F3251" t="s">
        <v>399</v>
      </c>
    </row>
    <row r="3252" spans="1:6" x14ac:dyDescent="0.15">
      <c r="A3252" s="1">
        <v>39283</v>
      </c>
      <c r="B3252" t="s">
        <v>4397</v>
      </c>
      <c r="C3252" s="2" t="str">
        <f>HYPERLINK("http://snap.windin.com/ns/bulletin.php?id=1101106&amp;type=1", "中核钛白：首次公开发行股票招股说明书")</f>
        <v>中核钛白：首次公开发行股票招股说明书</v>
      </c>
      <c r="D3252" t="s">
        <v>9617</v>
      </c>
      <c r="E3252" t="s">
        <v>6708</v>
      </c>
      <c r="F3252" t="s">
        <v>399</v>
      </c>
    </row>
    <row r="3253" spans="1:6" x14ac:dyDescent="0.15">
      <c r="A3253" s="1">
        <v>39281</v>
      </c>
      <c r="B3253" t="s">
        <v>4398</v>
      </c>
      <c r="C3253" s="2" t="str">
        <f>HYPERLINK("http://snap.windin.com/ns/bulletin.php?id=178359&amp;type=1", "南京银行招股说明书")</f>
        <v>南京银行招股说明书</v>
      </c>
      <c r="D3253" t="s">
        <v>9618</v>
      </c>
      <c r="E3253" t="s">
        <v>4583</v>
      </c>
    </row>
    <row r="3254" spans="1:6" x14ac:dyDescent="0.15">
      <c r="A3254" s="1">
        <v>39279</v>
      </c>
      <c r="B3254" t="s">
        <v>4399</v>
      </c>
      <c r="C3254" s="2" t="str">
        <f>HYPERLINK("http://snap.windin.com/ns/bulletin.php?id=794896&amp;type=1", "宁波银行：首次公开发行股票招股说明书")</f>
        <v>宁波银行：首次公开发行股票招股说明书</v>
      </c>
      <c r="D3254" t="s">
        <v>9619</v>
      </c>
      <c r="E3254" t="s">
        <v>6267</v>
      </c>
      <c r="F3254" t="s">
        <v>399</v>
      </c>
    </row>
    <row r="3255" spans="1:6" x14ac:dyDescent="0.15">
      <c r="A3255" s="1">
        <v>39274</v>
      </c>
      <c r="B3255" t="s">
        <v>4400</v>
      </c>
      <c r="C3255" s="2" t="str">
        <f>HYPERLINK("http://snap.windin.com/ns/bulletin.php?id=2084010&amp;type=1", "高金食品：首次公开发行股票招股说明书")</f>
        <v>高金食品：首次公开发行股票招股说明书</v>
      </c>
      <c r="D3255" t="s">
        <v>9620</v>
      </c>
      <c r="E3255" t="s">
        <v>6709</v>
      </c>
      <c r="F3255" t="s">
        <v>399</v>
      </c>
    </row>
    <row r="3256" spans="1:6" x14ac:dyDescent="0.15">
      <c r="A3256" s="1">
        <v>39274</v>
      </c>
      <c r="B3256" t="s">
        <v>4401</v>
      </c>
      <c r="C3256" s="2" t="str">
        <f>HYPERLINK("http://snap.windin.com/ns/bulletin.php?id=2019594&amp;type=1", "西部矿业招股说明书")</f>
        <v>西部矿业招股说明书</v>
      </c>
      <c r="D3256" t="s">
        <v>9621</v>
      </c>
      <c r="E3256" t="s">
        <v>4584</v>
      </c>
    </row>
    <row r="3257" spans="1:6" x14ac:dyDescent="0.15">
      <c r="A3257" s="1">
        <v>39274</v>
      </c>
      <c r="B3257" t="s">
        <v>4402</v>
      </c>
      <c r="C3257" s="2" t="str">
        <f>HYPERLINK("http://snap.windin.com/ns/bulletin.php?id=1885142&amp;type=1", "蓉胜超微：首次公开发行股票招股说明书")</f>
        <v>蓉胜超微：首次公开发行股票招股说明书</v>
      </c>
      <c r="D3257" t="s">
        <v>9622</v>
      </c>
      <c r="E3257" t="s">
        <v>6710</v>
      </c>
      <c r="F3257" t="s">
        <v>399</v>
      </c>
    </row>
    <row r="3258" spans="1:6" x14ac:dyDescent="0.15">
      <c r="A3258" s="1">
        <v>39274</v>
      </c>
      <c r="B3258" t="s">
        <v>4278</v>
      </c>
      <c r="C3258" s="2" t="str">
        <f>HYPERLINK("http://snap.windin.com/ns/bulletin.php?id=585153&amp;type=1", "烟台氨纶股份有限公司首发招股说明书(申报稿)")</f>
        <v>烟台氨纶股份有限公司首发招股说明书(申报稿)</v>
      </c>
      <c r="D3258" t="s">
        <v>9623</v>
      </c>
      <c r="E3258" t="s">
        <v>4585</v>
      </c>
    </row>
    <row r="3259" spans="1:6" x14ac:dyDescent="0.15">
      <c r="A3259" s="1">
        <v>39265</v>
      </c>
      <c r="B3259" t="s">
        <v>4403</v>
      </c>
      <c r="C3259" s="2" t="str">
        <f>HYPERLINK("http://snap.windin.com/ns/bulletin.php?id=403061&amp;type=1", "东华科技：首次公开发行股票招股说明书")</f>
        <v>东华科技：首次公开发行股票招股说明书</v>
      </c>
      <c r="D3259" t="s">
        <v>9624</v>
      </c>
      <c r="E3259" t="s">
        <v>6711</v>
      </c>
      <c r="F3259" t="s">
        <v>399</v>
      </c>
    </row>
    <row r="3260" spans="1:6" x14ac:dyDescent="0.15">
      <c r="A3260" s="1">
        <v>39258</v>
      </c>
      <c r="B3260" t="s">
        <v>4404</v>
      </c>
      <c r="C3260" s="2" t="str">
        <f>HYPERLINK("http://snap.windin.com/ns/bulletin.php?id=1373200&amp;type=1", "中国远洋招股说明书")</f>
        <v>中国远洋招股说明书</v>
      </c>
      <c r="D3260" t="s">
        <v>9625</v>
      </c>
      <c r="E3260" t="s">
        <v>4586</v>
      </c>
    </row>
    <row r="3261" spans="1:6" x14ac:dyDescent="0.15">
      <c r="A3261" s="1">
        <v>39252</v>
      </c>
      <c r="B3261" t="s">
        <v>4405</v>
      </c>
      <c r="C3261" s="2" t="str">
        <f>HYPERLINK("http://snap.windin.com/ns/bulletin.php?id=1760560&amp;type=1", "拓邦电子：首次公开发行股票招股说明书")</f>
        <v>拓邦电子：首次公开发行股票招股说明书</v>
      </c>
      <c r="D3261" t="s">
        <v>9626</v>
      </c>
      <c r="E3261" t="s">
        <v>6712</v>
      </c>
      <c r="F3261" t="s">
        <v>399</v>
      </c>
    </row>
    <row r="3262" spans="1:6" x14ac:dyDescent="0.15">
      <c r="A3262" s="1">
        <v>39251</v>
      </c>
      <c r="B3262" t="s">
        <v>4399</v>
      </c>
      <c r="C3262" s="2" t="str">
        <f>HYPERLINK("http://snap.windin.com/ns/bulletin.php?id=1638837&amp;type=1", "宁波银行:首次公开发行股票招股说明书（申报稿）")</f>
        <v>宁波银行:首次公开发行股票招股说明书（申报稿）</v>
      </c>
      <c r="D3262" t="s">
        <v>9627</v>
      </c>
      <c r="E3262" t="s">
        <v>6267</v>
      </c>
    </row>
    <row r="3263" spans="1:6" x14ac:dyDescent="0.15">
      <c r="A3263" s="1">
        <v>39251</v>
      </c>
      <c r="B3263" t="s">
        <v>4398</v>
      </c>
      <c r="C3263" s="2" t="str">
        <f>HYPERLINK("http://snap.windin.com/ns/bulletin.php?id=914402&amp;type=1", "南京银行:首次公开发行股票招股说明书（申报稿）")</f>
        <v>南京银行:首次公开发行股票招股说明书（申报稿）</v>
      </c>
      <c r="D3263" t="s">
        <v>9628</v>
      </c>
      <c r="E3263" t="s">
        <v>6268</v>
      </c>
    </row>
    <row r="3264" spans="1:6" x14ac:dyDescent="0.15">
      <c r="A3264" s="1">
        <v>39233</v>
      </c>
      <c r="B3264" t="s">
        <v>4406</v>
      </c>
      <c r="C3264" s="2" t="str">
        <f>HYPERLINK("http://snap.windin.com/ns/bulletin.php?id=1701696&amp;type=1", "顺络电子：首次公开发行股票招股说明书")</f>
        <v>顺络电子：首次公开发行股票招股说明书</v>
      </c>
      <c r="D3264" t="s">
        <v>9629</v>
      </c>
      <c r="E3264" t="s">
        <v>6713</v>
      </c>
      <c r="F3264" t="s">
        <v>399</v>
      </c>
    </row>
    <row r="3265" spans="1:6" x14ac:dyDescent="0.15">
      <c r="A3265" s="1">
        <v>39232</v>
      </c>
      <c r="B3265" t="s">
        <v>4407</v>
      </c>
      <c r="C3265" s="2" t="str">
        <f>HYPERLINK("http://snap.windin.com/ns/bulletin.php?id=1453222&amp;type=1", "实益达：首次公开发行股票招股说明书")</f>
        <v>实益达：首次公开发行股票招股说明书</v>
      </c>
      <c r="D3265" t="s">
        <v>9630</v>
      </c>
      <c r="E3265" t="s">
        <v>6714</v>
      </c>
      <c r="F3265" t="s">
        <v>399</v>
      </c>
    </row>
    <row r="3266" spans="1:6" x14ac:dyDescent="0.15">
      <c r="A3266" s="1">
        <v>39220</v>
      </c>
      <c r="B3266" t="s">
        <v>4408</v>
      </c>
      <c r="C3266" s="2" t="str">
        <f>HYPERLINK("http://snap.windin.com/ns/bulletin.php?id=1660171&amp;type=1", "安纳达：招股说明书")</f>
        <v>安纳达：招股说明书</v>
      </c>
      <c r="D3266" t="s">
        <v>9631</v>
      </c>
      <c r="E3266" t="s">
        <v>6715</v>
      </c>
      <c r="F3266" t="s">
        <v>6716</v>
      </c>
    </row>
    <row r="3267" spans="1:6" x14ac:dyDescent="0.15">
      <c r="A3267" s="1">
        <v>39216</v>
      </c>
      <c r="B3267" t="s">
        <v>4409</v>
      </c>
      <c r="C3267" s="2" t="str">
        <f>HYPERLINK("http://snap.windin.com/ns/bulletin.php?id=1909881&amp;type=1", "交通银行招股说明书")</f>
        <v>交通银行招股说明书</v>
      </c>
      <c r="D3267" t="s">
        <v>9632</v>
      </c>
      <c r="E3267" t="s">
        <v>4587</v>
      </c>
    </row>
    <row r="3268" spans="1:6" x14ac:dyDescent="0.15">
      <c r="A3268" s="1">
        <v>39210</v>
      </c>
      <c r="B3268" t="s">
        <v>4410</v>
      </c>
      <c r="C3268" s="2" t="str">
        <f>HYPERLINK("http://snap.windin.com/ns/bulletin.php?id=1831028&amp;type=1", "东南网架：首次公开发行股票招股说明书")</f>
        <v>东南网架：首次公开发行股票招股说明书</v>
      </c>
      <c r="D3268" t="s">
        <v>9633</v>
      </c>
      <c r="E3268" t="s">
        <v>6717</v>
      </c>
      <c r="F3268" t="s">
        <v>399</v>
      </c>
    </row>
    <row r="3269" spans="1:6" x14ac:dyDescent="0.15">
      <c r="A3269" s="1">
        <v>39198</v>
      </c>
      <c r="B3269" t="s">
        <v>4411</v>
      </c>
      <c r="C3269" s="2" t="str">
        <f>HYPERLINK("http://snap.windin.com/ns/bulletin.php?id=1686298&amp;type=1", "中国铝业首次公开发行A股招股说明书暨换股吸收合并山东铝业股份有限公司、兰州铝业股份有限公司报告书")</f>
        <v>中国铝业首次公开发行A股招股说明书暨换股吸收合并山东铝业股份有限公司、兰州铝业股份有限公司报告书</v>
      </c>
      <c r="D3269" t="s">
        <v>9634</v>
      </c>
      <c r="E3269" t="s">
        <v>4588</v>
      </c>
    </row>
    <row r="3270" spans="1:6" x14ac:dyDescent="0.15">
      <c r="A3270" s="1">
        <v>39198</v>
      </c>
      <c r="B3270" t="s">
        <v>4412</v>
      </c>
      <c r="C3270" s="2" t="str">
        <f>HYPERLINK("http://snap.windin.com/ns/bulletin.php?id=1425707&amp;type=1", "中信银行招股说明书")</f>
        <v>中信银行招股说明书</v>
      </c>
      <c r="D3270" t="s">
        <v>9635</v>
      </c>
      <c r="E3270" t="s">
        <v>4589</v>
      </c>
    </row>
    <row r="3271" spans="1:6" x14ac:dyDescent="0.15">
      <c r="A3271" s="1">
        <v>39197</v>
      </c>
      <c r="B3271" t="s">
        <v>4413</v>
      </c>
      <c r="C3271" s="2" t="str">
        <f>HYPERLINK("http://snap.windin.com/ns/bulletin.php?id=220619&amp;type=1", "连云港首次公开发行A股股票招股说明书")</f>
        <v>连云港首次公开发行A股股票招股说明书</v>
      </c>
      <c r="D3271" t="s">
        <v>9636</v>
      </c>
      <c r="E3271" t="s">
        <v>4590</v>
      </c>
    </row>
    <row r="3272" spans="1:6" x14ac:dyDescent="0.15">
      <c r="A3272" s="1">
        <v>39195</v>
      </c>
      <c r="B3272" t="s">
        <v>4414</v>
      </c>
      <c r="C3272" s="2" t="str">
        <f>HYPERLINK("http://snap.windin.com/ns/bulletin.php?id=507539&amp;type=1", "天津普林：首次公开发行股票招股说明书")</f>
        <v>天津普林：首次公开发行股票招股说明书</v>
      </c>
      <c r="D3272" t="s">
        <v>9637</v>
      </c>
      <c r="E3272" t="s">
        <v>6718</v>
      </c>
      <c r="F3272" t="s">
        <v>399</v>
      </c>
    </row>
    <row r="3273" spans="1:6" x14ac:dyDescent="0.15">
      <c r="A3273" s="1">
        <v>39193</v>
      </c>
      <c r="B3273" t="s">
        <v>4411</v>
      </c>
      <c r="C3273" s="2" t="str">
        <f>HYPERLINK("http://snap.windin.com/ns/bulletin.php?id=541417&amp;type=1", "中国铝业首次公开发行A股招股说明书暨换股吸收合并山东铝业、兰州铝业报告书")</f>
        <v>中国铝业首次公开发行A股招股说明书暨换股吸收合并山东铝业、兰州铝业报告书</v>
      </c>
      <c r="D3273" t="s">
        <v>9638</v>
      </c>
      <c r="E3273" t="s">
        <v>4591</v>
      </c>
    </row>
    <row r="3274" spans="1:6" x14ac:dyDescent="0.15">
      <c r="A3274" s="1">
        <v>39184</v>
      </c>
      <c r="B3274" t="s">
        <v>4415</v>
      </c>
      <c r="C3274" s="2" t="str">
        <f>HYPERLINK("http://snap.windin.com/ns/bulletin.php?id=1795346&amp;type=1", "恒星科技：首次公开发行股票招股说明书")</f>
        <v>恒星科技：首次公开发行股票招股说明书</v>
      </c>
      <c r="D3274" t="s">
        <v>9639</v>
      </c>
      <c r="E3274" t="s">
        <v>6719</v>
      </c>
      <c r="F3274" t="s">
        <v>399</v>
      </c>
    </row>
    <row r="3275" spans="1:6" x14ac:dyDescent="0.15">
      <c r="A3275" s="1">
        <v>39184</v>
      </c>
      <c r="B3275" t="s">
        <v>4416</v>
      </c>
      <c r="C3275" s="2" t="str">
        <f>HYPERLINK("http://snap.windin.com/ns/bulletin.php?id=2116308&amp;type=1", "利欧股份：首次公开发行股票招股说明书")</f>
        <v>利欧股份：首次公开发行股票招股说明书</v>
      </c>
      <c r="D3275" t="s">
        <v>9640</v>
      </c>
      <c r="E3275" t="s">
        <v>6720</v>
      </c>
      <c r="F3275" t="s">
        <v>399</v>
      </c>
    </row>
    <row r="3276" spans="1:6" x14ac:dyDescent="0.15">
      <c r="A3276" s="1">
        <v>39184</v>
      </c>
      <c r="B3276" t="s">
        <v>4409</v>
      </c>
      <c r="C3276" s="2" t="str">
        <f>HYPERLINK("http://snap.windin.com/ns/bulletin.php?id=1891870&amp;type=1", "交通银行:首次公开发行股票（A股）招股说明书（申报稿)")</f>
        <v>交通银行:首次公开发行股票（A股）招股说明书（申报稿)</v>
      </c>
      <c r="D3276" t="s">
        <v>9641</v>
      </c>
      <c r="E3276" t="s">
        <v>6269</v>
      </c>
    </row>
    <row r="3277" spans="1:6" x14ac:dyDescent="0.15">
      <c r="A3277" s="1">
        <v>39177</v>
      </c>
      <c r="B3277" t="s">
        <v>4417</v>
      </c>
      <c r="C3277" s="2" t="str">
        <f>HYPERLINK("http://snap.windin.com/ns/bulletin.php?id=239584&amp;type=1", "沃尔核材：首次公开发行股票招股说明书")</f>
        <v>沃尔核材：首次公开发行股票招股说明书</v>
      </c>
      <c r="D3277" t="s">
        <v>9642</v>
      </c>
      <c r="E3277" t="s">
        <v>6721</v>
      </c>
      <c r="F3277" t="s">
        <v>399</v>
      </c>
    </row>
    <row r="3278" spans="1:6" x14ac:dyDescent="0.15">
      <c r="A3278" s="1">
        <v>39177</v>
      </c>
      <c r="B3278" t="s">
        <v>4418</v>
      </c>
      <c r="C3278" s="2" t="str">
        <f>HYPERLINK("http://snap.windin.com/ns/bulletin.php?id=546698&amp;type=1", "中环股份：首次公开发行股票招股说明书")</f>
        <v>中环股份：首次公开发行股票招股说明书</v>
      </c>
      <c r="D3278" t="s">
        <v>9643</v>
      </c>
      <c r="E3278" t="s">
        <v>6722</v>
      </c>
      <c r="F3278" t="s">
        <v>399</v>
      </c>
    </row>
    <row r="3279" spans="1:6" x14ac:dyDescent="0.15">
      <c r="A3279" s="1">
        <v>39177</v>
      </c>
      <c r="B3279" t="s">
        <v>4419</v>
      </c>
      <c r="C3279" s="2" t="str">
        <f>HYPERLINK("http://snap.windin.com/ns/bulletin.php?id=1013608&amp;type=1", "露天煤业：首次公开发行A股股票招股说明书")</f>
        <v>露天煤业：首次公开发行A股股票招股说明书</v>
      </c>
      <c r="D3279" t="s">
        <v>9644</v>
      </c>
      <c r="E3279" t="s">
        <v>6723</v>
      </c>
      <c r="F3279" t="s">
        <v>462</v>
      </c>
    </row>
    <row r="3280" spans="1:6" x14ac:dyDescent="0.15">
      <c r="A3280" s="1">
        <v>39176</v>
      </c>
      <c r="B3280" t="s">
        <v>4420</v>
      </c>
      <c r="C3280" s="2" t="str">
        <f>HYPERLINK("http://snap.windin.com/ns/bulletin.php?id=116259&amp;type=1", "金陵饭店招股说明书")</f>
        <v>金陵饭店招股说明书</v>
      </c>
      <c r="D3280" t="s">
        <v>9645</v>
      </c>
      <c r="E3280" t="s">
        <v>4592</v>
      </c>
    </row>
    <row r="3281" spans="1:6" x14ac:dyDescent="0.15">
      <c r="A3281" s="1">
        <v>39176</v>
      </c>
      <c r="B3281" t="s">
        <v>4421</v>
      </c>
      <c r="C3281" s="2" t="str">
        <f>HYPERLINK("http://snap.windin.com/ns/bulletin.php?id=1148043&amp;type=1", "银轮股份：首次公开发行股票招股说明书")</f>
        <v>银轮股份：首次公开发行股票招股说明书</v>
      </c>
      <c r="D3281" t="s">
        <v>9646</v>
      </c>
      <c r="E3281" t="s">
        <v>6724</v>
      </c>
      <c r="F3281" t="s">
        <v>399</v>
      </c>
    </row>
    <row r="3282" spans="1:6" x14ac:dyDescent="0.15">
      <c r="A3282" s="1">
        <v>39172</v>
      </c>
      <c r="B3282" t="s">
        <v>4422</v>
      </c>
      <c r="C3282" s="2" t="str">
        <f>HYPERLINK("http://snap.windin.com/ns/bulletin.php?id=527878&amp;type=1", "S湘火炬：潍柴动力股份有限公司公开发行A股招股说明书暨换股吸收合并湘火炬汽车集团股份有限公司报告书")</f>
        <v>S湘火炬：潍柴动力股份有限公司公开发行A股招股说明书暨换股吸收合并湘火炬汽车集团股份有限公司报告书</v>
      </c>
      <c r="D3282" t="s">
        <v>9647</v>
      </c>
      <c r="E3282" t="s">
        <v>6725</v>
      </c>
      <c r="F3282" t="s">
        <v>6726</v>
      </c>
    </row>
    <row r="3283" spans="1:6" x14ac:dyDescent="0.15">
      <c r="A3283" s="1">
        <v>39169</v>
      </c>
      <c r="B3283" t="s">
        <v>4412</v>
      </c>
      <c r="C3283" s="2" t="str">
        <f>HYPERLINK("http://snap.windin.com/ns/bulletin.php?id=789142&amp;type=1", "中信银行:首次公开发行A股招股说明书(申报稿)")</f>
        <v>中信银行:首次公开发行A股招股说明书(申报稿)</v>
      </c>
      <c r="D3283" t="s">
        <v>9648</v>
      </c>
      <c r="E3283" t="s">
        <v>6270</v>
      </c>
    </row>
    <row r="3284" spans="1:6" x14ac:dyDescent="0.15">
      <c r="A3284" s="1">
        <v>39157</v>
      </c>
      <c r="B3284" t="s">
        <v>4423</v>
      </c>
      <c r="C3284" s="2" t="str">
        <f>HYPERLINK("http://snap.windin.com/ns/bulletin.php?id=1749505&amp;type=1", "天邦股份：首次公开发行股票招股说明书")</f>
        <v>天邦股份：首次公开发行股票招股说明书</v>
      </c>
      <c r="D3284" t="s">
        <v>9649</v>
      </c>
      <c r="E3284" t="s">
        <v>6727</v>
      </c>
      <c r="F3284" t="s">
        <v>399</v>
      </c>
    </row>
    <row r="3285" spans="1:6" x14ac:dyDescent="0.15">
      <c r="A3285" s="1">
        <v>39157</v>
      </c>
      <c r="B3285" t="s">
        <v>4424</v>
      </c>
      <c r="C3285" s="2" t="str">
        <f>HYPERLINK("http://snap.windin.com/ns/bulletin.php?id=1917961&amp;type=1", "湘潭电化：首次公开发行股票招股说明书")</f>
        <v>湘潭电化：首次公开发行股票招股说明书</v>
      </c>
      <c r="D3285" t="s">
        <v>9650</v>
      </c>
      <c r="E3285" t="s">
        <v>6728</v>
      </c>
      <c r="F3285" t="s">
        <v>399</v>
      </c>
    </row>
    <row r="3286" spans="1:6" x14ac:dyDescent="0.15">
      <c r="A3286" s="1">
        <v>39156</v>
      </c>
      <c r="B3286" t="s">
        <v>4425</v>
      </c>
      <c r="C3286" s="2" t="str">
        <f>HYPERLINK("http://snap.windin.com/ns/bulletin.php?id=1728309&amp;type=1", "荣信股份：首次公开发行股票招股说明书")</f>
        <v>荣信股份：首次公开发行股票招股说明书</v>
      </c>
      <c r="D3286" t="s">
        <v>9651</v>
      </c>
      <c r="E3286" t="s">
        <v>6729</v>
      </c>
      <c r="F3286" t="s">
        <v>399</v>
      </c>
    </row>
    <row r="3287" spans="1:6" x14ac:dyDescent="0.15">
      <c r="A3287" s="1">
        <v>39156</v>
      </c>
      <c r="B3287" t="s">
        <v>4426</v>
      </c>
      <c r="C3287" s="2" t="str">
        <f>HYPERLINK("http://snap.windin.com/ns/bulletin.php?id=1297807&amp;type=1", "天马股份：首次公开发行股票招股说明书")</f>
        <v>天马股份：首次公开发行股票招股说明书</v>
      </c>
      <c r="D3287" t="s">
        <v>9652</v>
      </c>
      <c r="E3287" t="s">
        <v>6730</v>
      </c>
      <c r="F3287" t="s">
        <v>399</v>
      </c>
    </row>
    <row r="3288" spans="1:6" x14ac:dyDescent="0.15">
      <c r="A3288" s="1">
        <v>39141</v>
      </c>
      <c r="B3288" t="s">
        <v>4427</v>
      </c>
      <c r="C3288" s="2" t="str">
        <f>HYPERLINK("http://snap.windin.com/ns/bulletin.php?id=824615&amp;type=1", "中国平安招股说明书")</f>
        <v>中国平安招股说明书</v>
      </c>
      <c r="D3288" t="s">
        <v>9653</v>
      </c>
      <c r="E3288" t="s">
        <v>4593</v>
      </c>
    </row>
    <row r="3289" spans="1:6" x14ac:dyDescent="0.15">
      <c r="A3289" s="1">
        <v>39140</v>
      </c>
      <c r="B3289" t="s">
        <v>4428</v>
      </c>
      <c r="C3289" s="2" t="str">
        <f>HYPERLINK("http://snap.windin.com/ns/bulletin.php?id=1402287&amp;type=1", "重庆钢铁招股说明书")</f>
        <v>重庆钢铁招股说明书</v>
      </c>
      <c r="D3289" t="s">
        <v>9654</v>
      </c>
      <c r="E3289" t="s">
        <v>4594</v>
      </c>
    </row>
    <row r="3290" spans="1:6" x14ac:dyDescent="0.15">
      <c r="A3290" s="1">
        <v>39139</v>
      </c>
      <c r="B3290" t="s">
        <v>4429</v>
      </c>
      <c r="C3290" s="2" t="str">
        <f>HYPERLINK("http://snap.windin.com/ns/bulletin.php?id=506382&amp;type=1", "柳钢股份招股说明书")</f>
        <v>柳钢股份招股说明书</v>
      </c>
      <c r="D3290" t="s">
        <v>9655</v>
      </c>
      <c r="E3290" t="s">
        <v>4595</v>
      </c>
    </row>
    <row r="3291" spans="1:6" x14ac:dyDescent="0.15">
      <c r="A3291" s="1">
        <v>39123</v>
      </c>
      <c r="B3291" t="s">
        <v>4430</v>
      </c>
      <c r="C3291" s="2" t="str">
        <f>HYPERLINK("http://snap.windin.com/ns/bulletin.php?id=1970557&amp;type=1", "新海股份：首次公开发行股票招股说明书")</f>
        <v>新海股份：首次公开发行股票招股说明书</v>
      </c>
      <c r="D3291" t="s">
        <v>9656</v>
      </c>
      <c r="E3291" t="s">
        <v>6731</v>
      </c>
      <c r="F3291" t="s">
        <v>399</v>
      </c>
    </row>
    <row r="3292" spans="1:6" x14ac:dyDescent="0.15">
      <c r="A3292" s="1">
        <v>39120</v>
      </c>
      <c r="B3292" t="s">
        <v>4431</v>
      </c>
      <c r="C3292" s="2" t="str">
        <f>HYPERLINK("http://snap.windin.com/ns/bulletin.php?id=219128&amp;type=1", "康强电子：首次公开发行股票招股说明书")</f>
        <v>康强电子：首次公开发行股票招股说明书</v>
      </c>
      <c r="D3292" t="s">
        <v>9657</v>
      </c>
      <c r="E3292" t="s">
        <v>6732</v>
      </c>
      <c r="F3292" t="s">
        <v>399</v>
      </c>
    </row>
    <row r="3293" spans="1:6" x14ac:dyDescent="0.15">
      <c r="A3293" s="1">
        <v>39120</v>
      </c>
      <c r="B3293" t="s">
        <v>4432</v>
      </c>
      <c r="C3293" s="2" t="str">
        <f>HYPERLINK("http://snap.windin.com/ns/bulletin.php?id=1839308&amp;type=1", "东港股份：首次公开发行股票招股说明书")</f>
        <v>东港股份：首次公开发行股票招股说明书</v>
      </c>
      <c r="D3293" t="s">
        <v>9658</v>
      </c>
      <c r="E3293" t="s">
        <v>6733</v>
      </c>
      <c r="F3293" t="s">
        <v>399</v>
      </c>
    </row>
    <row r="3294" spans="1:6" x14ac:dyDescent="0.15">
      <c r="A3294" s="1">
        <v>39115</v>
      </c>
      <c r="B3294" t="s">
        <v>4433</v>
      </c>
      <c r="C3294" s="2" t="str">
        <f>HYPERLINK("http://snap.windin.com/ns/bulletin.php?id=1769677&amp;type=1", "中国海诚：首次公开发行股票招股说明书")</f>
        <v>中国海诚：首次公开发行股票招股说明书</v>
      </c>
      <c r="D3294" t="s">
        <v>9659</v>
      </c>
      <c r="E3294" t="s">
        <v>6734</v>
      </c>
      <c r="F3294" t="s">
        <v>399</v>
      </c>
    </row>
    <row r="3295" spans="1:6" x14ac:dyDescent="0.15">
      <c r="A3295" s="1">
        <v>39115</v>
      </c>
      <c r="B3295" t="s">
        <v>4434</v>
      </c>
      <c r="C3295" s="2" t="str">
        <f>HYPERLINK("http://snap.windin.com/ns/bulletin.php?id=1931833&amp;type=1", "兴业银行招股说明书")</f>
        <v>兴业银行招股说明书</v>
      </c>
      <c r="D3295" t="s">
        <v>9660</v>
      </c>
      <c r="E3295" t="s">
        <v>4596</v>
      </c>
    </row>
    <row r="3296" spans="1:6" x14ac:dyDescent="0.15">
      <c r="A3296" s="1">
        <v>39113</v>
      </c>
      <c r="B3296" t="s">
        <v>4435</v>
      </c>
      <c r="C3296" s="2" t="str">
        <f>HYPERLINK("http://snap.windin.com/ns/bulletin.php?id=491459&amp;type=1", "三维通信：首次公开发行股票招股说明书")</f>
        <v>三维通信：首次公开发行股票招股说明书</v>
      </c>
      <c r="D3296" t="s">
        <v>9661</v>
      </c>
      <c r="E3296" t="s">
        <v>6735</v>
      </c>
      <c r="F3296" t="s">
        <v>399</v>
      </c>
    </row>
    <row r="3297" spans="1:6" x14ac:dyDescent="0.15">
      <c r="A3297" s="1">
        <v>39107</v>
      </c>
      <c r="B3297" t="s">
        <v>4436</v>
      </c>
      <c r="C3297" s="2" t="str">
        <f>HYPERLINK("http://snap.windin.com/ns/bulletin.php?id=1244829&amp;type=1", "三变科技：首次公开发行股票招股说明书")</f>
        <v>三变科技：首次公开发行股票招股说明书</v>
      </c>
      <c r="D3297" t="s">
        <v>9662</v>
      </c>
      <c r="E3297" t="s">
        <v>6736</v>
      </c>
      <c r="F3297" t="s">
        <v>399</v>
      </c>
    </row>
    <row r="3298" spans="1:6" x14ac:dyDescent="0.15">
      <c r="A3298" s="1">
        <v>39107</v>
      </c>
      <c r="B3298" t="s">
        <v>4437</v>
      </c>
      <c r="C3298" s="2" t="str">
        <f>HYPERLINK("http://snap.windin.com/ns/bulletin.php?id=666711&amp;type=1", "天润发展：公开发行股票招股说明书")</f>
        <v>天润发展：公开发行股票招股说明书</v>
      </c>
      <c r="D3298" t="s">
        <v>9663</v>
      </c>
      <c r="E3298" t="s">
        <v>6737</v>
      </c>
      <c r="F3298" t="s">
        <v>6738</v>
      </c>
    </row>
    <row r="3299" spans="1:6" x14ac:dyDescent="0.15">
      <c r="A3299" s="1">
        <v>39107</v>
      </c>
      <c r="B3299" t="s">
        <v>4438</v>
      </c>
      <c r="C3299" s="2" t="str">
        <f>HYPERLINK("http://snap.windin.com/ns/bulletin.php?id=1591966&amp;type=1", "晋亿实业招股说明书")</f>
        <v>晋亿实业招股说明书</v>
      </c>
      <c r="D3299" t="s">
        <v>9664</v>
      </c>
      <c r="E3299" t="s">
        <v>4597</v>
      </c>
    </row>
    <row r="3300" spans="1:6" x14ac:dyDescent="0.15">
      <c r="A3300" s="1">
        <v>39097</v>
      </c>
      <c r="B3300" t="s">
        <v>3634</v>
      </c>
      <c r="C3300" s="2" t="str">
        <f>HYPERLINK("http://snap.windin.com/ns/bulletin.php?id=1123013&amp;type=1", "威海广泰：首次公开发行股票招股说明书")</f>
        <v>威海广泰：首次公开发行股票招股说明书</v>
      </c>
      <c r="D3300" t="s">
        <v>9665</v>
      </c>
      <c r="E3300" t="s">
        <v>5620</v>
      </c>
      <c r="F3300" t="s">
        <v>399</v>
      </c>
    </row>
    <row r="3301" spans="1:6" x14ac:dyDescent="0.15">
      <c r="A3301" s="1">
        <v>39092</v>
      </c>
      <c r="B3301" t="s">
        <v>4439</v>
      </c>
      <c r="C3301" s="2" t="str">
        <f>HYPERLINK("http://snap.windin.com/ns/bulletin.php?id=1544502&amp;type=1", "三钢闽光：首次公开发行股票招股说明书")</f>
        <v>三钢闽光：首次公开发行股票招股说明书</v>
      </c>
      <c r="D3301" t="s">
        <v>9666</v>
      </c>
      <c r="E3301" t="s">
        <v>6739</v>
      </c>
      <c r="F3301" t="s">
        <v>399</v>
      </c>
    </row>
    <row r="3302" spans="1:6" x14ac:dyDescent="0.15">
      <c r="A3302" s="1">
        <v>39091</v>
      </c>
      <c r="B3302" t="s">
        <v>4441</v>
      </c>
      <c r="C3302" s="2" t="str">
        <f>HYPERLINK("http://snap.windin.com/ns/bulletin.php?id=1359392&amp;type=1", "沃华医药：首次公开发行股票招股说明书")</f>
        <v>沃华医药：首次公开发行股票招股说明书</v>
      </c>
      <c r="D3302" t="s">
        <v>9667</v>
      </c>
      <c r="E3302" t="s">
        <v>6741</v>
      </c>
      <c r="F3302" t="s">
        <v>399</v>
      </c>
    </row>
    <row r="3303" spans="1:6" x14ac:dyDescent="0.15">
      <c r="A3303" s="1">
        <v>39091</v>
      </c>
      <c r="B3303" t="s">
        <v>4440</v>
      </c>
      <c r="C3303" s="2" t="str">
        <f>HYPERLINK("http://snap.windin.com/ns/bulletin.php?id=2039214&amp;type=1", "沧州明珠：首次公开发行股票招股说明书")</f>
        <v>沧州明珠：首次公开发行股票招股说明书</v>
      </c>
      <c r="D3303" t="s">
        <v>9668</v>
      </c>
      <c r="E3303" t="s">
        <v>6740</v>
      </c>
      <c r="F3303" t="s">
        <v>399</v>
      </c>
    </row>
    <row r="3304" spans="1:6" x14ac:dyDescent="0.15">
      <c r="A3304" s="1">
        <v>39090</v>
      </c>
      <c r="B3304" t="s">
        <v>4442</v>
      </c>
      <c r="C3304" s="2" t="str">
        <f>HYPERLINK("http://snap.windin.com/ns/bulletin.php?id=1220939&amp;type=1", "中国人寿招股说明书")</f>
        <v>中国人寿招股说明书</v>
      </c>
      <c r="D3304" t="s">
        <v>9669</v>
      </c>
      <c r="E3304" t="s">
        <v>4598</v>
      </c>
    </row>
    <row r="3305" spans="1:6" x14ac:dyDescent="0.15">
      <c r="A3305" s="1">
        <v>39086</v>
      </c>
      <c r="B3305" t="s">
        <v>4434</v>
      </c>
      <c r="C3305" s="2" t="str">
        <f>HYPERLINK("http://snap.windin.com/ns/bulletin.php?id=867149&amp;type=1", "兴业银行:首次公开发行股票招股说明书（申报稿）")</f>
        <v>兴业银行:首次公开发行股票招股说明书（申报稿）</v>
      </c>
      <c r="D3305" t="s">
        <v>9670</v>
      </c>
      <c r="E3305" t="s">
        <v>6271</v>
      </c>
    </row>
    <row r="3306" spans="1:6" x14ac:dyDescent="0.15">
      <c r="A3306" s="1">
        <v>39076</v>
      </c>
      <c r="B3306" t="s">
        <v>4443</v>
      </c>
      <c r="C3306" s="2" t="str">
        <f>HYPERLINK("http://snap.windin.com/ns/bulletin.php?id=1550626&amp;type=1", "莱宝高科：首次公开发行股票招股说明书")</f>
        <v>莱宝高科：首次公开发行股票招股说明书</v>
      </c>
      <c r="D3306" t="s">
        <v>9671</v>
      </c>
      <c r="E3306" t="s">
        <v>6742</v>
      </c>
      <c r="F3306" t="s">
        <v>399</v>
      </c>
    </row>
    <row r="3307" spans="1:6" x14ac:dyDescent="0.15">
      <c r="A3307" s="1">
        <v>39074</v>
      </c>
      <c r="B3307" t="s">
        <v>4444</v>
      </c>
      <c r="C3307" s="2" t="str">
        <f>HYPERLINK("http://snap.windin.com/ns/bulletin.php?id=137468&amp;type=1", "信隆实业：首次公开发行股票招股说明书")</f>
        <v>信隆实业：首次公开发行股票招股说明书</v>
      </c>
      <c r="D3307" t="s">
        <v>9672</v>
      </c>
      <c r="E3307" t="s">
        <v>6743</v>
      </c>
      <c r="F3307" t="s">
        <v>399</v>
      </c>
    </row>
    <row r="3308" spans="1:6" x14ac:dyDescent="0.15">
      <c r="A3308" s="1">
        <v>39073</v>
      </c>
      <c r="B3308" t="s">
        <v>4445</v>
      </c>
      <c r="C3308" s="2" t="str">
        <f>HYPERLINK("http://snap.windin.com/ns/bulletin.php?id=413504&amp;type=1", "广博股份：首次公开发行股票招股说明书")</f>
        <v>广博股份：首次公开发行股票招股说明书</v>
      </c>
      <c r="D3308" t="s">
        <v>9673</v>
      </c>
      <c r="E3308" t="s">
        <v>6744</v>
      </c>
      <c r="F3308" t="s">
        <v>399</v>
      </c>
    </row>
    <row r="3309" spans="1:6" x14ac:dyDescent="0.15">
      <c r="A3309" s="1">
        <v>39073</v>
      </c>
      <c r="B3309" t="s">
        <v>4446</v>
      </c>
      <c r="C3309" s="2" t="str">
        <f>HYPERLINK("http://snap.windin.com/ns/bulletin.php?id=1287373&amp;type=1", "恒宝股份：首次公开发行股票招股说明书")</f>
        <v>恒宝股份：首次公开发行股票招股说明书</v>
      </c>
      <c r="D3309" t="s">
        <v>9674</v>
      </c>
      <c r="E3309" t="s">
        <v>6745</v>
      </c>
      <c r="F3309" t="s">
        <v>399</v>
      </c>
    </row>
    <row r="3310" spans="1:6" x14ac:dyDescent="0.15">
      <c r="A3310" s="1">
        <v>39072</v>
      </c>
      <c r="B3310" t="s">
        <v>4447</v>
      </c>
      <c r="C3310" s="2" t="str">
        <f>HYPERLINK("http://snap.windin.com/ns/bulletin.php?id=1393638&amp;type=1", "广深铁路招股说明书")</f>
        <v>广深铁路招股说明书</v>
      </c>
      <c r="D3310" t="s">
        <v>9675</v>
      </c>
      <c r="E3310" t="s">
        <v>4599</v>
      </c>
    </row>
    <row r="3311" spans="1:6" x14ac:dyDescent="0.15">
      <c r="A3311" s="1">
        <v>39070</v>
      </c>
      <c r="B3311" t="s">
        <v>4448</v>
      </c>
      <c r="C3311" s="2" t="str">
        <f>HYPERLINK("http://snap.windin.com/ns/bulletin.php?id=678720&amp;type=1", "大唐发电招股说明书")</f>
        <v>大唐发电招股说明书</v>
      </c>
      <c r="D3311" t="s">
        <v>9676</v>
      </c>
      <c r="E3311" t="s">
        <v>4600</v>
      </c>
    </row>
    <row r="3312" spans="1:6" x14ac:dyDescent="0.15">
      <c r="A3312" s="1">
        <v>39066</v>
      </c>
      <c r="B3312" t="s">
        <v>4449</v>
      </c>
      <c r="C3312" s="2" t="str">
        <f>HYPERLINK("http://snap.windin.com/ns/bulletin.php?id=1915059&amp;type=1", "广东鸿图：首次公开发行股票招股说明书")</f>
        <v>广东鸿图：首次公开发行股票招股说明书</v>
      </c>
      <c r="D3312" t="s">
        <v>9677</v>
      </c>
      <c r="E3312" t="s">
        <v>6746</v>
      </c>
      <c r="F3312" t="s">
        <v>399</v>
      </c>
    </row>
    <row r="3313" spans="1:6" x14ac:dyDescent="0.15">
      <c r="A3313" s="1">
        <v>39066</v>
      </c>
      <c r="B3313" t="s">
        <v>4450</v>
      </c>
      <c r="C3313" s="2" t="str">
        <f>HYPERLINK("http://snap.windin.com/ns/bulletin.php?id=1793424&amp;type=1", "冠福家用：首次公开发行股票招股说明书")</f>
        <v>冠福家用：首次公开发行股票招股说明书</v>
      </c>
      <c r="D3313" t="s">
        <v>9678</v>
      </c>
      <c r="E3313" t="s">
        <v>6747</v>
      </c>
      <c r="F3313" t="s">
        <v>399</v>
      </c>
    </row>
    <row r="3314" spans="1:6" x14ac:dyDescent="0.15">
      <c r="A3314" s="1">
        <v>39059</v>
      </c>
      <c r="B3314" t="s">
        <v>4451</v>
      </c>
      <c r="C3314" s="2" t="str">
        <f>HYPERLINK("http://snap.windin.com/ns/bulletin.php?id=2012146&amp;type=1", "海翔药业：首次公开发行股票招股说明书")</f>
        <v>海翔药业：首次公开发行股票招股说明书</v>
      </c>
      <c r="D3314" t="s">
        <v>9679</v>
      </c>
      <c r="E3314" t="s">
        <v>6748</v>
      </c>
      <c r="F3314" t="s">
        <v>399</v>
      </c>
    </row>
    <row r="3315" spans="1:6" x14ac:dyDescent="0.15">
      <c r="A3315" s="1">
        <v>39058</v>
      </c>
      <c r="B3315" t="s">
        <v>4452</v>
      </c>
      <c r="C3315" s="2" t="str">
        <f>HYPERLINK("http://snap.windin.com/ns/bulletin.php?id=403719&amp;type=1", "山河智能：首次公开发行股票招股说明书")</f>
        <v>山河智能：首次公开发行股票招股说明书</v>
      </c>
      <c r="D3315" t="s">
        <v>9680</v>
      </c>
      <c r="E3315" t="s">
        <v>6749</v>
      </c>
      <c r="F3315" t="s">
        <v>399</v>
      </c>
    </row>
    <row r="3316" spans="1:6" x14ac:dyDescent="0.15">
      <c r="A3316" s="1">
        <v>39058</v>
      </c>
      <c r="B3316" t="s">
        <v>4453</v>
      </c>
      <c r="C3316" s="2" t="str">
        <f>HYPERLINK("http://snap.windin.com/ns/bulletin.php?id=2043916&amp;type=1", "南岭民爆：首次公开发行股票招股说明书")</f>
        <v>南岭民爆：首次公开发行股票招股说明书</v>
      </c>
      <c r="D3316" t="s">
        <v>9681</v>
      </c>
      <c r="E3316" t="s">
        <v>6750</v>
      </c>
      <c r="F3316" t="s">
        <v>399</v>
      </c>
    </row>
    <row r="3317" spans="1:6" x14ac:dyDescent="0.15">
      <c r="A3317" s="1">
        <v>39058</v>
      </c>
      <c r="B3317" t="s">
        <v>4454</v>
      </c>
      <c r="C3317" s="2" t="str">
        <f>HYPERLINK("http://snap.windin.com/ns/bulletin.php?id=991874&amp;type=1", "浔兴股份：首次公开发行股票招股说明书")</f>
        <v>浔兴股份：首次公开发行股票招股说明书</v>
      </c>
      <c r="D3317" t="s">
        <v>9682</v>
      </c>
      <c r="E3317" t="s">
        <v>6751</v>
      </c>
      <c r="F3317" t="s">
        <v>399</v>
      </c>
    </row>
    <row r="3318" spans="1:6" x14ac:dyDescent="0.15">
      <c r="A3318" s="1">
        <v>39056</v>
      </c>
      <c r="B3318" t="s">
        <v>4455</v>
      </c>
      <c r="C3318" s="2" t="str">
        <f>HYPERLINK("http://snap.windin.com/ns/bulletin.php?id=657497&amp;type=1", "万丰奥威：首次公开发行股票招股说明书")</f>
        <v>万丰奥威：首次公开发行股票招股说明书</v>
      </c>
      <c r="D3318" t="s">
        <v>9683</v>
      </c>
      <c r="E3318" t="s">
        <v>6752</v>
      </c>
      <c r="F3318" t="s">
        <v>399</v>
      </c>
    </row>
    <row r="3319" spans="1:6" x14ac:dyDescent="0.15">
      <c r="A3319" s="1">
        <v>39052</v>
      </c>
      <c r="B3319" t="s">
        <v>4456</v>
      </c>
      <c r="C3319" s="2" t="str">
        <f>HYPERLINK("http://snap.windin.com/ns/bulletin.php?id=409656&amp;type=1", "网盛科技首次公开发行股票招股说明书")</f>
        <v>网盛科技首次公开发行股票招股说明书</v>
      </c>
      <c r="D3319" t="s">
        <v>9684</v>
      </c>
      <c r="E3319" t="s">
        <v>4601</v>
      </c>
    </row>
    <row r="3320" spans="1:6" x14ac:dyDescent="0.15">
      <c r="A3320" s="1">
        <v>39052</v>
      </c>
      <c r="B3320" t="s">
        <v>4457</v>
      </c>
      <c r="C3320" s="2" t="str">
        <f>HYPERLINK("http://snap.windin.com/ns/bulletin.php?id=1469441&amp;type=1", "青岛金王首次公开发行股票招股说明书")</f>
        <v>青岛金王首次公开发行股票招股说明书</v>
      </c>
      <c r="D3320" t="s">
        <v>9685</v>
      </c>
      <c r="E3320" t="s">
        <v>4602</v>
      </c>
    </row>
    <row r="3321" spans="1:6" x14ac:dyDescent="0.15">
      <c r="A3321" s="1">
        <v>39051</v>
      </c>
      <c r="B3321" t="s">
        <v>4458</v>
      </c>
      <c r="C3321" s="2" t="str">
        <f>HYPERLINK("http://snap.windin.com/ns/bulletin.php?id=101871&amp;type=1", "招商轮船招股说明书")</f>
        <v>招商轮船招股说明书</v>
      </c>
      <c r="D3321" t="s">
        <v>9686</v>
      </c>
      <c r="E3321" t="s">
        <v>4603</v>
      </c>
    </row>
    <row r="3322" spans="1:6" x14ac:dyDescent="0.15">
      <c r="A3322" s="1">
        <v>39041</v>
      </c>
      <c r="B3322" t="s">
        <v>4459</v>
      </c>
      <c r="C3322" s="2" t="str">
        <f>HYPERLINK("http://snap.windin.com/ns/bulletin.php?id=563397&amp;type=1", "新海宜：首次公开发行股票招股说明书")</f>
        <v>新海宜：首次公开发行股票招股说明书</v>
      </c>
      <c r="D3322" t="s">
        <v>9687</v>
      </c>
      <c r="E3322" t="s">
        <v>6753</v>
      </c>
      <c r="F3322" t="s">
        <v>399</v>
      </c>
    </row>
    <row r="3323" spans="1:6" x14ac:dyDescent="0.15">
      <c r="A3323" s="1">
        <v>39031</v>
      </c>
      <c r="B3323" t="s">
        <v>4460</v>
      </c>
      <c r="C3323" s="2" t="str">
        <f>HYPERLINK("http://snap.windin.com/ns/bulletin.php?id=1208354&amp;type=1", "平煤天安招股说明书")</f>
        <v>平煤天安招股说明书</v>
      </c>
      <c r="D3323" t="s">
        <v>9688</v>
      </c>
      <c r="E3323" t="s">
        <v>4604</v>
      </c>
    </row>
    <row r="3324" spans="1:6" x14ac:dyDescent="0.15">
      <c r="A3324" s="1">
        <v>39016</v>
      </c>
      <c r="B3324" t="s">
        <v>4461</v>
      </c>
      <c r="C3324" s="2" t="str">
        <f>HYPERLINK("http://snap.windin.com/ns/bulletin.php?id=2036298&amp;type=1", "中国工商银行股份有限公司首次公开发行股票(A股)招股说明书")</f>
        <v>中国工商银行股份有限公司首次公开发行股票(A股)招股说明书</v>
      </c>
      <c r="D3324" t="s">
        <v>9689</v>
      </c>
      <c r="E3324" t="s">
        <v>4605</v>
      </c>
    </row>
  </sheetData>
  <autoFilter ref="A1:G3324"/>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公司公告</vt:lpstr>
      <vt:lpstr>公司公告-原始备份</vt:lpstr>
      <vt:lpstr>招股说明书</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Prosnav-dev</dc:creator>
  <cp:lastModifiedBy>Jiaxing Yang</cp:lastModifiedBy>
  <dcterms:created xsi:type="dcterms:W3CDTF">2014-08-26T09:34:36Z</dcterms:created>
  <dcterms:modified xsi:type="dcterms:W3CDTF">2014-08-26T16:47:34Z</dcterms:modified>
</cp:coreProperties>
</file>